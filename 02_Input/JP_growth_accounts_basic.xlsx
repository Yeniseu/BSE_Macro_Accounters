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VA_CP" sheetId="1058" state="visible" r:id="rId2"/>
    <sheet name="VA_PYP" sheetId="1059" state="visible" r:id="rId3"/>
    <sheet name="VA_Q" sheetId="1060" state="visible" r:id="rId4"/>
    <sheet name="LAB" sheetId="1061" state="visible" r:id="rId5"/>
    <sheet name="CAP" sheetId="1062" state="visible" r:id="rId6"/>
    <sheet name="LAB_QI" sheetId="1063" state="visible" r:id="rId7"/>
    <sheet name="CAP_QI" sheetId="1064" state="visible" r:id="rId8"/>
    <sheet name="CAPICT_QI" sheetId="1065" state="visible" r:id="rId9"/>
    <sheet name="CAPNICT_QI" sheetId="1066" state="visible" r:id="rId10"/>
    <sheet name="CAPTang_QI" sheetId="1067" state="visible" r:id="rId11"/>
    <sheet name="CAPIntang_QI" sheetId="1068" state="visible" r:id="rId12"/>
    <sheet name="VA_G" sheetId="1069" state="visible" r:id="rId13"/>
    <sheet name="VAConH" sheetId="1070" state="visible" r:id="rId14"/>
    <sheet name="VAConLC" sheetId="1071" state="visible" r:id="rId15"/>
    <sheet name="VAConTangNICT" sheetId="1072" state="visible" r:id="rId16"/>
    <sheet name="VAConTangICT" sheetId="1073" state="visible" r:id="rId17"/>
    <sheet name="VAConIntang" sheetId="1074" state="visible" r:id="rId18"/>
    <sheet name="VAConTFP" sheetId="1075" state="visible" r:id="rId19"/>
    <sheet name="VATFP_I" sheetId="1076" state="visible" r:id="rId20"/>
    <sheet name="LP1_G" sheetId="1077" state="visible" r:id="rId21"/>
    <sheet name="LP1ConLC" sheetId="1078" state="visible" r:id="rId22"/>
    <sheet name="LP1ConTangNICT" sheetId="1079" state="visible" r:id="rId23"/>
    <sheet name="LP1ConTangICT" sheetId="1080" state="visible" r:id="rId24"/>
    <sheet name="LP1ConIntang" sheetId="1081" state="visible" r:id="rId25"/>
    <sheet name="LP1ConTFP" sheetId="1082" state="visible" r:id="rId26"/>
    <sheet name="LP1TFP_I" sheetId="1083" state="visible" r:id="rId27"/>
    <sheet name="LP2_G" sheetId="1084" state="visible" r:id="rId28"/>
    <sheet name="LP2ConLC" sheetId="1085" state="visible" r:id="rId29"/>
    <sheet name="LP2ConTangNICT" sheetId="1086" state="visible" r:id="rId30"/>
    <sheet name="LP2ConTangICT" sheetId="1087" state="visible" r:id="rId31"/>
    <sheet name="LP2ConIntang" sheetId="1088" state="visible" r:id="rId32"/>
    <sheet name="LP2ConTFP" sheetId="1089" state="visible" r:id="rId33"/>
    <sheet name="LP2TFP_I" sheetId="1090" state="visible" r:id="rId34"/>
  </sheets>
</workbook>
</file>

<file path=xl/sharedStrings.xml><?xml version="1.0" encoding="utf-8"?>
<sst xmlns="http://schemas.openxmlformats.org/spreadsheetml/2006/main" count="291" uniqueCount="291">
  <si>
    <t xml:space="preserve">Variable</t>
  </si>
  <si>
    <t xml:space="preserve">Label</t>
  </si>
  <si>
    <t xml:space="preserve">Value added, labour and capital services</t>
  </si>
  <si>
    <t xml:space="preserve"/>
  </si>
  <si>
    <t xml:space="preserve">VA_CP</t>
  </si>
  <si>
    <t xml:space="preserve">GVA, current prices, millions of national currency</t>
  </si>
  <si>
    <t xml:space="preserve">VA_PYP</t>
  </si>
  <si>
    <t xml:space="preserve">GVA, prev.year prices, millions of national currency</t>
  </si>
  <si>
    <t xml:space="preserve">VA_Q</t>
  </si>
  <si>
    <t xml:space="preserve">GVA, volume 2015 ref.prices, millions of national currency</t>
  </si>
  <si>
    <t xml:space="preserve">LAB</t>
  </si>
  <si>
    <t xml:space="preserve">Labour compensation, millions of national currency</t>
  </si>
  <si>
    <t xml:space="preserve">CAP</t>
  </si>
  <si>
    <t xml:space="preserve">Capital compensation, millions of national currency</t>
  </si>
  <si>
    <t xml:space="preserve">LAB_QI</t>
  </si>
  <si>
    <t xml:space="preserve">Labour services, volume indices, 2015=100</t>
  </si>
  <si>
    <t xml:space="preserve">CAP_QI</t>
  </si>
  <si>
    <t xml:space="preserve">Capital services, volume indices, 2015=100</t>
  </si>
  <si>
    <t xml:space="preserve">CAPICT_QI</t>
  </si>
  <si>
    <t xml:space="preserve">ICT capital services, volume indices, 2015=100</t>
  </si>
  <si>
    <t xml:space="preserve">CAPNICT_QI</t>
  </si>
  <si>
    <t xml:space="preserve">Non-ICT capital services, volume indices, 2015=100</t>
  </si>
  <si>
    <t xml:space="preserve">CAPTang_QI</t>
  </si>
  <si>
    <t xml:space="preserve">Tangible capital services, volume indices, 2015=100</t>
  </si>
  <si>
    <t xml:space="preserve">CAPIntang_QI</t>
  </si>
  <si>
    <t xml:space="preserve">Intangible capital services, volume indices, 2015=100</t>
  </si>
  <si>
    <t xml:space="preserve">Contributions to value added growth</t>
  </si>
  <si>
    <t xml:space="preserve">VAConH</t>
  </si>
  <si>
    <t xml:space="preserve">Hours worked, p.p.</t>
  </si>
  <si>
    <t xml:space="preserve">VAConLC</t>
  </si>
  <si>
    <t xml:space="preserve">Labour composition, p.p.</t>
  </si>
  <si>
    <t xml:space="preserve">VAConTangNICT</t>
  </si>
  <si>
    <t xml:space="preserve">Tangible non-ICT capital services, p.p.</t>
  </si>
  <si>
    <t xml:space="preserve">VAConTangICT</t>
  </si>
  <si>
    <t xml:space="preserve">Tangible ICT capital services, p.p.</t>
  </si>
  <si>
    <t xml:space="preserve">VAConIntang</t>
  </si>
  <si>
    <t xml:space="preserve">Intangible capital services p.p.</t>
  </si>
  <si>
    <t xml:space="preserve">VAConTFP</t>
  </si>
  <si>
    <t xml:space="preserve">TFP, p.p.</t>
  </si>
  <si>
    <t xml:space="preserve">VA_G</t>
  </si>
  <si>
    <t xml:space="preserve">Growth rate of value added volume, delta log</t>
  </si>
  <si>
    <t xml:space="preserve">VATFP_I</t>
  </si>
  <si>
    <t xml:space="preserve">TFP index, 2015=100</t>
  </si>
  <si>
    <t xml:space="preserve">Contributions to value added growth per hour worked</t>
  </si>
  <si>
    <t xml:space="preserve">LP1_G</t>
  </si>
  <si>
    <t xml:space="preserve">Growth rate of value added per hour worked, delta log</t>
  </si>
  <si>
    <t xml:space="preserve">LP1ConLC</t>
  </si>
  <si>
    <t xml:space="preserve">LP1ConTangNICT</t>
  </si>
  <si>
    <t xml:space="preserve">LP1ConTangICT</t>
  </si>
  <si>
    <t xml:space="preserve">LP1ConIntang</t>
  </si>
  <si>
    <t xml:space="preserve">Intangible capital services, p.p.</t>
  </si>
  <si>
    <t xml:space="preserve">LP1ConTFP</t>
  </si>
  <si>
    <t xml:space="preserve">LP1TFP_I</t>
  </si>
  <si>
    <t xml:space="preserve">Contributions to value added growth per person employed</t>
  </si>
  <si>
    <t xml:space="preserve">LP2_G</t>
  </si>
  <si>
    <t xml:space="preserve">Growth rate of value added per person employed, delta log</t>
  </si>
  <si>
    <t xml:space="preserve">LP2ConLC</t>
  </si>
  <si>
    <t xml:space="preserve">LP2ConTangNICT</t>
  </si>
  <si>
    <t xml:space="preserve">LP2ConTangICT</t>
  </si>
  <si>
    <t xml:space="preserve">LP2ConIntang</t>
  </si>
  <si>
    <t xml:space="preserve">LP2ConTFP</t>
  </si>
  <si>
    <t xml:space="preserve">LP2TFP_I</t>
  </si>
  <si>
    <t xml:space="preserve">Growth accounts - Statistical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</si>
  <si>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</si>
  <si>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</si>
  <si>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>Notes</t>
  </si>
  <si>
    <t xml:space="preserve">Numbers displayed are in accordance with the industry classification (NACE Rev. 2/ISIC Rev. 4) and the European System of Capital Accounts (ESA 2010).</t>
  </si>
  <si>
    <t xml:space="preserve">Extracted from Eurostat:		08/04/2024</t>
  </si>
  <si>
    <t xml:space="preserve">For more information and updates, see: https://llee.luiss.it/</t>
  </si>
  <si>
    <t xml:space="preserve">Acknowledgements and disclaimer</t>
  </si>
  <si>
    <t xml:space="preserve">This update of the EUKLEMS &amp; INTANProd database 2024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</si>
  <si>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</si>
  <si>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</si>
  <si>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</si>
  <si>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nace_r2_code</t>
  </si>
  <si>
    <t xml:space="preserve">geo_code</t>
  </si>
  <si>
    <t xml:space="preserve">nace_r2_name</t>
  </si>
  <si>
    <t xml:space="preserve">geo_name</t>
  </si>
  <si>
    <t xml:space="preserve">var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</si>
  <si>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</si>
  <si>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</si>
  <si>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</si>
  <si>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</si>
  <si>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</si>
  <si>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</si>
  <si>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</si>
  <si>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</si>
  <si>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</si>
  <si>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</si>
  <si>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</si>
  <si>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</si>
  <si>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</si>
  <si>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</si>
  <si>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</si>
  <si>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</si>
  <si>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</si>
  <si>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</si>
  <si>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</si>
  <si>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</si>
  <si>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</si>
  <si>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</si>
  <si>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</si>
  <si>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</si>
  <si>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</si>
  <si>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</si>
  <si>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</si>
  <si>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</t>
  </si>
  <si>
    <t xml:space="preserve">AT</t>
  </si>
  <si>
    <t xml:space="preserve">Agriculture, forestry and fishing</t>
  </si>
  <si>
    <t xml:space="preserve">Austria</t>
  </si>
  <si>
    <t xml:space="preserve">B</t>
  </si>
  <si>
    <t xml:space="preserve">Mining and quarrying</t>
  </si>
  <si>
    <t xml:space="preserve">C</t>
  </si>
  <si>
    <t xml:space="preserve">Manufacturing</t>
  </si>
  <si>
    <t xml:space="preserve">C10-C12</t>
  </si>
  <si>
    <t xml:space="preserve">Manufacture of food products; beverages and tobacco products</t>
  </si>
  <si>
    <t xml:space="preserve">C13-C15</t>
  </si>
  <si>
    <t xml:space="preserve">Manufacture of textiles, wearing apparel, leather and related products</t>
  </si>
  <si>
    <t xml:space="preserve">C16-C18</t>
  </si>
  <si>
    <t xml:space="preserve">Manufacture of wood, paper, printing and reproduction</t>
  </si>
  <si>
    <t xml:space="preserve">C19</t>
  </si>
  <si>
    <t xml:space="preserve">Manufacture of coke and refined petroleum products</t>
  </si>
  <si>
    <t xml:space="preserve">C20</t>
  </si>
  <si>
    <t xml:space="preserve">Manufacture of chemicals and chemical products</t>
  </si>
  <si>
    <t xml:space="preserve">C20-C21</t>
  </si>
  <si>
    <t xml:space="preserve">Chemicals; basic pharmaceutical products</t>
  </si>
  <si>
    <t xml:space="preserve">C21</t>
  </si>
  <si>
    <t xml:space="preserve">Manufacture of basic pharmaceutical products and pharmaceutical preparations</t>
  </si>
  <si>
    <t xml:space="preserve">C22-C23</t>
  </si>
  <si>
    <t xml:space="preserve">Manufacture of rubber and plastic products and other non-metallic mineral products</t>
  </si>
  <si>
    <t xml:space="preserve">C24-C25</t>
  </si>
  <si>
    <t xml:space="preserve">Manufacture of basic metals and fabricated metal products, except machinery and equipment</t>
  </si>
  <si>
    <t xml:space="preserve">C26</t>
  </si>
  <si>
    <t xml:space="preserve">Manufacture of computer, electronic and optical products</t>
  </si>
  <si>
    <t xml:space="preserve">C26-C27</t>
  </si>
  <si>
    <t xml:space="preserve">Computer, electronic, optical products; electrical equipment</t>
  </si>
  <si>
    <t xml:space="preserve">C27</t>
  </si>
  <si>
    <t xml:space="preserve">Manufacture of electrical equipment</t>
  </si>
  <si>
    <t xml:space="preserve">C28</t>
  </si>
  <si>
    <t xml:space="preserve">Manufacture of machinery and equipment n.e.c.</t>
  </si>
  <si>
    <t xml:space="preserve">C29-C30</t>
  </si>
  <si>
    <t xml:space="preserve">Manufacture of motor vehicles, trailers, semi-trailers and of other transport equipment</t>
  </si>
  <si>
    <t xml:space="preserve">C31-C33</t>
  </si>
  <si>
    <t xml:space="preserve">Manufacture of furniture; jewellery, musical instruments, toys; repair and installation of machinery and equipment</t>
  </si>
  <si>
    <t xml:space="preserve">D</t>
  </si>
  <si>
    <t xml:space="preserve">Electricity, gas, steam and air conditioning supply</t>
  </si>
  <si>
    <t xml:space="preserve">D-E</t>
  </si>
  <si>
    <t xml:space="preserve">Electricity, gas, steam; water supply, sewerage, waste management</t>
  </si>
  <si>
    <t xml:space="preserve">E</t>
  </si>
  <si>
    <t xml:space="preserve">Water supply; sewerage, waste management and remediation activities</t>
  </si>
  <si>
    <t xml:space="preserve">F</t>
  </si>
  <si>
    <t xml:space="preserve">Construction</t>
  </si>
  <si>
    <t xml:space="preserve">G</t>
  </si>
  <si>
    <t xml:space="preserve">Wholesale and retail trade; repair of motor vehicles and motorcycles</t>
  </si>
  <si>
    <t xml:space="preserve">G45</t>
  </si>
  <si>
    <t xml:space="preserve">Wholesale and retail trade and repair of motor vehicles and motorcycles</t>
  </si>
  <si>
    <t xml:space="preserve">G46</t>
  </si>
  <si>
    <t xml:space="preserve">Wholesale trade, except of motor vehicles and motorcycles</t>
  </si>
  <si>
    <t xml:space="preserve">G47</t>
  </si>
  <si>
    <t xml:space="preserve">Retail trade, except of motor vehicles and motorcycles</t>
  </si>
  <si>
    <t xml:space="preserve">H</t>
  </si>
  <si>
    <t xml:space="preserve">Transportation and storage</t>
  </si>
  <si>
    <t xml:space="preserve">H49</t>
  </si>
  <si>
    <t xml:space="preserve">Land transport and transport via pipelines</t>
  </si>
  <si>
    <t xml:space="preserve">H50</t>
  </si>
  <si>
    <t xml:space="preserve">Water transport</t>
  </si>
  <si>
    <t xml:space="preserve">H51</t>
  </si>
  <si>
    <t xml:space="preserve">Air transport</t>
  </si>
  <si>
    <t xml:space="preserve">H52</t>
  </si>
  <si>
    <t xml:space="preserve">Warehousing and support activities for transportation</t>
  </si>
  <si>
    <t xml:space="preserve">H53</t>
  </si>
  <si>
    <t xml:space="preserve">Postal and courier activities</t>
  </si>
  <si>
    <t xml:space="preserve">I</t>
  </si>
  <si>
    <t xml:space="preserve">Accommodation and food service activities</t>
  </si>
  <si>
    <t xml:space="preserve">J</t>
  </si>
  <si>
    <t xml:space="preserve">Information and communication</t>
  </si>
  <si>
    <t xml:space="preserve">J58-J60</t>
  </si>
  <si>
    <t xml:space="preserve">Publishing, motion picture, video, television programme production; sound recording, programming and broadcasting activities</t>
  </si>
  <si>
    <t xml:space="preserve">J61</t>
  </si>
  <si>
    <t xml:space="preserve">Telecommunications</t>
  </si>
  <si>
    <t xml:space="preserve">J62-J63</t>
  </si>
  <si>
    <t xml:space="preserve">Computer programming, consultancy, and information service activities</t>
  </si>
  <si>
    <t xml:space="preserve">K</t>
  </si>
  <si>
    <t xml:space="preserve">Financial and insurance activities</t>
  </si>
  <si>
    <t xml:space="preserve">L</t>
  </si>
  <si>
    <t xml:space="preserve">Real estate activities</t>
  </si>
  <si>
    <t xml:space="preserve">L68A</t>
  </si>
  <si>
    <t xml:space="preserve">Imputed rents of owner-occupied dwellings</t>
  </si>
  <si>
    <t xml:space="preserve">M</t>
  </si>
  <si>
    <t xml:space="preserve">Professional, scientific and technical activities</t>
  </si>
  <si>
    <t xml:space="preserve">M-N</t>
  </si>
  <si>
    <t xml:space="preserve">Professional, scientific and technical activities; administrative and support service activities</t>
  </si>
  <si>
    <t xml:space="preserve">MARKT</t>
  </si>
  <si>
    <t xml:space="preserve">Market economy (all industries excluding L, O, P, Q, T and U)</t>
  </si>
  <si>
    <t xml:space="preserve">MARKTxAG</t>
  </si>
  <si>
    <t xml:space="preserve">Non-agricultural market economy (Market economy less industry A)</t>
  </si>
  <si>
    <t xml:space="preserve">N</t>
  </si>
  <si>
    <t xml:space="preserve">Administrative and support service activities</t>
  </si>
  <si>
    <t xml:space="preserve">O</t>
  </si>
  <si>
    <t xml:space="preserve">Public administration and defence; compulsory social security</t>
  </si>
  <si>
    <t xml:space="preserve">O-Q</t>
  </si>
  <si>
    <t xml:space="preserve">Public administration, defence, education, human health and social work activities</t>
  </si>
  <si>
    <t xml:space="preserve">P</t>
  </si>
  <si>
    <t xml:space="preserve">Education</t>
  </si>
  <si>
    <t xml:space="preserve">Q</t>
  </si>
  <si>
    <t xml:space="preserve">Human health and social work activities</t>
  </si>
  <si>
    <t xml:space="preserve">Q86</t>
  </si>
  <si>
    <t xml:space="preserve">Human health activities</t>
  </si>
  <si>
    <t xml:space="preserve">Q87-Q88</t>
  </si>
  <si>
    <t xml:space="preserve">Residential care activities and social work activities without accommodation</t>
  </si>
  <si>
    <t xml:space="preserve">R</t>
  </si>
  <si>
    <t xml:space="preserve">Arts, entertainment and recreation</t>
  </si>
  <si>
    <t xml:space="preserve">R-S</t>
  </si>
  <si>
    <t xml:space="preserve">Arts, entertainment, recreation; other services and service activities, etc.</t>
  </si>
  <si>
    <t xml:space="preserve">S</t>
  </si>
  <si>
    <t xml:space="preserve">Other service activities</t>
  </si>
  <si>
    <t xml:space="preserve">T</t>
  </si>
  <si>
    <t xml:space="preserve">Activities of households as employers; undifferentiated goods- and services-producing activities of households for own use</t>
  </si>
  <si>
    <t xml:space="preserve">TOT</t>
  </si>
  <si>
    <t xml:space="preserve">Total - all NACE activities</t>
  </si>
  <si>
    <t xml:space="preserve">TOT_IND</t>
  </si>
  <si>
    <t xml:space="preserve">Total industries (A-S)</t>
  </si>
  <si>
    <t xml:space="preserve">U</t>
  </si>
  <si>
    <t xml:space="preserve">Activities of extraterritorial organisations and bodies</t>
  </si>
  <si>
    <t xml:space="preserve">BG</t>
  </si>
  <si>
    <t xml:space="preserve">Bulgaria</t>
  </si>
  <si>
    <t xml:space="preserve">CY</t>
  </si>
  <si>
    <t xml:space="preserve">Cyprus</t>
  </si>
  <si>
    <t xml:space="preserve">CZ</t>
  </si>
  <si>
    <t xml:space="preserve">Czechia</t>
  </si>
  <si>
    <t xml:space="preserve">DE</t>
  </si>
  <si>
    <t xml:space="preserve">Germany</t>
  </si>
  <si>
    <t xml:space="preserve">DK</t>
  </si>
  <si>
    <t xml:space="preserve">Denmark</t>
  </si>
  <si>
    <t xml:space="preserve">EE</t>
  </si>
  <si>
    <t xml:space="preserve">Estonia</t>
  </si>
  <si>
    <t xml:space="preserve">EL</t>
  </si>
  <si>
    <t xml:space="preserve">Greece</t>
  </si>
  <si>
    <t xml:space="preserve">ES</t>
  </si>
  <si>
    <t xml:space="preserve">Spain</t>
  </si>
  <si>
    <t xml:space="preserve">EU11</t>
  </si>
  <si>
    <t xml:space="preserve">EU12 without UK</t>
  </si>
  <si>
    <t xml:space="preserve">EU12</t>
  </si>
  <si>
    <t xml:space="preserve">AT, BE, CZ, DE, DK, ES, FI, FR, IT, NL, SE and UK</t>
  </si>
  <si>
    <t xml:space="preserve">EU27</t>
  </si>
  <si>
    <t xml:space="preserve">European Union - 27 countries (from 2020)</t>
  </si>
  <si>
    <t xml:space="preserve">EU27_2020</t>
  </si>
  <si>
    <t xml:space="preserve">FI</t>
  </si>
  <si>
    <t xml:space="preserve">Finland</t>
  </si>
  <si>
    <t xml:space="preserve">FR</t>
  </si>
  <si>
    <t xml:space="preserve">France</t>
  </si>
  <si>
    <t xml:space="preserve">HR</t>
  </si>
  <si>
    <t xml:space="preserve">Croatia</t>
  </si>
  <si>
    <t xml:space="preserve">HU</t>
  </si>
  <si>
    <t xml:space="preserve">Hungary</t>
  </si>
  <si>
    <t xml:space="preserve">IE</t>
  </si>
  <si>
    <t xml:space="preserve">Ireland</t>
  </si>
  <si>
    <t xml:space="preserve">IT</t>
  </si>
  <si>
    <t xml:space="preserve">Italy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</si>
  <si>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</si>
  <si>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</si>
  <si>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</si>
  <si>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</si>
  <si>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</si>
  <si>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Latvia</t>
  </si>
  <si>
    <t xml:space="preserve">MT</t>
  </si>
  <si>
    <t xml:space="preserve">Malta</t>
  </si>
  <si>
    <t xml:space="preserve">NL</t>
  </si>
  <si>
    <t xml:space="preserve">Netherlands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</si>
  <si>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</si>
  <si>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</si>
  <si>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</si>
  <si>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</si>
  <si>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</si>
  <si>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</si>
  <si>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SE</t>
  </si>
  <si>
    <t xml:space="preserve">Sweden</t>
  </si>
  <si>
    <t xml:space="preserve">SI</t>
  </si>
  <si>
    <t xml:space="preserve">Slovenia</t>
  </si>
  <si>
    <t xml:space="preserve">SK</t>
  </si>
  <si>
    <t xml:space="preserve">Slovakia</t>
  </si>
  <si>
    <t xml:space="preserve">UK</t>
  </si>
  <si>
    <t xml:space="preserve">United Kingdom</t>
  </si>
  <si>
    <t xml:space="preserve">JP</t>
  </si>
  <si>
    <t xml:space="preserve">Japan</t>
  </si>
  <si>
    <t xml:space="preserve">BE</t>
  </si>
  <si>
    <t xml:space="preserve">Belgium</t>
  </si>
  <si>
    <t xml:space="preserve">US</t>
  </si>
  <si>
    <t xml:space="preserve">United States</t>
  </si>
  <si>
    <t xml:space="preserve">C0-C21</t>
  </si>
  <si>
    <t xml:space="preserve">C6-C27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</si>
</sst>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283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t="s">
        <v>62</v>
      </c>
    </row>
    <row r="3">
      <c r="A3" t="s">
        <v>63</v>
      </c>
    </row>
    <row r="4">
      <c r="A4" t="s">
        <v>64</v>
      </c>
    </row>
    <row r="5">
      <c r="A5" t="s">
        <v>3</v>
      </c>
    </row>
    <row r="6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t="s">
        <v>2</v>
      </c>
      <c r="B7" t="s">
        <v>3</v>
      </c>
    </row>
    <row r="8">
      <c r="A8" s="4" t="str">
        <f>=HYPERLINK("#'VA_CP'!A1", "VA_CP")</f>
      </c>
      <c r="B8" t="s">
        <v>5</v>
      </c>
    </row>
    <row r="9">
      <c r="A9" s="4" t="str">
        <f>=HYPERLINK("#'VA_PYP'!A1", "VA_PYP")</f>
      </c>
      <c r="B9" t="s">
        <v>7</v>
      </c>
    </row>
    <row r="10">
      <c r="A10" s="4" t="str">
        <f>=HYPERLINK("#'VA_Q'!A1", "VA_Q")</f>
      </c>
      <c r="B10" t="s">
        <v>9</v>
      </c>
    </row>
    <row r="11">
      <c r="A11" s="4" t="str">
        <f>=HYPERLINK("#'LAB'!A1", "LAB")</f>
      </c>
      <c r="B11" t="s">
        <v>11</v>
      </c>
    </row>
    <row r="12">
      <c r="A12" s="4" t="str">
        <f>=HYPERLINK("#'CAP'!A1", "CAP")</f>
      </c>
      <c r="B12" t="s">
        <v>13</v>
      </c>
    </row>
    <row r="13">
      <c r="A13" s="4" t="str">
        <f>=HYPERLINK("#'LAB_QI'!A1", "LAB_QI")</f>
      </c>
      <c r="B13" t="s">
        <v>15</v>
      </c>
    </row>
    <row r="14">
      <c r="A14" s="4" t="str">
        <f>=HYPERLINK("#'CAP_QI'!A1", "CAP_QI")</f>
      </c>
      <c r="B14" t="s">
        <v>17</v>
      </c>
    </row>
    <row r="15">
      <c r="A15" s="4" t="str">
        <f>=HYPERLINK("#'CAPICT_QI'!A1", "CAPICT_QI")</f>
      </c>
      <c r="B15" t="s">
        <v>19</v>
      </c>
    </row>
    <row r="16">
      <c r="A16" s="4" t="str">
        <f>=HYPERLINK("#'CAPNICT_QI'!A1", "CAPNICT_QI")</f>
      </c>
      <c r="B16" t="s">
        <v>21</v>
      </c>
    </row>
    <row r="17">
      <c r="A17" s="4" t="str">
        <f>=HYPERLINK("#'CAPTang_QI'!A1", "CAPTang_QI")</f>
      </c>
      <c r="B17" t="s">
        <v>23</v>
      </c>
    </row>
    <row r="18">
      <c r="A18" s="4" t="str">
        <f>=HYPERLINK("#'CAPIntang_QI'!A1", "CAPIntang_QI")</f>
      </c>
      <c r="B18" t="s">
        <v>25</v>
      </c>
    </row>
    <row r="19">
      <c r="A19" s="2" t="s">
        <v>26</v>
      </c>
      <c r="B19" s="2" t="s">
        <v>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4" t="str">
        <f>=HYPERLINK("#'VAConH'!A1", "VAConH")</f>
      </c>
      <c r="B20" t="s">
        <v>28</v>
      </c>
    </row>
    <row r="21">
      <c r="A21" s="4" t="str">
        <f>=HYPERLINK("#'VAConLC'!A1", "VAConLC")</f>
      </c>
      <c r="B21" t="s">
        <v>30</v>
      </c>
    </row>
    <row r="22">
      <c r="A22" s="4" t="str">
        <f>=HYPERLINK("#'VAConTangNICT'!A1", "VAConTangNICT")</f>
      </c>
      <c r="B22" t="s">
        <v>32</v>
      </c>
    </row>
    <row r="23">
      <c r="A23" s="4" t="str">
        <f>=HYPERLINK("#'VAConTangICT'!A1", "VAConTangICT")</f>
      </c>
      <c r="B23" t="s">
        <v>34</v>
      </c>
    </row>
    <row r="24">
      <c r="A24" s="4" t="str">
        <f>=HYPERLINK("#'VAConIntang'!A1", "VAConIntang")</f>
      </c>
      <c r="B24" t="s">
        <v>36</v>
      </c>
    </row>
    <row r="25">
      <c r="A25" s="4" t="str">
        <f>=HYPERLINK("#'VAConTFP'!A1", "VAConTFP")</f>
      </c>
      <c r="B25" t="s">
        <v>38</v>
      </c>
    </row>
    <row r="26">
      <c r="A26" s="4" t="str">
        <f>=HYPERLINK("#'VA_G'!A1", "VA_G")</f>
      </c>
      <c r="B26" t="s">
        <v>40</v>
      </c>
    </row>
    <row r="27">
      <c r="A27" s="4" t="str">
        <f>=HYPERLINK("#'VATFP_I'!A1", "VATFP_I")</f>
      </c>
      <c r="B27" t="s">
        <v>42</v>
      </c>
    </row>
    <row r="28">
      <c r="A28" s="2" t="s">
        <v>43</v>
      </c>
      <c r="B28" s="2" t="s">
        <v>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4" t="str">
        <f>=HYPERLINK("#'LP1_G'!A1", "LP1_G")</f>
      </c>
      <c r="B29" t="s">
        <v>45</v>
      </c>
    </row>
    <row r="30">
      <c r="A30" s="4" t="str">
        <f>=HYPERLINK("#'LP1ConLC'!A1", "LP1ConLC")</f>
      </c>
      <c r="B30" t="s">
        <v>30</v>
      </c>
    </row>
    <row r="31">
      <c r="A31" s="4" t="str">
        <f>=HYPERLINK("#'LP1ConTangNICT'!A1", "LP1ConTangNICT")</f>
      </c>
      <c r="B31" t="s">
        <v>32</v>
      </c>
    </row>
    <row r="32">
      <c r="A32" s="4" t="str">
        <f>=HYPERLINK("#'LP1ConTangICT'!A1", "LP1ConTangICT")</f>
      </c>
      <c r="B32" t="s">
        <v>34</v>
      </c>
    </row>
    <row r="33">
      <c r="A33" s="4" t="str">
        <f>=HYPERLINK("#'LP1ConIntang'!A1", "LP1ConIntang")</f>
      </c>
      <c r="B33" t="s">
        <v>50</v>
      </c>
    </row>
    <row r="34">
      <c r="A34" s="4" t="str">
        <f>=HYPERLINK("#'LP1ConTFP'!A1", "LP1ConTFP")</f>
      </c>
      <c r="B34" t="s">
        <v>38</v>
      </c>
    </row>
    <row r="35">
      <c r="A35" s="4" t="str">
        <f>=HYPERLINK("#'LP1TFP_I'!A1", "LP1TFP_I")</f>
      </c>
      <c r="B35" t="s">
        <v>42</v>
      </c>
    </row>
    <row r="36">
      <c r="A36" s="2" t="s">
        <v>53</v>
      </c>
      <c r="B36" s="2" t="s">
        <v>3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4" t="str">
        <f>=HYPERLINK("#'LP2_G'!A1", "LP2_G")</f>
      </c>
      <c r="B37" t="s">
        <v>55</v>
      </c>
    </row>
    <row r="38">
      <c r="A38" s="4" t="str">
        <f>=HYPERLINK("#'LP2ConLC'!A1", "LP2ConLC")</f>
      </c>
      <c r="B38" t="s">
        <v>30</v>
      </c>
    </row>
    <row r="39">
      <c r="A39" s="4" t="str">
        <f>=HYPERLINK("#'LP2ConTangNICT'!A1", "LP2ConTangNICT")</f>
      </c>
      <c r="B39" t="s">
        <v>32</v>
      </c>
    </row>
    <row r="40">
      <c r="A40" s="4" t="str">
        <f>=HYPERLINK("#'LP2ConTangICT'!A1", "LP2ConTangICT")</f>
      </c>
      <c r="B40" t="s">
        <v>34</v>
      </c>
    </row>
    <row r="41">
      <c r="A41" s="4" t="str">
        <f>=HYPERLINK("#'LP2ConIntang'!A1", "LP2ConIntang")</f>
      </c>
      <c r="B41" t="s">
        <v>50</v>
      </c>
    </row>
    <row r="42">
      <c r="A42" s="4" t="str">
        <f>=HYPERLINK("#'LP2ConTFP'!A1", "LP2ConTFP")</f>
      </c>
      <c r="B42" t="s">
        <v>38</v>
      </c>
    </row>
    <row r="43">
      <c r="A43" s="4" t="str">
        <f>=HYPERLINK("#'LP2TFP_I'!A1", "LP2TFP_I")</f>
      </c>
      <c r="B43" t="s">
        <v>42</v>
      </c>
    </row>
    <row r="44">
      <c r="A44" t="s">
        <v>3</v>
      </c>
    </row>
    <row r="45">
      <c r="A45" t="s">
        <v>3</v>
      </c>
    </row>
    <row r="46">
      <c r="A46" s="1" t="s">
        <v>65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3" t="s">
        <v>66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 t="s">
        <v>67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 t="s">
        <v>3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1" t="s">
        <v>68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t="s">
        <v>3</v>
      </c>
    </row>
    <row r="52">
      <c r="A52" s="1" t="s">
        <v>69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3" t="s">
        <v>70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 t="s">
        <v>71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 t="s">
        <v>72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 t="s">
        <v>73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283</v>
      </c>
      <c r="C2" t="s">
        <v>108</v>
      </c>
      <c r="D2" t="s">
        <v>284</v>
      </c>
      <c r="E2" t="s">
        <v>4</v>
      </c>
      <c r="F2" t="n">
        <v>8766147</v>
      </c>
      <c r="G2" t="n">
        <v>9030867</v>
      </c>
      <c r="H2" t="n">
        <v>8470507</v>
      </c>
      <c r="I2" t="n">
        <v>8758820</v>
      </c>
      <c r="J2" t="n">
        <v>8468418</v>
      </c>
      <c r="K2" t="n">
        <v>8265460</v>
      </c>
      <c r="L2" t="n">
        <v>7409000</v>
      </c>
      <c r="M2" t="n">
        <v>7365383</v>
      </c>
      <c r="N2" t="n">
        <v>6961326</v>
      </c>
      <c r="O2" t="n">
        <v>6675307</v>
      </c>
      <c r="P2" t="n">
        <v>6099007</v>
      </c>
      <c r="Q2" t="n">
        <v>5988559</v>
      </c>
      <c r="R2" t="n">
        <v>5889910</v>
      </c>
      <c r="S2" t="n">
        <v>5784926</v>
      </c>
      <c r="T2" t="n">
        <v>5587961</v>
      </c>
      <c r="U2" t="n">
        <v>5844162</v>
      </c>
      <c r="V2" t="n">
        <v>5627203</v>
      </c>
      <c r="W2" t="n">
        <v>5870872</v>
      </c>
      <c r="X2" t="n">
        <v>5675355</v>
      </c>
      <c r="Y2" t="n">
        <v>5450738</v>
      </c>
      <c r="Z2" t="n">
        <v>5856616</v>
      </c>
      <c r="AA2" t="n">
        <v>6435194</v>
      </c>
      <c r="AB2" t="n">
        <v>6567050</v>
      </c>
      <c r="AC2" t="n">
        <v>6133890</v>
      </c>
      <c r="AD2" t="n">
        <v>6143632</v>
      </c>
      <c r="AE2" t="n">
        <v>5942145</v>
      </c>
      <c r="AF2" t="n">
        <v>5675594</v>
      </c>
    </row>
    <row r="3">
      <c r="A3" t="s">
        <v>110</v>
      </c>
      <c r="B3" t="s">
        <v>283</v>
      </c>
      <c r="C3" t="s">
        <v>111</v>
      </c>
      <c r="D3" t="s">
        <v>284</v>
      </c>
      <c r="E3" t="s">
        <v>4</v>
      </c>
      <c r="F3" t="n">
        <v>840109</v>
      </c>
      <c r="G3" t="n">
        <v>837932</v>
      </c>
      <c r="H3" t="n">
        <v>781299</v>
      </c>
      <c r="I3" t="n">
        <v>716409</v>
      </c>
      <c r="J3" t="n">
        <v>627438</v>
      </c>
      <c r="K3" t="n">
        <v>611308</v>
      </c>
      <c r="L3" t="n">
        <v>601336</v>
      </c>
      <c r="M3" t="n">
        <v>520477</v>
      </c>
      <c r="N3" t="n">
        <v>492818</v>
      </c>
      <c r="O3" t="n">
        <v>411710</v>
      </c>
      <c r="P3" t="n">
        <v>410614</v>
      </c>
      <c r="Q3" t="n">
        <v>400541</v>
      </c>
      <c r="R3" t="n">
        <v>395162</v>
      </c>
      <c r="S3" t="n">
        <v>354871</v>
      </c>
      <c r="T3" t="n">
        <v>292793</v>
      </c>
      <c r="U3" t="n">
        <v>312173</v>
      </c>
      <c r="V3" t="n">
        <v>321127</v>
      </c>
      <c r="W3" t="n">
        <v>309229</v>
      </c>
      <c r="X3" t="n">
        <v>360514</v>
      </c>
      <c r="Y3" t="n">
        <v>398695</v>
      </c>
      <c r="Z3" t="n">
        <v>409241</v>
      </c>
      <c r="AA3" t="n">
        <v>364166</v>
      </c>
      <c r="AB3" t="n">
        <v>385642</v>
      </c>
      <c r="AC3" t="n">
        <v>383815</v>
      </c>
      <c r="AD3" t="n">
        <v>382684</v>
      </c>
      <c r="AE3" t="n">
        <v>382131</v>
      </c>
      <c r="AF3" t="n">
        <v>367518</v>
      </c>
    </row>
    <row r="4">
      <c r="A4" t="s">
        <v>112</v>
      </c>
      <c r="B4" t="s">
        <v>283</v>
      </c>
      <c r="C4" t="s">
        <v>113</v>
      </c>
      <c r="D4" t="s">
        <v>284</v>
      </c>
      <c r="E4" t="s">
        <v>4</v>
      </c>
      <c r="F4" t="n">
        <v>122945667</v>
      </c>
      <c r="G4" t="n">
        <v>125593928</v>
      </c>
      <c r="H4" t="n">
        <v>127380180</v>
      </c>
      <c r="I4" t="n">
        <v>122966139</v>
      </c>
      <c r="J4" t="n">
        <v>118716033</v>
      </c>
      <c r="K4" t="n">
        <v>120597820</v>
      </c>
      <c r="L4" t="n">
        <v>112652178</v>
      </c>
      <c r="M4" t="n">
        <v>109003113</v>
      </c>
      <c r="N4" t="n">
        <v>109927976</v>
      </c>
      <c r="O4" t="n">
        <v>112135882</v>
      </c>
      <c r="P4" t="n">
        <v>114387543</v>
      </c>
      <c r="Q4" t="n">
        <v>114826468</v>
      </c>
      <c r="R4" t="n">
        <v>118271999</v>
      </c>
      <c r="S4" t="n">
        <v>112582714</v>
      </c>
      <c r="T4" t="n">
        <v>94537012</v>
      </c>
      <c r="U4" t="n">
        <v>105242212</v>
      </c>
      <c r="V4" t="n">
        <v>97426352</v>
      </c>
      <c r="W4" t="n">
        <v>98699842</v>
      </c>
      <c r="X4" t="n">
        <v>98602489</v>
      </c>
      <c r="Y4" t="n">
        <v>101942467</v>
      </c>
      <c r="Z4" t="n">
        <v>110415763</v>
      </c>
      <c r="AA4" t="n">
        <v>110738622</v>
      </c>
      <c r="AB4" t="n">
        <v>113320057</v>
      </c>
      <c r="AC4" t="n">
        <v>115072008</v>
      </c>
      <c r="AD4" t="n">
        <v>113112038</v>
      </c>
      <c r="AE4" t="n">
        <v>108011729</v>
      </c>
      <c r="AF4" t="n">
        <v>112701474</v>
      </c>
    </row>
    <row r="5">
      <c r="A5" t="s">
        <v>114</v>
      </c>
      <c r="B5" t="s">
        <v>283</v>
      </c>
      <c r="C5" t="s">
        <v>115</v>
      </c>
      <c r="D5" t="s">
        <v>284</v>
      </c>
      <c r="E5" t="s">
        <v>4</v>
      </c>
      <c r="F5" t="n">
        <v>13610539</v>
      </c>
      <c r="G5" t="n">
        <v>13618562</v>
      </c>
      <c r="H5" t="n">
        <v>13829309</v>
      </c>
      <c r="I5" t="n">
        <v>14221901</v>
      </c>
      <c r="J5" t="n">
        <v>14658012</v>
      </c>
      <c r="K5" t="n">
        <v>14562319</v>
      </c>
      <c r="L5" t="n">
        <v>14473957</v>
      </c>
      <c r="M5" t="n">
        <v>14194453</v>
      </c>
      <c r="N5" t="n">
        <v>14066293</v>
      </c>
      <c r="O5" t="n">
        <v>13896431</v>
      </c>
      <c r="P5" t="n">
        <v>13210612</v>
      </c>
      <c r="Q5" t="n">
        <v>12900628</v>
      </c>
      <c r="R5" t="n">
        <v>12940799</v>
      </c>
      <c r="S5" t="n">
        <v>12714474</v>
      </c>
      <c r="T5" t="n">
        <v>12430297</v>
      </c>
      <c r="U5" t="n">
        <v>12703152</v>
      </c>
      <c r="V5" t="n">
        <v>12179509</v>
      </c>
      <c r="W5" t="n">
        <v>12375022</v>
      </c>
      <c r="X5" t="n">
        <v>12175353</v>
      </c>
      <c r="Y5" t="n">
        <v>12453154</v>
      </c>
      <c r="Z5" t="n">
        <v>13516796</v>
      </c>
      <c r="AA5" t="n">
        <v>13989523</v>
      </c>
      <c r="AB5" t="n">
        <v>13914102</v>
      </c>
      <c r="AC5" t="n">
        <v>13762402</v>
      </c>
      <c r="AD5" t="n">
        <v>13923325</v>
      </c>
      <c r="AE5" t="n">
        <v>13181470</v>
      </c>
      <c r="AF5" t="n">
        <v>13396806</v>
      </c>
    </row>
    <row r="6">
      <c r="A6" t="s">
        <v>116</v>
      </c>
      <c r="B6" t="s">
        <v>283</v>
      </c>
      <c r="C6" t="s">
        <v>117</v>
      </c>
      <c r="D6" t="s">
        <v>284</v>
      </c>
      <c r="E6" t="s">
        <v>4</v>
      </c>
      <c r="F6" t="n">
        <v>4734580</v>
      </c>
      <c r="G6" t="n">
        <v>4380022</v>
      </c>
      <c r="H6" t="n">
        <v>4082333</v>
      </c>
      <c r="I6" t="n">
        <v>3870778</v>
      </c>
      <c r="J6" t="n">
        <v>3317564</v>
      </c>
      <c r="K6" t="n">
        <v>2991096</v>
      </c>
      <c r="L6" t="n">
        <v>2542526</v>
      </c>
      <c r="M6" t="n">
        <v>2251869</v>
      </c>
      <c r="N6" t="n">
        <v>2083791</v>
      </c>
      <c r="O6" t="n">
        <v>1953301</v>
      </c>
      <c r="P6" t="n">
        <v>1736391</v>
      </c>
      <c r="Q6" t="n">
        <v>1681783</v>
      </c>
      <c r="R6" t="n">
        <v>1711839</v>
      </c>
      <c r="S6" t="n">
        <v>1619660</v>
      </c>
      <c r="T6" t="n">
        <v>1358623</v>
      </c>
      <c r="U6" t="n">
        <v>1261221</v>
      </c>
      <c r="V6" t="n">
        <v>1282422</v>
      </c>
      <c r="W6" t="n">
        <v>1316282</v>
      </c>
      <c r="X6" t="n">
        <v>1241925</v>
      </c>
      <c r="Y6" t="n">
        <v>1278634</v>
      </c>
      <c r="Z6" t="n">
        <v>1489838</v>
      </c>
      <c r="AA6" t="n">
        <v>1288763</v>
      </c>
      <c r="AB6" t="n">
        <v>1226083</v>
      </c>
      <c r="AC6" t="n">
        <v>1292233</v>
      </c>
      <c r="AD6" t="n">
        <v>1310350</v>
      </c>
      <c r="AE6" t="n">
        <v>1223550</v>
      </c>
      <c r="AF6" t="n">
        <v>1074669</v>
      </c>
    </row>
    <row r="7">
      <c r="A7" t="s">
        <v>118</v>
      </c>
      <c r="B7" t="s">
        <v>283</v>
      </c>
      <c r="C7" t="s">
        <v>119</v>
      </c>
      <c r="D7" t="s">
        <v>284</v>
      </c>
      <c r="E7" t="s">
        <v>4</v>
      </c>
      <c r="F7" t="n">
        <v>8940642</v>
      </c>
      <c r="G7" t="n">
        <v>9054353</v>
      </c>
      <c r="H7" t="n">
        <v>9047680</v>
      </c>
      <c r="I7" t="n">
        <v>8807456</v>
      </c>
      <c r="J7" t="n">
        <v>8331493</v>
      </c>
      <c r="K7" t="n">
        <v>8487482</v>
      </c>
      <c r="L7" t="n">
        <v>8012369</v>
      </c>
      <c r="M7" t="n">
        <v>7468066</v>
      </c>
      <c r="N7" t="n">
        <v>7288572</v>
      </c>
      <c r="O7" t="n">
        <v>7220775</v>
      </c>
      <c r="P7" t="n">
        <v>7296691</v>
      </c>
      <c r="Q7" t="n">
        <v>6752400</v>
      </c>
      <c r="R7" t="n">
        <v>6445261</v>
      </c>
      <c r="S7" t="n">
        <v>6176254</v>
      </c>
      <c r="T7" t="n">
        <v>5755883</v>
      </c>
      <c r="U7" t="n">
        <v>5838639</v>
      </c>
      <c r="V7" t="n">
        <v>5483509</v>
      </c>
      <c r="W7" t="n">
        <v>5280945</v>
      </c>
      <c r="X7" t="n">
        <v>5384977</v>
      </c>
      <c r="Y7" t="n">
        <v>5483332</v>
      </c>
      <c r="Z7" t="n">
        <v>6089581</v>
      </c>
      <c r="AA7" t="n">
        <v>6096026</v>
      </c>
      <c r="AB7" t="n">
        <v>5993792</v>
      </c>
      <c r="AC7" t="n">
        <v>5866359</v>
      </c>
      <c r="AD7" t="n">
        <v>6090477</v>
      </c>
      <c r="AE7" t="n">
        <v>5676079</v>
      </c>
      <c r="AF7" t="n">
        <v>5826937</v>
      </c>
    </row>
    <row r="8">
      <c r="A8" t="s">
        <v>120</v>
      </c>
      <c r="B8" t="s">
        <v>283</v>
      </c>
      <c r="C8" t="s">
        <v>121</v>
      </c>
      <c r="D8" t="s">
        <v>284</v>
      </c>
      <c r="E8" t="s">
        <v>4</v>
      </c>
      <c r="F8" t="n">
        <v>5449877</v>
      </c>
      <c r="G8" t="n">
        <v>6046721</v>
      </c>
      <c r="H8" t="n">
        <v>6378182</v>
      </c>
      <c r="I8" t="n">
        <v>5969288</v>
      </c>
      <c r="J8" t="n">
        <v>5717542</v>
      </c>
      <c r="K8" t="n">
        <v>5512574</v>
      </c>
      <c r="L8" t="n">
        <v>5519130</v>
      </c>
      <c r="M8" t="n">
        <v>5678313</v>
      </c>
      <c r="N8" t="n">
        <v>5238146</v>
      </c>
      <c r="O8" t="n">
        <v>5323661</v>
      </c>
      <c r="P8" t="n">
        <v>5140643</v>
      </c>
      <c r="Q8" t="n">
        <v>5342748</v>
      </c>
      <c r="R8" t="n">
        <v>4978675</v>
      </c>
      <c r="S8" t="n">
        <v>4972166</v>
      </c>
      <c r="T8" t="n">
        <v>4588550</v>
      </c>
      <c r="U8" t="n">
        <v>5204109</v>
      </c>
      <c r="V8" t="n">
        <v>4442333</v>
      </c>
      <c r="W8" t="n">
        <v>4423491</v>
      </c>
      <c r="X8" t="n">
        <v>5199108</v>
      </c>
      <c r="Y8" t="n">
        <v>4927085</v>
      </c>
      <c r="Z8" t="n">
        <v>5259987</v>
      </c>
      <c r="AA8" t="n">
        <v>5671658</v>
      </c>
      <c r="AB8" t="n">
        <v>5823060</v>
      </c>
      <c r="AC8" t="n">
        <v>5740952</v>
      </c>
      <c r="AD8" t="n">
        <v>5833319</v>
      </c>
      <c r="AE8" t="n">
        <v>5826296</v>
      </c>
      <c r="AF8" t="n">
        <v>6877362</v>
      </c>
    </row>
    <row r="9">
      <c r="A9" t="s">
        <v>122</v>
      </c>
      <c r="B9" t="s">
        <v>283</v>
      </c>
      <c r="C9" t="s">
        <v>123</v>
      </c>
      <c r="D9" t="s">
        <v>284</v>
      </c>
      <c r="E9" t="s">
        <v>4</v>
      </c>
      <c r="F9" t="n">
        <v>7900495</v>
      </c>
      <c r="G9" t="n">
        <v>7840548</v>
      </c>
      <c r="H9" t="n">
        <v>7978014</v>
      </c>
      <c r="I9" t="n">
        <v>7460882</v>
      </c>
      <c r="J9" t="n">
        <v>7616538</v>
      </c>
      <c r="K9" t="n">
        <v>6991647</v>
      </c>
      <c r="L9" t="n">
        <v>6762271</v>
      </c>
      <c r="M9" t="n">
        <v>6706728</v>
      </c>
      <c r="N9" t="n">
        <v>6652730</v>
      </c>
      <c r="O9" t="n">
        <v>6474619</v>
      </c>
      <c r="P9" t="n">
        <v>6436491</v>
      </c>
      <c r="Q9" t="n">
        <v>6097717</v>
      </c>
      <c r="R9" t="n">
        <v>6182003</v>
      </c>
      <c r="S9" t="n">
        <v>5576135</v>
      </c>
      <c r="T9" t="n">
        <v>5653749</v>
      </c>
      <c r="U9" t="n">
        <v>6086565</v>
      </c>
      <c r="V9" t="n">
        <v>5689222</v>
      </c>
      <c r="W9" t="n">
        <v>5851408</v>
      </c>
      <c r="X9" t="n">
        <v>5889393</v>
      </c>
      <c r="Y9" t="n">
        <v>5866554</v>
      </c>
      <c r="Z9" t="n">
        <v>7167355</v>
      </c>
      <c r="AA9" t="n">
        <v>7648028</v>
      </c>
      <c r="AB9" t="n">
        <v>7490950</v>
      </c>
      <c r="AC9" t="n">
        <v>7462703</v>
      </c>
      <c r="AD9" t="n">
        <v>7981581</v>
      </c>
      <c r="AE9" t="n">
        <v>8124291</v>
      </c>
      <c r="AF9" t="n">
        <v>7701491</v>
      </c>
    </row>
    <row r="10">
      <c r="A10" t="s">
        <v>124</v>
      </c>
      <c r="B10" t="s">
        <v>283</v>
      </c>
      <c r="C10" t="s">
        <v>125</v>
      </c>
      <c r="D10" t="s">
        <v>284</v>
      </c>
      <c r="E10" t="s">
        <v>4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283</v>
      </c>
      <c r="C11" t="s">
        <v>127</v>
      </c>
      <c r="D11" t="s">
        <v>284</v>
      </c>
      <c r="E11" t="s">
        <v>4</v>
      </c>
      <c r="F11" t="n">
        <v>3659015</v>
      </c>
      <c r="G11" t="n">
        <v>3727399</v>
      </c>
      <c r="H11" t="n">
        <v>3777307</v>
      </c>
      <c r="I11" t="n">
        <v>3771765</v>
      </c>
      <c r="J11" t="n">
        <v>3877432</v>
      </c>
      <c r="K11" t="n">
        <v>4224114</v>
      </c>
      <c r="L11" t="n">
        <v>4134929</v>
      </c>
      <c r="M11" t="n">
        <v>4250821</v>
      </c>
      <c r="N11" t="n">
        <v>4423761</v>
      </c>
      <c r="O11" t="n">
        <v>4374247</v>
      </c>
      <c r="P11" t="n">
        <v>4237454</v>
      </c>
      <c r="Q11" t="n">
        <v>4377428</v>
      </c>
      <c r="R11" t="n">
        <v>4250677</v>
      </c>
      <c r="S11" t="n">
        <v>4231417</v>
      </c>
      <c r="T11" t="n">
        <v>4353826</v>
      </c>
      <c r="U11" t="n">
        <v>4647345</v>
      </c>
      <c r="V11" t="n">
        <v>4554415</v>
      </c>
      <c r="W11" t="n">
        <v>4300369</v>
      </c>
      <c r="X11" t="n">
        <v>4241057</v>
      </c>
      <c r="Y11" t="n">
        <v>4003012</v>
      </c>
      <c r="Z11" t="n">
        <v>4318310</v>
      </c>
      <c r="AA11" t="n">
        <v>4562213</v>
      </c>
      <c r="AB11" t="n">
        <v>4489816</v>
      </c>
      <c r="AC11" t="n">
        <v>4475910</v>
      </c>
      <c r="AD11" t="n">
        <v>4367793</v>
      </c>
      <c r="AE11" t="n">
        <v>4591255</v>
      </c>
      <c r="AF11" t="n">
        <v>4342964</v>
      </c>
    </row>
    <row r="12">
      <c r="A12" t="s">
        <v>128</v>
      </c>
      <c r="B12" t="s">
        <v>283</v>
      </c>
      <c r="C12" t="s">
        <v>129</v>
      </c>
      <c r="D12" t="s">
        <v>284</v>
      </c>
      <c r="E12" t="s">
        <v>4</v>
      </c>
      <c r="F12" t="n">
        <v>9982696</v>
      </c>
      <c r="G12" t="n">
        <v>9952356</v>
      </c>
      <c r="H12" t="n">
        <v>9906002</v>
      </c>
      <c r="I12" t="n">
        <v>9453068</v>
      </c>
      <c r="J12" t="n">
        <v>8985964</v>
      </c>
      <c r="K12" t="n">
        <v>9113462</v>
      </c>
      <c r="L12" t="n">
        <v>8464224</v>
      </c>
      <c r="M12" t="n">
        <v>8075013</v>
      </c>
      <c r="N12" t="n">
        <v>8175007</v>
      </c>
      <c r="O12" t="n">
        <v>8637614</v>
      </c>
      <c r="P12" t="n">
        <v>8578629</v>
      </c>
      <c r="Q12" t="n">
        <v>8353293</v>
      </c>
      <c r="R12" t="n">
        <v>8901008</v>
      </c>
      <c r="S12" t="n">
        <v>8331574</v>
      </c>
      <c r="T12" t="n">
        <v>6879375</v>
      </c>
      <c r="U12" t="n">
        <v>7704963</v>
      </c>
      <c r="V12" t="n">
        <v>7464413</v>
      </c>
      <c r="W12" t="n">
        <v>7344368</v>
      </c>
      <c r="X12" t="n">
        <v>7482129</v>
      </c>
      <c r="Y12" t="n">
        <v>7683666</v>
      </c>
      <c r="Z12" t="n">
        <v>8488208</v>
      </c>
      <c r="AA12" t="n">
        <v>8307352</v>
      </c>
      <c r="AB12" t="n">
        <v>8606366</v>
      </c>
      <c r="AC12" t="n">
        <v>8878198</v>
      </c>
      <c r="AD12" t="n">
        <v>9015390</v>
      </c>
      <c r="AE12" t="n">
        <v>9092588</v>
      </c>
      <c r="AF12" t="n">
        <v>9057162</v>
      </c>
    </row>
    <row r="13">
      <c r="A13" t="s">
        <v>130</v>
      </c>
      <c r="B13" t="s">
        <v>283</v>
      </c>
      <c r="C13" t="s">
        <v>131</v>
      </c>
      <c r="D13" t="s">
        <v>284</v>
      </c>
      <c r="E13" t="s">
        <v>4</v>
      </c>
      <c r="F13" t="n">
        <v>15410253</v>
      </c>
      <c r="G13" t="n">
        <v>15474577</v>
      </c>
      <c r="H13" t="n">
        <v>15752167</v>
      </c>
      <c r="I13" t="n">
        <v>13947212</v>
      </c>
      <c r="J13" t="n">
        <v>13291671</v>
      </c>
      <c r="K13" t="n">
        <v>14070504</v>
      </c>
      <c r="L13" t="n">
        <v>12963342</v>
      </c>
      <c r="M13" t="n">
        <v>11910986</v>
      </c>
      <c r="N13" t="n">
        <v>12156233</v>
      </c>
      <c r="O13" t="n">
        <v>12815240</v>
      </c>
      <c r="P13" t="n">
        <v>14322684</v>
      </c>
      <c r="Q13" t="n">
        <v>14540155</v>
      </c>
      <c r="R13" t="n">
        <v>15142024</v>
      </c>
      <c r="S13" t="n">
        <v>15041308</v>
      </c>
      <c r="T13" t="n">
        <v>11849623</v>
      </c>
      <c r="U13" t="n">
        <v>14453809</v>
      </c>
      <c r="V13" t="n">
        <v>12347192</v>
      </c>
      <c r="W13" t="n">
        <v>13596490</v>
      </c>
      <c r="X13" t="n">
        <v>13684898</v>
      </c>
      <c r="Y13" t="n">
        <v>14517636</v>
      </c>
      <c r="Z13" t="n">
        <v>15185381</v>
      </c>
      <c r="AA13" t="n">
        <v>15446685</v>
      </c>
      <c r="AB13" t="n">
        <v>15752912</v>
      </c>
      <c r="AC13" t="n">
        <v>15801295</v>
      </c>
      <c r="AD13" t="n">
        <v>15456519</v>
      </c>
      <c r="AE13" t="n">
        <v>14246950</v>
      </c>
      <c r="AF13" t="n">
        <v>15535741</v>
      </c>
    </row>
    <row r="14">
      <c r="A14" t="s">
        <v>132</v>
      </c>
      <c r="B14" t="s">
        <v>283</v>
      </c>
      <c r="C14" t="s">
        <v>133</v>
      </c>
      <c r="D14" t="s">
        <v>284</v>
      </c>
      <c r="E14" t="s">
        <v>4</v>
      </c>
      <c r="F14" t="n">
        <v>16008028</v>
      </c>
      <c r="G14" t="n">
        <v>16920553</v>
      </c>
      <c r="H14" t="n">
        <v>17563983</v>
      </c>
      <c r="I14" t="n">
        <v>17110319</v>
      </c>
      <c r="J14" t="n">
        <v>17029957</v>
      </c>
      <c r="K14" t="n">
        <v>18382106</v>
      </c>
      <c r="L14" t="n">
        <v>14768194</v>
      </c>
      <c r="M14" t="n">
        <v>14067412</v>
      </c>
      <c r="N14" t="n">
        <v>14996846</v>
      </c>
      <c r="O14" t="n">
        <v>15513451</v>
      </c>
      <c r="P14" t="n">
        <v>15250915</v>
      </c>
      <c r="Q14" t="n">
        <v>15635754</v>
      </c>
      <c r="R14" t="n">
        <v>16320792</v>
      </c>
      <c r="S14" t="n">
        <v>14897149</v>
      </c>
      <c r="T14" t="n">
        <v>11765948</v>
      </c>
      <c r="U14" t="n">
        <v>13108192</v>
      </c>
      <c r="V14" t="n">
        <v>11470946</v>
      </c>
      <c r="W14" t="n">
        <v>10140544</v>
      </c>
      <c r="X14" t="n">
        <v>10034740</v>
      </c>
      <c r="Y14" t="n">
        <v>10511704</v>
      </c>
      <c r="Z14" t="n">
        <v>11258137</v>
      </c>
      <c r="AA14" t="n">
        <v>10898186</v>
      </c>
      <c r="AB14" t="n">
        <v>10873317</v>
      </c>
      <c r="AC14" t="n">
        <v>11596439</v>
      </c>
      <c r="AD14" t="n">
        <v>10623583</v>
      </c>
      <c r="AE14" t="n">
        <v>10578765</v>
      </c>
      <c r="AF14" t="n">
        <v>11633892</v>
      </c>
    </row>
    <row r="15">
      <c r="A15" t="s">
        <v>134</v>
      </c>
      <c r="B15" t="s">
        <v>283</v>
      </c>
      <c r="C15" t="s">
        <v>135</v>
      </c>
      <c r="D15" t="s">
        <v>284</v>
      </c>
      <c r="E15" t="s">
        <v>4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283</v>
      </c>
      <c r="C16" t="s">
        <v>137</v>
      </c>
      <c r="D16" t="s">
        <v>284</v>
      </c>
      <c r="E16" t="s">
        <v>4</v>
      </c>
      <c r="F16" t="n">
        <v>9484964</v>
      </c>
      <c r="G16" t="n">
        <v>9313531</v>
      </c>
      <c r="H16" t="n">
        <v>9384004</v>
      </c>
      <c r="I16" t="n">
        <v>8771928</v>
      </c>
      <c r="J16" t="n">
        <v>8178000</v>
      </c>
      <c r="K16" t="n">
        <v>8481380</v>
      </c>
      <c r="L16" t="n">
        <v>7702936</v>
      </c>
      <c r="M16" t="n">
        <v>6854734</v>
      </c>
      <c r="N16" t="n">
        <v>7055823</v>
      </c>
      <c r="O16" t="n">
        <v>7122515</v>
      </c>
      <c r="P16" t="n">
        <v>7300142</v>
      </c>
      <c r="Q16" t="n">
        <v>7530784</v>
      </c>
      <c r="R16" t="n">
        <v>7811978</v>
      </c>
      <c r="S16" t="n">
        <v>7146732</v>
      </c>
      <c r="T16" t="n">
        <v>5902461</v>
      </c>
      <c r="U16" t="n">
        <v>6442970</v>
      </c>
      <c r="V16" t="n">
        <v>6138941</v>
      </c>
      <c r="W16" t="n">
        <v>6020288</v>
      </c>
      <c r="X16" t="n">
        <v>5963160</v>
      </c>
      <c r="Y16" t="n">
        <v>6635222</v>
      </c>
      <c r="Z16" t="n">
        <v>6630454</v>
      </c>
      <c r="AA16" t="n">
        <v>6577412</v>
      </c>
      <c r="AB16" t="n">
        <v>7055715</v>
      </c>
      <c r="AC16" t="n">
        <v>7632407</v>
      </c>
      <c r="AD16" t="n">
        <v>7364742</v>
      </c>
      <c r="AE16" t="n">
        <v>6836641</v>
      </c>
      <c r="AF16" t="n">
        <v>6686762</v>
      </c>
    </row>
    <row r="17">
      <c r="A17" t="s">
        <v>138</v>
      </c>
      <c r="B17" t="s">
        <v>283</v>
      </c>
      <c r="C17" t="s">
        <v>139</v>
      </c>
      <c r="D17" t="s">
        <v>284</v>
      </c>
      <c r="E17" t="s">
        <v>4</v>
      </c>
      <c r="F17" t="n">
        <v>11890077</v>
      </c>
      <c r="G17" t="n">
        <v>12764122</v>
      </c>
      <c r="H17" t="n">
        <v>13365666</v>
      </c>
      <c r="I17" t="n">
        <v>12599157</v>
      </c>
      <c r="J17" t="n">
        <v>11650608</v>
      </c>
      <c r="K17" t="n">
        <v>12118205</v>
      </c>
      <c r="L17" t="n">
        <v>11448459</v>
      </c>
      <c r="M17" t="n">
        <v>10077849</v>
      </c>
      <c r="N17" t="n">
        <v>10740683</v>
      </c>
      <c r="O17" t="n">
        <v>11468161</v>
      </c>
      <c r="P17" t="n">
        <v>12166661</v>
      </c>
      <c r="Q17" t="n">
        <v>12985110</v>
      </c>
      <c r="R17" t="n">
        <v>13828986</v>
      </c>
      <c r="S17" t="n">
        <v>13688186</v>
      </c>
      <c r="T17" t="n">
        <v>9652942</v>
      </c>
      <c r="U17" t="n">
        <v>11025858</v>
      </c>
      <c r="V17" t="n">
        <v>11761044</v>
      </c>
      <c r="W17" t="n">
        <v>12071556</v>
      </c>
      <c r="X17" t="n">
        <v>11727724</v>
      </c>
      <c r="Y17" t="n">
        <v>12300977</v>
      </c>
      <c r="Z17" t="n">
        <v>13387489</v>
      </c>
      <c r="AA17" t="n">
        <v>13279717</v>
      </c>
      <c r="AB17" t="n">
        <v>14382274</v>
      </c>
      <c r="AC17" t="n">
        <v>15157580</v>
      </c>
      <c r="AD17" t="n">
        <v>14629285</v>
      </c>
      <c r="AE17" t="n">
        <v>13337438</v>
      </c>
      <c r="AF17" t="n">
        <v>14808805</v>
      </c>
    </row>
    <row r="18">
      <c r="A18" t="s">
        <v>140</v>
      </c>
      <c r="B18" t="s">
        <v>283</v>
      </c>
      <c r="C18" t="s">
        <v>141</v>
      </c>
      <c r="D18" t="s">
        <v>284</v>
      </c>
      <c r="E18" t="s">
        <v>4</v>
      </c>
      <c r="F18" t="n">
        <v>12612936</v>
      </c>
      <c r="G18" t="n">
        <v>13234862</v>
      </c>
      <c r="H18" t="n">
        <v>13092597</v>
      </c>
      <c r="I18" t="n">
        <v>13836853</v>
      </c>
      <c r="J18" t="n">
        <v>13197228</v>
      </c>
      <c r="K18" t="n">
        <v>12742805</v>
      </c>
      <c r="L18" t="n">
        <v>13137059</v>
      </c>
      <c r="M18" t="n">
        <v>14942730</v>
      </c>
      <c r="N18" t="n">
        <v>14636946</v>
      </c>
      <c r="O18" t="n">
        <v>15026051</v>
      </c>
      <c r="P18" t="n">
        <v>16326737</v>
      </c>
      <c r="Q18" t="n">
        <v>16386554</v>
      </c>
      <c r="R18" t="n">
        <v>17459798</v>
      </c>
      <c r="S18" t="n">
        <v>15987720</v>
      </c>
      <c r="T18" t="n">
        <v>12508000</v>
      </c>
      <c r="U18" t="n">
        <v>14897842</v>
      </c>
      <c r="V18" t="n">
        <v>12796021</v>
      </c>
      <c r="W18" t="n">
        <v>14163981</v>
      </c>
      <c r="X18" t="n">
        <v>13705655</v>
      </c>
      <c r="Y18" t="n">
        <v>14318765</v>
      </c>
      <c r="Z18" t="n">
        <v>15554174</v>
      </c>
      <c r="AA18" t="n">
        <v>14998952</v>
      </c>
      <c r="AB18" t="n">
        <v>15622329</v>
      </c>
      <c r="AC18" t="n">
        <v>15207600</v>
      </c>
      <c r="AD18" t="n">
        <v>14251622</v>
      </c>
      <c r="AE18" t="n">
        <v>13086223</v>
      </c>
      <c r="AF18" t="n">
        <v>13455563</v>
      </c>
    </row>
    <row r="19">
      <c r="A19" t="s">
        <v>142</v>
      </c>
      <c r="B19" t="s">
        <v>283</v>
      </c>
      <c r="C19" t="s">
        <v>143</v>
      </c>
      <c r="D19" t="s">
        <v>284</v>
      </c>
      <c r="E19" t="s">
        <v>4</v>
      </c>
      <c r="F19" t="n">
        <v>3261565</v>
      </c>
      <c r="G19" t="n">
        <v>3266322</v>
      </c>
      <c r="H19" t="n">
        <v>3222936</v>
      </c>
      <c r="I19" t="n">
        <v>3145532</v>
      </c>
      <c r="J19" t="n">
        <v>2864024</v>
      </c>
      <c r="K19" t="n">
        <v>2920126</v>
      </c>
      <c r="L19" t="n">
        <v>2722782</v>
      </c>
      <c r="M19" t="n">
        <v>2524139</v>
      </c>
      <c r="N19" t="n">
        <v>2413145</v>
      </c>
      <c r="O19" t="n">
        <v>2309816</v>
      </c>
      <c r="P19" t="n">
        <v>2383493</v>
      </c>
      <c r="Q19" t="n">
        <v>2242114</v>
      </c>
      <c r="R19" t="n">
        <v>2298159</v>
      </c>
      <c r="S19" t="n">
        <v>2199939</v>
      </c>
      <c r="T19" t="n">
        <v>1837735</v>
      </c>
      <c r="U19" t="n">
        <v>1867547</v>
      </c>
      <c r="V19" t="n">
        <v>1816385</v>
      </c>
      <c r="W19" t="n">
        <v>1815098</v>
      </c>
      <c r="X19" t="n">
        <v>1872370</v>
      </c>
      <c r="Y19" t="n">
        <v>1962726</v>
      </c>
      <c r="Z19" t="n">
        <v>2070053</v>
      </c>
      <c r="AA19" t="n">
        <v>1974107</v>
      </c>
      <c r="AB19" t="n">
        <v>2089341</v>
      </c>
      <c r="AC19" t="n">
        <v>2197930</v>
      </c>
      <c r="AD19" t="n">
        <v>2264052</v>
      </c>
      <c r="AE19" t="n">
        <v>2210183</v>
      </c>
      <c r="AF19" t="n">
        <v>2303320</v>
      </c>
    </row>
    <row r="20">
      <c r="A20" t="s">
        <v>144</v>
      </c>
      <c r="B20" t="s">
        <v>283</v>
      </c>
      <c r="C20" t="s">
        <v>145</v>
      </c>
      <c r="D20" t="s">
        <v>284</v>
      </c>
      <c r="E20" t="s">
        <v>4</v>
      </c>
      <c r="F20" t="n">
        <v>10772636</v>
      </c>
      <c r="G20" t="n">
        <v>10780663</v>
      </c>
      <c r="H20" t="n">
        <v>11536700</v>
      </c>
      <c r="I20" t="n">
        <v>11816421</v>
      </c>
      <c r="J20" t="n">
        <v>11682062</v>
      </c>
      <c r="K20" t="n">
        <v>11395190</v>
      </c>
      <c r="L20" t="n">
        <v>11451741</v>
      </c>
      <c r="M20" t="n">
        <v>10945578</v>
      </c>
      <c r="N20" t="n">
        <v>10358183</v>
      </c>
      <c r="O20" t="n">
        <v>10175358</v>
      </c>
      <c r="P20" t="n">
        <v>9320916</v>
      </c>
      <c r="Q20" t="n">
        <v>8611923</v>
      </c>
      <c r="R20" t="n">
        <v>7552583</v>
      </c>
      <c r="S20" t="n">
        <v>6711027</v>
      </c>
      <c r="T20" t="n">
        <v>8094082</v>
      </c>
      <c r="U20" t="n">
        <v>8027223</v>
      </c>
      <c r="V20" t="n">
        <v>5215142</v>
      </c>
      <c r="W20" t="n">
        <v>4244869</v>
      </c>
      <c r="X20" t="n">
        <v>4956031</v>
      </c>
      <c r="Y20" t="n">
        <v>6414144</v>
      </c>
      <c r="Z20" t="n">
        <v>8370166</v>
      </c>
      <c r="AA20" t="n">
        <v>8564987</v>
      </c>
      <c r="AB20" t="n">
        <v>8732461</v>
      </c>
      <c r="AC20" t="n">
        <v>8646329</v>
      </c>
      <c r="AD20" t="n">
        <v>9241471</v>
      </c>
      <c r="AE20" t="n">
        <v>9372026</v>
      </c>
      <c r="AF20" t="n">
        <v>6833905</v>
      </c>
    </row>
    <row r="21">
      <c r="A21" t="s">
        <v>146</v>
      </c>
      <c r="B21" t="s">
        <v>283</v>
      </c>
      <c r="C21" t="s">
        <v>147</v>
      </c>
      <c r="D21" t="s">
        <v>284</v>
      </c>
      <c r="E21" t="s">
        <v>4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283</v>
      </c>
      <c r="C22" t="s">
        <v>149</v>
      </c>
      <c r="D22" t="s">
        <v>284</v>
      </c>
      <c r="E22" t="s">
        <v>4</v>
      </c>
      <c r="F22" t="n">
        <v>5351931</v>
      </c>
      <c r="G22" t="n">
        <v>5685317</v>
      </c>
      <c r="H22" t="n">
        <v>5907159</v>
      </c>
      <c r="I22" t="n">
        <v>6065142</v>
      </c>
      <c r="J22" t="n">
        <v>6227691</v>
      </c>
      <c r="K22" t="n">
        <v>6168116</v>
      </c>
      <c r="L22" t="n">
        <v>6362004</v>
      </c>
      <c r="M22" t="n">
        <v>6442841</v>
      </c>
      <c r="N22" t="n">
        <v>6405072</v>
      </c>
      <c r="O22" t="n">
        <v>6437308</v>
      </c>
      <c r="P22" t="n">
        <v>6479794</v>
      </c>
      <c r="Q22" t="n">
        <v>6518600</v>
      </c>
      <c r="R22" t="n">
        <v>6615855</v>
      </c>
      <c r="S22" t="n">
        <v>6644548</v>
      </c>
      <c r="T22" t="n">
        <v>6599085</v>
      </c>
      <c r="U22" t="n">
        <v>6463566</v>
      </c>
      <c r="V22" t="n">
        <v>6498760</v>
      </c>
      <c r="W22" t="n">
        <v>6510821</v>
      </c>
      <c r="X22" t="n">
        <v>6578407</v>
      </c>
      <c r="Y22" t="n">
        <v>6822567</v>
      </c>
      <c r="Z22" t="n">
        <v>7020790</v>
      </c>
      <c r="AA22" t="n">
        <v>7199790</v>
      </c>
      <c r="AB22" t="n">
        <v>7474191</v>
      </c>
      <c r="AC22" t="n">
        <v>7636105</v>
      </c>
      <c r="AD22" t="n">
        <v>7810045</v>
      </c>
      <c r="AE22" t="n">
        <v>7917086</v>
      </c>
      <c r="AF22" t="n">
        <v>8332186</v>
      </c>
    </row>
    <row r="23">
      <c r="A23" t="s">
        <v>150</v>
      </c>
      <c r="B23" t="s">
        <v>283</v>
      </c>
      <c r="C23" t="s">
        <v>151</v>
      </c>
      <c r="D23" t="s">
        <v>284</v>
      </c>
      <c r="E23" t="s">
        <v>4</v>
      </c>
      <c r="F23" t="n">
        <v>39602789</v>
      </c>
      <c r="G23" t="n">
        <v>41205114</v>
      </c>
      <c r="H23" t="n">
        <v>39272122</v>
      </c>
      <c r="I23" t="n">
        <v>37950676</v>
      </c>
      <c r="J23" t="n">
        <v>36753940</v>
      </c>
      <c r="K23" t="n">
        <v>35695728</v>
      </c>
      <c r="L23" t="n">
        <v>34013890</v>
      </c>
      <c r="M23" t="n">
        <v>31958035</v>
      </c>
      <c r="N23" t="n">
        <v>30748923</v>
      </c>
      <c r="O23" t="n">
        <v>29808169</v>
      </c>
      <c r="P23" t="n">
        <v>28777343</v>
      </c>
      <c r="Q23" t="n">
        <v>28707557</v>
      </c>
      <c r="R23" t="n">
        <v>27078619</v>
      </c>
      <c r="S23" t="n">
        <v>25923441</v>
      </c>
      <c r="T23" t="n">
        <v>24923603</v>
      </c>
      <c r="U23" t="n">
        <v>23464645</v>
      </c>
      <c r="V23" t="n">
        <v>23611634</v>
      </c>
      <c r="W23" t="n">
        <v>23447552</v>
      </c>
      <c r="X23" t="n">
        <v>25350662</v>
      </c>
      <c r="Y23" t="n">
        <v>26416880</v>
      </c>
      <c r="Z23" t="n">
        <v>27894668</v>
      </c>
      <c r="AA23" t="n">
        <v>29281498</v>
      </c>
      <c r="AB23" t="n">
        <v>30122930</v>
      </c>
      <c r="AC23" t="n">
        <v>30048042</v>
      </c>
      <c r="AD23" t="n">
        <v>30433978</v>
      </c>
      <c r="AE23" t="n">
        <v>30809216</v>
      </c>
      <c r="AF23" t="n">
        <v>30156361</v>
      </c>
    </row>
    <row r="24">
      <c r="A24" t="s">
        <v>152</v>
      </c>
      <c r="B24" t="s">
        <v>283</v>
      </c>
      <c r="C24" t="s">
        <v>153</v>
      </c>
      <c r="D24" t="s">
        <v>284</v>
      </c>
      <c r="E24" t="s">
        <v>4</v>
      </c>
      <c r="F24" t="n">
        <v>75567720</v>
      </c>
      <c r="G24" t="n">
        <v>76014084</v>
      </c>
      <c r="H24" t="n">
        <v>78863151</v>
      </c>
      <c r="I24" t="n">
        <v>76469585</v>
      </c>
      <c r="J24" t="n">
        <v>76206009</v>
      </c>
      <c r="K24" t="n">
        <v>74726165</v>
      </c>
      <c r="L24" t="n">
        <v>74580579</v>
      </c>
      <c r="M24" t="n">
        <v>73776368</v>
      </c>
      <c r="N24" t="n">
        <v>73571744</v>
      </c>
      <c r="O24" t="n">
        <v>77636200</v>
      </c>
      <c r="P24" t="n">
        <v>78826673</v>
      </c>
      <c r="Q24" t="n">
        <v>75885062</v>
      </c>
      <c r="R24" t="n">
        <v>73964581</v>
      </c>
      <c r="S24" t="n">
        <v>74224479</v>
      </c>
      <c r="T24" t="n">
        <v>67740965</v>
      </c>
      <c r="U24" t="n">
        <v>69563937</v>
      </c>
      <c r="V24" t="n">
        <v>70364309</v>
      </c>
      <c r="W24" t="n">
        <v>71655283</v>
      </c>
      <c r="X24" t="n">
        <v>72863503</v>
      </c>
      <c r="Y24" t="n">
        <v>71543475</v>
      </c>
      <c r="Z24" t="n">
        <v>72364708</v>
      </c>
      <c r="AA24" t="n">
        <v>72547178</v>
      </c>
      <c r="AB24" t="n">
        <v>74377770</v>
      </c>
      <c r="AC24" t="n">
        <v>73052981</v>
      </c>
      <c r="AD24" t="n">
        <v>71754612</v>
      </c>
      <c r="AE24" t="n">
        <v>71171530</v>
      </c>
      <c r="AF24" t="n">
        <v>77224478</v>
      </c>
    </row>
    <row r="25">
      <c r="A25" t="s">
        <v>154</v>
      </c>
      <c r="B25" t="s">
        <v>283</v>
      </c>
      <c r="C25" t="s">
        <v>155</v>
      </c>
      <c r="D25" t="s">
        <v>284</v>
      </c>
      <c r="E25" t="s">
        <v>4</v>
      </c>
      <c r="F25" t="n">
        <v>3809910</v>
      </c>
      <c r="G25" t="n">
        <v>3995779</v>
      </c>
      <c r="H25" t="n">
        <v>4337900</v>
      </c>
      <c r="I25" t="n">
        <v>4392995</v>
      </c>
      <c r="J25" t="n">
        <v>4649479</v>
      </c>
      <c r="K25" t="n">
        <v>4941495</v>
      </c>
      <c r="L25" t="n">
        <v>4407134</v>
      </c>
      <c r="M25" t="n">
        <v>4272316</v>
      </c>
      <c r="N25" t="n">
        <v>4260628</v>
      </c>
      <c r="O25" t="n">
        <v>4335949</v>
      </c>
      <c r="P25" t="n">
        <v>3645252</v>
      </c>
      <c r="Q25" t="n">
        <v>3333721</v>
      </c>
      <c r="R25" t="n">
        <v>3015623</v>
      </c>
      <c r="S25" t="n">
        <v>2528043</v>
      </c>
      <c r="T25" t="n">
        <v>1992729</v>
      </c>
      <c r="U25" t="n">
        <v>1943907</v>
      </c>
      <c r="V25" t="n">
        <v>1507595</v>
      </c>
      <c r="W25" t="n">
        <v>1625165</v>
      </c>
      <c r="X25" t="n">
        <v>1764057</v>
      </c>
      <c r="Y25" t="n">
        <v>2002435</v>
      </c>
      <c r="Z25" t="n">
        <v>2161120</v>
      </c>
      <c r="AA25" t="n">
        <v>2255284</v>
      </c>
      <c r="AB25" t="n">
        <v>2408011</v>
      </c>
      <c r="AC25" t="n">
        <v>2405083</v>
      </c>
      <c r="AD25" t="n">
        <v>2430087</v>
      </c>
      <c r="AE25" t="n">
        <v>2440969</v>
      </c>
      <c r="AF25" t="n">
        <v>2306884</v>
      </c>
    </row>
    <row r="26">
      <c r="A26" t="s">
        <v>156</v>
      </c>
      <c r="B26" t="s">
        <v>283</v>
      </c>
      <c r="C26" t="s">
        <v>157</v>
      </c>
      <c r="D26" t="s">
        <v>284</v>
      </c>
      <c r="E26" t="s">
        <v>4</v>
      </c>
      <c r="F26" t="n">
        <v>43143338</v>
      </c>
      <c r="G26" t="n">
        <v>43478287</v>
      </c>
      <c r="H26" t="n">
        <v>46509205</v>
      </c>
      <c r="I26" t="n">
        <v>45537253</v>
      </c>
      <c r="J26" t="n">
        <v>45275442</v>
      </c>
      <c r="K26" t="n">
        <v>43861525</v>
      </c>
      <c r="L26" t="n">
        <v>43404346</v>
      </c>
      <c r="M26" t="n">
        <v>42404763</v>
      </c>
      <c r="N26" t="n">
        <v>42082950</v>
      </c>
      <c r="O26" t="n">
        <v>46401105</v>
      </c>
      <c r="P26" t="n">
        <v>50113238</v>
      </c>
      <c r="Q26" t="n">
        <v>48603505</v>
      </c>
      <c r="R26" t="n">
        <v>46723017</v>
      </c>
      <c r="S26" t="n">
        <v>47139760</v>
      </c>
      <c r="T26" t="n">
        <v>40221863</v>
      </c>
      <c r="U26" t="n">
        <v>41447222</v>
      </c>
      <c r="V26" t="n">
        <v>43151798</v>
      </c>
      <c r="W26" t="n">
        <v>42087303</v>
      </c>
      <c r="X26" t="n">
        <v>41517869</v>
      </c>
      <c r="Y26" t="n">
        <v>38433326</v>
      </c>
      <c r="Z26" t="n">
        <v>37398316</v>
      </c>
      <c r="AA26" t="n">
        <v>37220196</v>
      </c>
      <c r="AB26" t="n">
        <v>38755766</v>
      </c>
      <c r="AC26" t="n">
        <v>38528150</v>
      </c>
      <c r="AD26" t="n">
        <v>36611391</v>
      </c>
      <c r="AE26" t="n">
        <v>36389644</v>
      </c>
      <c r="AF26" t="n">
        <v>41362805</v>
      </c>
    </row>
    <row r="27">
      <c r="A27" t="s">
        <v>158</v>
      </c>
      <c r="B27" t="s">
        <v>283</v>
      </c>
      <c r="C27" t="s">
        <v>159</v>
      </c>
      <c r="D27" t="s">
        <v>284</v>
      </c>
      <c r="E27" t="s">
        <v>4</v>
      </c>
      <c r="F27" t="n">
        <v>28614472</v>
      </c>
      <c r="G27" t="n">
        <v>28540018</v>
      </c>
      <c r="H27" t="n">
        <v>28016046</v>
      </c>
      <c r="I27" t="n">
        <v>26539337</v>
      </c>
      <c r="J27" t="n">
        <v>26281088</v>
      </c>
      <c r="K27" t="n">
        <v>25923145</v>
      </c>
      <c r="L27" t="n">
        <v>26769099</v>
      </c>
      <c r="M27" t="n">
        <v>27099289</v>
      </c>
      <c r="N27" t="n">
        <v>27228166</v>
      </c>
      <c r="O27" t="n">
        <v>26899146</v>
      </c>
      <c r="P27" t="n">
        <v>25068183</v>
      </c>
      <c r="Q27" t="n">
        <v>23947836</v>
      </c>
      <c r="R27" t="n">
        <v>24225941</v>
      </c>
      <c r="S27" t="n">
        <v>24556676</v>
      </c>
      <c r="T27" t="n">
        <v>25526373</v>
      </c>
      <c r="U27" t="n">
        <v>26172808</v>
      </c>
      <c r="V27" t="n">
        <v>25704916</v>
      </c>
      <c r="W27" t="n">
        <v>27942815</v>
      </c>
      <c r="X27" t="n">
        <v>29581577</v>
      </c>
      <c r="Y27" t="n">
        <v>31107714</v>
      </c>
      <c r="Z27" t="n">
        <v>32805272</v>
      </c>
      <c r="AA27" t="n">
        <v>33071698</v>
      </c>
      <c r="AB27" t="n">
        <v>33213993</v>
      </c>
      <c r="AC27" t="n">
        <v>32119748</v>
      </c>
      <c r="AD27" t="n">
        <v>32713134</v>
      </c>
      <c r="AE27" t="n">
        <v>32340917</v>
      </c>
      <c r="AF27" t="n">
        <v>33554789</v>
      </c>
    </row>
    <row r="28">
      <c r="A28" t="s">
        <v>160</v>
      </c>
      <c r="B28" t="s">
        <v>283</v>
      </c>
      <c r="C28" t="s">
        <v>161</v>
      </c>
      <c r="D28" t="s">
        <v>284</v>
      </c>
      <c r="E28" t="s">
        <v>4</v>
      </c>
      <c r="F28" t="n">
        <v>28762895</v>
      </c>
      <c r="G28" t="n">
        <v>27349323</v>
      </c>
      <c r="H28" t="n">
        <v>27402197</v>
      </c>
      <c r="I28" t="n">
        <v>26576650</v>
      </c>
      <c r="J28" t="n">
        <v>26093692</v>
      </c>
      <c r="K28" t="n">
        <v>26122898</v>
      </c>
      <c r="L28" t="n">
        <v>26123315</v>
      </c>
      <c r="M28" t="n">
        <v>26233109</v>
      </c>
      <c r="N28" t="n">
        <v>26473192</v>
      </c>
      <c r="O28" t="n">
        <v>27285443</v>
      </c>
      <c r="P28" t="n">
        <v>27115757</v>
      </c>
      <c r="Q28" t="n">
        <v>28111286</v>
      </c>
      <c r="R28" t="n">
        <v>29058249</v>
      </c>
      <c r="S28" t="n">
        <v>27997961</v>
      </c>
      <c r="T28" t="n">
        <v>25308359</v>
      </c>
      <c r="U28" t="n">
        <v>25785505</v>
      </c>
      <c r="V28" t="n">
        <v>25033445</v>
      </c>
      <c r="W28" t="n">
        <v>26145534</v>
      </c>
      <c r="X28" t="n">
        <v>26326982</v>
      </c>
      <c r="Y28" t="n">
        <v>27806456</v>
      </c>
      <c r="Z28" t="n">
        <v>28495693</v>
      </c>
      <c r="AA28" t="n">
        <v>28529243</v>
      </c>
      <c r="AB28" t="n">
        <v>29386392</v>
      </c>
      <c r="AC28" t="n">
        <v>29549434</v>
      </c>
      <c r="AD28" t="n">
        <v>29909443</v>
      </c>
      <c r="AE28" t="n">
        <v>22754632</v>
      </c>
      <c r="AF28" t="n">
        <v>22626022</v>
      </c>
    </row>
    <row r="29">
      <c r="A29" t="s">
        <v>162</v>
      </c>
      <c r="B29" t="s">
        <v>283</v>
      </c>
      <c r="C29" t="s">
        <v>163</v>
      </c>
      <c r="D29" t="s">
        <v>284</v>
      </c>
      <c r="E29" t="s">
        <v>4</v>
      </c>
      <c r="F29" t="n">
        <v>21074619</v>
      </c>
      <c r="G29" t="n">
        <v>19840520</v>
      </c>
      <c r="H29" t="n">
        <v>19962597</v>
      </c>
      <c r="I29" t="n">
        <v>19430820</v>
      </c>
      <c r="J29" t="n">
        <v>19414958</v>
      </c>
      <c r="K29" t="n">
        <v>19693599</v>
      </c>
      <c r="L29" t="n">
        <v>19842672</v>
      </c>
      <c r="M29" t="n">
        <v>19995503</v>
      </c>
      <c r="N29" t="n">
        <v>20327834</v>
      </c>
      <c r="O29" t="n">
        <v>20583520</v>
      </c>
      <c r="P29" t="n">
        <v>20373805</v>
      </c>
      <c r="Q29" t="n">
        <v>21058643</v>
      </c>
      <c r="R29" t="n">
        <v>21734611</v>
      </c>
      <c r="S29" t="n">
        <v>20956314</v>
      </c>
      <c r="T29" t="n">
        <v>19533057</v>
      </c>
      <c r="U29" t="n">
        <v>19484194</v>
      </c>
      <c r="V29" t="n">
        <v>18926204</v>
      </c>
      <c r="W29" t="n">
        <v>19807170</v>
      </c>
      <c r="X29" t="n">
        <v>19718327</v>
      </c>
      <c r="Y29" t="n">
        <v>21015821</v>
      </c>
      <c r="Z29" t="n">
        <v>21577610</v>
      </c>
      <c r="AA29" t="n">
        <v>21732826</v>
      </c>
      <c r="AB29" t="n">
        <v>22373060</v>
      </c>
      <c r="AC29" t="n">
        <v>22883222</v>
      </c>
      <c r="AD29" t="n">
        <v>23279133</v>
      </c>
      <c r="AE29" t="n">
        <v>17586889</v>
      </c>
      <c r="AF29" t="n">
        <v>17939318</v>
      </c>
    </row>
    <row r="30">
      <c r="A30" t="s">
        <v>164</v>
      </c>
      <c r="B30" t="s">
        <v>283</v>
      </c>
      <c r="C30" t="s">
        <v>165</v>
      </c>
      <c r="D30" t="s">
        <v>284</v>
      </c>
      <c r="E30" t="s">
        <v>4</v>
      </c>
      <c r="F30" t="n">
        <v>2575190</v>
      </c>
      <c r="G30" t="n">
        <v>2099193</v>
      </c>
      <c r="H30" t="n">
        <v>2332675</v>
      </c>
      <c r="I30" t="n">
        <v>2479566</v>
      </c>
      <c r="J30" t="n">
        <v>2208623</v>
      </c>
      <c r="K30" t="n">
        <v>2045541</v>
      </c>
      <c r="L30" t="n">
        <v>2065624</v>
      </c>
      <c r="M30" t="n">
        <v>2031696</v>
      </c>
      <c r="N30" t="n">
        <v>2070521</v>
      </c>
      <c r="O30" t="n">
        <v>2211654</v>
      </c>
      <c r="P30" t="n">
        <v>2221959</v>
      </c>
      <c r="Q30" t="n">
        <v>2453782</v>
      </c>
      <c r="R30" t="n">
        <v>2755550</v>
      </c>
      <c r="S30" t="n">
        <v>2781053</v>
      </c>
      <c r="T30" t="n">
        <v>1830786</v>
      </c>
      <c r="U30" t="n">
        <v>2134546</v>
      </c>
      <c r="V30" t="n">
        <v>1885661</v>
      </c>
      <c r="W30" t="n">
        <v>1901283</v>
      </c>
      <c r="X30" t="n">
        <v>2011455</v>
      </c>
      <c r="Y30" t="n">
        <v>2155414</v>
      </c>
      <c r="Z30" t="n">
        <v>2119168</v>
      </c>
      <c r="AA30" t="n">
        <v>1928771</v>
      </c>
      <c r="AB30" t="n">
        <v>2009717</v>
      </c>
      <c r="AC30" t="n">
        <v>1583739</v>
      </c>
      <c r="AD30" t="n">
        <v>1570733</v>
      </c>
      <c r="AE30" t="n">
        <v>1486993</v>
      </c>
      <c r="AF30" t="n">
        <v>1346328</v>
      </c>
    </row>
    <row r="31">
      <c r="A31" t="s">
        <v>166</v>
      </c>
      <c r="B31" t="s">
        <v>283</v>
      </c>
      <c r="C31" t="s">
        <v>167</v>
      </c>
      <c r="D31" t="s">
        <v>284</v>
      </c>
      <c r="E31" t="s">
        <v>4</v>
      </c>
      <c r="F31" t="n">
        <v>1672337</v>
      </c>
      <c r="G31" t="n">
        <v>1728438</v>
      </c>
      <c r="H31" t="n">
        <v>1726394</v>
      </c>
      <c r="I31" t="n">
        <v>1683730</v>
      </c>
      <c r="J31" t="n">
        <v>1745570</v>
      </c>
      <c r="K31" t="n">
        <v>1856740</v>
      </c>
      <c r="L31" t="n">
        <v>1680847</v>
      </c>
      <c r="M31" t="n">
        <v>1632442</v>
      </c>
      <c r="N31" t="n">
        <v>1526839</v>
      </c>
      <c r="O31" t="n">
        <v>1689208</v>
      </c>
      <c r="P31" t="n">
        <v>1629094</v>
      </c>
      <c r="Q31" t="n">
        <v>1682488</v>
      </c>
      <c r="R31" t="n">
        <v>1725886</v>
      </c>
      <c r="S31" t="n">
        <v>1528634</v>
      </c>
      <c r="T31" t="n">
        <v>1281313</v>
      </c>
      <c r="U31" t="n">
        <v>1456007</v>
      </c>
      <c r="V31" t="n">
        <v>1552706</v>
      </c>
      <c r="W31" t="n">
        <v>1450314</v>
      </c>
      <c r="X31" t="n">
        <v>1559769</v>
      </c>
      <c r="Y31" t="n">
        <v>1458841</v>
      </c>
      <c r="Z31" t="n">
        <v>1411450</v>
      </c>
      <c r="AA31" t="n">
        <v>1464383</v>
      </c>
      <c r="AB31" t="n">
        <v>1469238</v>
      </c>
      <c r="AC31" t="n">
        <v>1492381</v>
      </c>
      <c r="AD31" t="n">
        <v>1478496</v>
      </c>
      <c r="AE31" t="n">
        <v>727900</v>
      </c>
      <c r="AF31" t="n">
        <v>473026</v>
      </c>
    </row>
    <row r="32">
      <c r="A32" t="s">
        <v>168</v>
      </c>
      <c r="B32" t="s">
        <v>283</v>
      </c>
      <c r="C32" t="s">
        <v>169</v>
      </c>
      <c r="D32" t="s">
        <v>284</v>
      </c>
      <c r="E32" t="s">
        <v>4</v>
      </c>
      <c r="F32" t="n">
        <v>1738202</v>
      </c>
      <c r="G32" t="n">
        <v>1959395</v>
      </c>
      <c r="H32" t="n">
        <v>1674069</v>
      </c>
      <c r="I32" t="n">
        <v>1336854</v>
      </c>
      <c r="J32" t="n">
        <v>1093709</v>
      </c>
      <c r="K32" t="n">
        <v>881487</v>
      </c>
      <c r="L32" t="n">
        <v>885101</v>
      </c>
      <c r="M32" t="n">
        <v>955656</v>
      </c>
      <c r="N32" t="n">
        <v>970417</v>
      </c>
      <c r="O32" t="n">
        <v>1212103</v>
      </c>
      <c r="P32" t="n">
        <v>1319602</v>
      </c>
      <c r="Q32" t="n">
        <v>1309696</v>
      </c>
      <c r="R32" t="n">
        <v>1265843</v>
      </c>
      <c r="S32" t="n">
        <v>1290291</v>
      </c>
      <c r="T32" t="n">
        <v>1234191</v>
      </c>
      <c r="U32" t="n">
        <v>1352367</v>
      </c>
      <c r="V32" t="n">
        <v>1282255</v>
      </c>
      <c r="W32" t="n">
        <v>1642566</v>
      </c>
      <c r="X32" t="n">
        <v>1697637</v>
      </c>
      <c r="Y32" t="n">
        <v>1840103</v>
      </c>
      <c r="Z32" t="n">
        <v>2031292</v>
      </c>
      <c r="AA32" t="n">
        <v>2027810</v>
      </c>
      <c r="AB32" t="n">
        <v>2107303</v>
      </c>
      <c r="AC32" t="n">
        <v>2098082</v>
      </c>
      <c r="AD32" t="n">
        <v>2065467</v>
      </c>
      <c r="AE32" t="n">
        <v>1422279</v>
      </c>
      <c r="AF32" t="n">
        <v>1374759</v>
      </c>
    </row>
    <row r="33">
      <c r="A33" t="s">
        <v>170</v>
      </c>
      <c r="B33" t="s">
        <v>283</v>
      </c>
      <c r="C33" t="s">
        <v>171</v>
      </c>
      <c r="D33" t="s">
        <v>284</v>
      </c>
      <c r="E33" t="s">
        <v>4</v>
      </c>
      <c r="F33" t="n">
        <v>1702547</v>
      </c>
      <c r="G33" t="n">
        <v>1721777</v>
      </c>
      <c r="H33" t="n">
        <v>1706462</v>
      </c>
      <c r="I33" t="n">
        <v>1645680</v>
      </c>
      <c r="J33" t="n">
        <v>1630832</v>
      </c>
      <c r="K33" t="n">
        <v>1645531</v>
      </c>
      <c r="L33" t="n">
        <v>1649071</v>
      </c>
      <c r="M33" t="n">
        <v>1617812</v>
      </c>
      <c r="N33" t="n">
        <v>1577581</v>
      </c>
      <c r="O33" t="n">
        <v>1588958</v>
      </c>
      <c r="P33" t="n">
        <v>1571297</v>
      </c>
      <c r="Q33" t="n">
        <v>1606677</v>
      </c>
      <c r="R33" t="n">
        <v>1576359</v>
      </c>
      <c r="S33" t="n">
        <v>1441669</v>
      </c>
      <c r="T33" t="n">
        <v>1429012</v>
      </c>
      <c r="U33" t="n">
        <v>1358391</v>
      </c>
      <c r="V33" t="n">
        <v>1386619</v>
      </c>
      <c r="W33" t="n">
        <v>1344201</v>
      </c>
      <c r="X33" t="n">
        <v>1339794</v>
      </c>
      <c r="Y33" t="n">
        <v>1336277</v>
      </c>
      <c r="Z33" t="n">
        <v>1356173</v>
      </c>
      <c r="AA33" t="n">
        <v>1375453</v>
      </c>
      <c r="AB33" t="n">
        <v>1427074</v>
      </c>
      <c r="AC33" t="n">
        <v>1492010</v>
      </c>
      <c r="AD33" t="n">
        <v>1515614</v>
      </c>
      <c r="AE33" t="n">
        <v>1530571</v>
      </c>
      <c r="AF33" t="n">
        <v>1492591</v>
      </c>
    </row>
    <row r="34">
      <c r="A34" t="s">
        <v>172</v>
      </c>
      <c r="B34" t="s">
        <v>283</v>
      </c>
      <c r="C34" t="s">
        <v>173</v>
      </c>
      <c r="D34" t="s">
        <v>284</v>
      </c>
      <c r="E34" t="s">
        <v>4</v>
      </c>
      <c r="F34" t="n">
        <v>15860388</v>
      </c>
      <c r="G34" t="n">
        <v>16363384</v>
      </c>
      <c r="H34" t="n">
        <v>17201887</v>
      </c>
      <c r="I34" t="n">
        <v>17306025</v>
      </c>
      <c r="J34" t="n">
        <v>17213987</v>
      </c>
      <c r="K34" t="n">
        <v>16662253</v>
      </c>
      <c r="L34" t="n">
        <v>16315673</v>
      </c>
      <c r="M34" t="n">
        <v>16167406</v>
      </c>
      <c r="N34" t="n">
        <v>15655028</v>
      </c>
      <c r="O34" t="n">
        <v>15058973</v>
      </c>
      <c r="P34" t="n">
        <v>14390533</v>
      </c>
      <c r="Q34" t="n">
        <v>14457749</v>
      </c>
      <c r="R34" t="n">
        <v>14600459</v>
      </c>
      <c r="S34" t="n">
        <v>13856620</v>
      </c>
      <c r="T34" t="n">
        <v>13445626</v>
      </c>
      <c r="U34" t="n">
        <v>12914157</v>
      </c>
      <c r="V34" t="n">
        <v>12517470</v>
      </c>
      <c r="W34" t="n">
        <v>11950466</v>
      </c>
      <c r="X34" t="n">
        <v>12523691</v>
      </c>
      <c r="Y34" t="n">
        <v>12834422</v>
      </c>
      <c r="Z34" t="n">
        <v>12722740</v>
      </c>
      <c r="AA34" t="n">
        <v>13898097</v>
      </c>
      <c r="AB34" t="n">
        <v>14245718</v>
      </c>
      <c r="AC34" t="n">
        <v>14311645</v>
      </c>
      <c r="AD34" t="n">
        <v>13836565</v>
      </c>
      <c r="AE34" t="n">
        <v>8949706</v>
      </c>
      <c r="AF34" t="n">
        <v>7676877</v>
      </c>
    </row>
    <row r="35">
      <c r="A35" t="s">
        <v>174</v>
      </c>
      <c r="B35" t="s">
        <v>283</v>
      </c>
      <c r="C35" t="s">
        <v>175</v>
      </c>
      <c r="D35" t="s">
        <v>284</v>
      </c>
      <c r="E35" t="s">
        <v>4</v>
      </c>
      <c r="F35" t="n">
        <v>17234468</v>
      </c>
      <c r="G35" t="n">
        <v>19718573</v>
      </c>
      <c r="H35" t="n">
        <v>21532697</v>
      </c>
      <c r="I35" t="n">
        <v>23377701</v>
      </c>
      <c r="J35" t="n">
        <v>24072270</v>
      </c>
      <c r="K35" t="n">
        <v>25182333</v>
      </c>
      <c r="L35" t="n">
        <v>26071956</v>
      </c>
      <c r="M35" t="n">
        <v>26498984</v>
      </c>
      <c r="N35" t="n">
        <v>26771495</v>
      </c>
      <c r="O35" t="n">
        <v>26483099</v>
      </c>
      <c r="P35" t="n">
        <v>26832846</v>
      </c>
      <c r="Q35" t="n">
        <v>26852827</v>
      </c>
      <c r="R35" t="n">
        <v>26949292</v>
      </c>
      <c r="S35" t="n">
        <v>26899026</v>
      </c>
      <c r="T35" t="n">
        <v>25788914</v>
      </c>
      <c r="U35" t="n">
        <v>25357685</v>
      </c>
      <c r="V35" t="n">
        <v>24902819</v>
      </c>
      <c r="W35" t="n">
        <v>24916302</v>
      </c>
      <c r="X35" t="n">
        <v>25293576</v>
      </c>
      <c r="Y35" t="n">
        <v>25630623</v>
      </c>
      <c r="Z35" t="n">
        <v>26615953</v>
      </c>
      <c r="AA35" t="n">
        <v>27039638</v>
      </c>
      <c r="AB35" t="n">
        <v>26820512</v>
      </c>
      <c r="AC35" t="n">
        <v>27177577</v>
      </c>
      <c r="AD35" t="n">
        <v>27178254</v>
      </c>
      <c r="AE35" t="n">
        <v>27412976</v>
      </c>
      <c r="AF35" t="n">
        <v>28043905</v>
      </c>
    </row>
    <row r="36">
      <c r="A36" t="s">
        <v>176</v>
      </c>
      <c r="B36" t="s">
        <v>283</v>
      </c>
      <c r="C36" t="s">
        <v>177</v>
      </c>
      <c r="D36" t="s">
        <v>284</v>
      </c>
      <c r="E36" t="s">
        <v>4</v>
      </c>
      <c r="F36" t="n">
        <v>4806614</v>
      </c>
      <c r="G36" t="n">
        <v>5170058</v>
      </c>
      <c r="H36" t="n">
        <v>5248162</v>
      </c>
      <c r="I36" t="n">
        <v>5386685</v>
      </c>
      <c r="J36" t="n">
        <v>5341264</v>
      </c>
      <c r="K36" t="n">
        <v>5454000</v>
      </c>
      <c r="L36" t="n">
        <v>5415574</v>
      </c>
      <c r="M36" t="n">
        <v>5331900</v>
      </c>
      <c r="N36" t="n">
        <v>5403206</v>
      </c>
      <c r="O36" t="n">
        <v>5454429</v>
      </c>
      <c r="P36" t="n">
        <v>5746163</v>
      </c>
      <c r="Q36" t="n">
        <v>5575370</v>
      </c>
      <c r="R36" t="n">
        <v>5423183</v>
      </c>
      <c r="S36" t="n">
        <v>4981531</v>
      </c>
      <c r="T36" t="n">
        <v>4644489</v>
      </c>
      <c r="U36" t="n">
        <v>4703412</v>
      </c>
      <c r="V36" t="n">
        <v>4439102</v>
      </c>
      <c r="W36" t="n">
        <v>4331781</v>
      </c>
      <c r="X36" t="n">
        <v>4454254</v>
      </c>
      <c r="Y36" t="n">
        <v>4742664</v>
      </c>
      <c r="Z36" t="n">
        <v>5152140</v>
      </c>
      <c r="AA36" t="n">
        <v>5108016</v>
      </c>
      <c r="AB36" t="n">
        <v>4880998</v>
      </c>
      <c r="AC36" t="n">
        <v>4910477</v>
      </c>
      <c r="AD36" t="n">
        <v>4894594</v>
      </c>
      <c r="AE36" t="n">
        <v>4576623</v>
      </c>
      <c r="AF36" t="n">
        <v>4791012</v>
      </c>
    </row>
    <row r="37">
      <c r="A37" t="s">
        <v>178</v>
      </c>
      <c r="B37" t="s">
        <v>283</v>
      </c>
      <c r="C37" t="s">
        <v>179</v>
      </c>
      <c r="D37" t="s">
        <v>284</v>
      </c>
      <c r="E37" t="s">
        <v>4</v>
      </c>
      <c r="F37" t="n">
        <v>7553915</v>
      </c>
      <c r="G37" t="n">
        <v>8789399</v>
      </c>
      <c r="H37" t="n">
        <v>9785074</v>
      </c>
      <c r="I37" t="n">
        <v>9886589</v>
      </c>
      <c r="J37" t="n">
        <v>9917767</v>
      </c>
      <c r="K37" t="n">
        <v>10037359</v>
      </c>
      <c r="L37" t="n">
        <v>10020115</v>
      </c>
      <c r="M37" t="n">
        <v>9960182</v>
      </c>
      <c r="N37" t="n">
        <v>10026421</v>
      </c>
      <c r="O37" t="n">
        <v>9487246</v>
      </c>
      <c r="P37" t="n">
        <v>9036960</v>
      </c>
      <c r="Q37" t="n">
        <v>8786292</v>
      </c>
      <c r="R37" t="n">
        <v>8793939</v>
      </c>
      <c r="S37" t="n">
        <v>9169747</v>
      </c>
      <c r="T37" t="n">
        <v>9203290</v>
      </c>
      <c r="U37" t="n">
        <v>9300522</v>
      </c>
      <c r="V37" t="n">
        <v>9354983</v>
      </c>
      <c r="W37" t="n">
        <v>9381460</v>
      </c>
      <c r="X37" t="n">
        <v>9577693</v>
      </c>
      <c r="Y37" t="n">
        <v>9550402</v>
      </c>
      <c r="Z37" t="n">
        <v>9856981</v>
      </c>
      <c r="AA37" t="n">
        <v>10213982</v>
      </c>
      <c r="AB37" t="n">
        <v>9930602</v>
      </c>
      <c r="AC37" t="n">
        <v>9962459</v>
      </c>
      <c r="AD37" t="n">
        <v>9510810</v>
      </c>
      <c r="AE37" t="n">
        <v>10300898</v>
      </c>
      <c r="AF37" t="n">
        <v>9996384</v>
      </c>
    </row>
    <row r="38">
      <c r="A38" t="s">
        <v>180</v>
      </c>
      <c r="B38" t="s">
        <v>283</v>
      </c>
      <c r="C38" t="s">
        <v>181</v>
      </c>
      <c r="D38" t="s">
        <v>284</v>
      </c>
      <c r="E38" t="s">
        <v>4</v>
      </c>
      <c r="F38" t="n">
        <v>4873939</v>
      </c>
      <c r="G38" t="n">
        <v>5759116</v>
      </c>
      <c r="H38" t="n">
        <v>6499461</v>
      </c>
      <c r="I38" t="n">
        <v>8104427</v>
      </c>
      <c r="J38" t="n">
        <v>8813239</v>
      </c>
      <c r="K38" t="n">
        <v>9690974</v>
      </c>
      <c r="L38" t="n">
        <v>10636267</v>
      </c>
      <c r="M38" t="n">
        <v>11206902</v>
      </c>
      <c r="N38" t="n">
        <v>11341868</v>
      </c>
      <c r="O38" t="n">
        <v>11541424</v>
      </c>
      <c r="P38" t="n">
        <v>12049723</v>
      </c>
      <c r="Q38" t="n">
        <v>12491165</v>
      </c>
      <c r="R38" t="n">
        <v>12732170</v>
      </c>
      <c r="S38" t="n">
        <v>12747748</v>
      </c>
      <c r="T38" t="n">
        <v>11941135</v>
      </c>
      <c r="U38" t="n">
        <v>11353751</v>
      </c>
      <c r="V38" t="n">
        <v>11108734</v>
      </c>
      <c r="W38" t="n">
        <v>11203061</v>
      </c>
      <c r="X38" t="n">
        <v>11261629</v>
      </c>
      <c r="Y38" t="n">
        <v>11337557</v>
      </c>
      <c r="Z38" t="n">
        <v>11606832</v>
      </c>
      <c r="AA38" t="n">
        <v>11717640</v>
      </c>
      <c r="AB38" t="n">
        <v>12008912</v>
      </c>
      <c r="AC38" t="n">
        <v>12304641</v>
      </c>
      <c r="AD38" t="n">
        <v>12772850</v>
      </c>
      <c r="AE38" t="n">
        <v>12535455</v>
      </c>
      <c r="AF38" t="n">
        <v>13256509</v>
      </c>
    </row>
    <row r="39">
      <c r="A39" t="s">
        <v>182</v>
      </c>
      <c r="B39" t="s">
        <v>283</v>
      </c>
      <c r="C39" t="s">
        <v>183</v>
      </c>
      <c r="D39" t="s">
        <v>284</v>
      </c>
      <c r="E39" t="s">
        <v>4</v>
      </c>
      <c r="F39" t="n">
        <v>26479956</v>
      </c>
      <c r="G39" t="n">
        <v>28203515</v>
      </c>
      <c r="H39" t="n">
        <v>28478528</v>
      </c>
      <c r="I39" t="n">
        <v>27082312</v>
      </c>
      <c r="J39" t="n">
        <v>26535179</v>
      </c>
      <c r="K39" t="n">
        <v>26787771</v>
      </c>
      <c r="L39" t="n">
        <v>29176371</v>
      </c>
      <c r="M39" t="n">
        <v>31342802</v>
      </c>
      <c r="N39" t="n">
        <v>32422520</v>
      </c>
      <c r="O39" t="n">
        <v>32097448</v>
      </c>
      <c r="P39" t="n">
        <v>32356588</v>
      </c>
      <c r="Q39" t="n">
        <v>31414016</v>
      </c>
      <c r="R39" t="n">
        <v>31393687</v>
      </c>
      <c r="S39" t="n">
        <v>26158941</v>
      </c>
      <c r="T39" t="n">
        <v>24812195</v>
      </c>
      <c r="U39" t="n">
        <v>24499009</v>
      </c>
      <c r="V39" t="n">
        <v>23323768</v>
      </c>
      <c r="W39" t="n">
        <v>22463131</v>
      </c>
      <c r="X39" t="n">
        <v>23223051</v>
      </c>
      <c r="Y39" t="n">
        <v>22782221</v>
      </c>
      <c r="Z39" t="n">
        <v>23002017</v>
      </c>
      <c r="AA39" t="n">
        <v>22262451</v>
      </c>
      <c r="AB39" t="n">
        <v>22331480</v>
      </c>
      <c r="AC39" t="n">
        <v>22738691</v>
      </c>
      <c r="AD39" t="n">
        <v>22593196</v>
      </c>
      <c r="AE39" t="n">
        <v>22661723</v>
      </c>
      <c r="AF39" t="n">
        <v>23431963</v>
      </c>
    </row>
    <row r="40">
      <c r="A40" t="s">
        <v>184</v>
      </c>
      <c r="B40" t="s">
        <v>283</v>
      </c>
      <c r="C40" t="s">
        <v>185</v>
      </c>
      <c r="D40" t="s">
        <v>284</v>
      </c>
      <c r="E40" t="s">
        <v>4</v>
      </c>
      <c r="F40" t="n">
        <v>53596964</v>
      </c>
      <c r="G40" t="n">
        <v>54763029</v>
      </c>
      <c r="H40" t="n">
        <v>56074932</v>
      </c>
      <c r="I40" t="n">
        <v>56219444</v>
      </c>
      <c r="J40" t="n">
        <v>56645523</v>
      </c>
      <c r="K40" t="n">
        <v>57855189</v>
      </c>
      <c r="L40" t="n">
        <v>57354680</v>
      </c>
      <c r="M40" t="n">
        <v>56943645</v>
      </c>
      <c r="N40" t="n">
        <v>57069969</v>
      </c>
      <c r="O40" t="n">
        <v>57693979</v>
      </c>
      <c r="P40" t="n">
        <v>58782860</v>
      </c>
      <c r="Q40" t="n">
        <v>60436589</v>
      </c>
      <c r="R40" t="n">
        <v>60998519</v>
      </c>
      <c r="S40" t="n">
        <v>61943311</v>
      </c>
      <c r="T40" t="n">
        <v>62122685</v>
      </c>
      <c r="U40" t="n">
        <v>62370460</v>
      </c>
      <c r="V40" t="n">
        <v>62408349</v>
      </c>
      <c r="W40" t="n">
        <v>62469104</v>
      </c>
      <c r="X40" t="n">
        <v>63179054</v>
      </c>
      <c r="Y40" t="n">
        <v>63923483</v>
      </c>
      <c r="Z40" t="n">
        <v>64568472</v>
      </c>
      <c r="AA40" t="n">
        <v>64908460</v>
      </c>
      <c r="AB40" t="n">
        <v>65393074</v>
      </c>
      <c r="AC40" t="n">
        <v>65236666</v>
      </c>
      <c r="AD40" t="n">
        <v>65709959</v>
      </c>
      <c r="AE40" t="n">
        <v>65782379</v>
      </c>
      <c r="AF40" t="n">
        <v>65567912</v>
      </c>
    </row>
    <row r="41">
      <c r="A41" t="s">
        <v>186</v>
      </c>
      <c r="B41" t="s">
        <v>283</v>
      </c>
      <c r="C41" t="s">
        <v>187</v>
      </c>
      <c r="D41" t="s">
        <v>284</v>
      </c>
      <c r="E41" t="s">
        <v>4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283</v>
      </c>
      <c r="C42" t="s">
        <v>189</v>
      </c>
      <c r="D42" t="s">
        <v>284</v>
      </c>
      <c r="E42" t="s">
        <v>4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283</v>
      </c>
      <c r="C43" t="s">
        <v>191</v>
      </c>
      <c r="D43" t="s">
        <v>284</v>
      </c>
      <c r="E43" t="s">
        <v>4</v>
      </c>
      <c r="F43" t="n">
        <v>23279624</v>
      </c>
      <c r="G43" t="n">
        <v>24782692</v>
      </c>
      <c r="H43" t="n">
        <v>25935274</v>
      </c>
      <c r="I43" t="n">
        <v>26663552</v>
      </c>
      <c r="J43" t="n">
        <v>26395108</v>
      </c>
      <c r="K43" t="n">
        <v>29195046</v>
      </c>
      <c r="L43" t="n">
        <v>29536594</v>
      </c>
      <c r="M43" t="n">
        <v>29527487</v>
      </c>
      <c r="N43" t="n">
        <v>30135024</v>
      </c>
      <c r="O43" t="n">
        <v>30947432</v>
      </c>
      <c r="P43" t="n">
        <v>32718881</v>
      </c>
      <c r="Q43" t="n">
        <v>34871398</v>
      </c>
      <c r="R43" t="n">
        <v>37279400</v>
      </c>
      <c r="S43" t="n">
        <v>39220061</v>
      </c>
      <c r="T43" t="n">
        <v>36781215</v>
      </c>
      <c r="U43" t="n">
        <v>35936497</v>
      </c>
      <c r="V43" t="n">
        <v>37211847</v>
      </c>
      <c r="W43" t="n">
        <v>37317844</v>
      </c>
      <c r="X43" t="n">
        <v>38801691</v>
      </c>
      <c r="Y43" t="n">
        <v>39945733</v>
      </c>
      <c r="Z43" t="n">
        <v>41923032</v>
      </c>
      <c r="AA43" t="n">
        <v>43448505</v>
      </c>
      <c r="AB43" t="n">
        <v>43780498</v>
      </c>
      <c r="AC43" t="n">
        <v>44665180</v>
      </c>
      <c r="AD43" t="n">
        <v>46044305</v>
      </c>
      <c r="AE43" t="n">
        <v>46565432</v>
      </c>
      <c r="AF43" t="n">
        <v>47673811</v>
      </c>
    </row>
    <row r="44">
      <c r="A44" t="s">
        <v>192</v>
      </c>
      <c r="B44" t="s">
        <v>283</v>
      </c>
      <c r="C44" t="s">
        <v>193</v>
      </c>
      <c r="D44" t="s">
        <v>284</v>
      </c>
      <c r="E44" t="s">
        <v>4</v>
      </c>
      <c r="F44" t="n">
        <v>394461417</v>
      </c>
      <c r="G44" t="n">
        <v>404646425</v>
      </c>
      <c r="H44" t="n">
        <v>412038652</v>
      </c>
      <c r="I44" t="n">
        <v>405269702</v>
      </c>
      <c r="J44" t="n">
        <v>398228269</v>
      </c>
      <c r="K44" t="n">
        <v>401579319</v>
      </c>
      <c r="L44" t="n">
        <v>393656119</v>
      </c>
      <c r="M44" t="n">
        <v>389738867</v>
      </c>
      <c r="N44" t="n">
        <v>390017361</v>
      </c>
      <c r="O44" t="n">
        <v>395055993</v>
      </c>
      <c r="P44" t="n">
        <v>398035709</v>
      </c>
      <c r="Q44" t="n">
        <v>397068191</v>
      </c>
      <c r="R44" t="n">
        <v>399557813</v>
      </c>
      <c r="S44" t="n">
        <v>386267374</v>
      </c>
      <c r="T44" t="n">
        <v>353221370</v>
      </c>
      <c r="U44" t="n">
        <v>362252107</v>
      </c>
      <c r="V44" t="n">
        <v>350685537</v>
      </c>
      <c r="W44" t="n">
        <v>352011833</v>
      </c>
      <c r="X44" t="n">
        <v>358628241</v>
      </c>
      <c r="Y44" t="n">
        <v>365930758</v>
      </c>
      <c r="Z44" t="n">
        <v>382938086</v>
      </c>
      <c r="AA44" t="n">
        <v>387661431</v>
      </c>
      <c r="AB44" t="n">
        <v>395003835</v>
      </c>
      <c r="AC44" t="n">
        <v>396646586</v>
      </c>
      <c r="AD44" t="n">
        <v>395965615</v>
      </c>
      <c r="AE44" t="n">
        <v>377001404</v>
      </c>
      <c r="AF44" t="n">
        <v>386039070</v>
      </c>
    </row>
    <row r="45">
      <c r="A45" t="s">
        <v>194</v>
      </c>
      <c r="B45" t="s">
        <v>283</v>
      </c>
      <c r="C45" t="s">
        <v>195</v>
      </c>
      <c r="D45" t="s">
        <v>284</v>
      </c>
      <c r="E45" t="s">
        <v>4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283</v>
      </c>
      <c r="C46" t="s">
        <v>197</v>
      </c>
      <c r="D46" t="s">
        <v>284</v>
      </c>
      <c r="E46" t="s">
        <v>4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283</v>
      </c>
      <c r="C47" t="s">
        <v>199</v>
      </c>
      <c r="D47" t="s">
        <v>284</v>
      </c>
      <c r="E47" t="s">
        <v>4</v>
      </c>
      <c r="F47" t="n">
        <v>24499072</v>
      </c>
      <c r="G47" t="n">
        <v>25204622</v>
      </c>
      <c r="H47" t="n">
        <v>26045416</v>
      </c>
      <c r="I47" t="n">
        <v>26442369</v>
      </c>
      <c r="J47" t="n">
        <v>26424173</v>
      </c>
      <c r="K47" t="n">
        <v>26972453</v>
      </c>
      <c r="L47" t="n">
        <v>27135668</v>
      </c>
      <c r="M47" t="n">
        <v>27196073</v>
      </c>
      <c r="N47" t="n">
        <v>26956510</v>
      </c>
      <c r="O47" t="n">
        <v>26796869</v>
      </c>
      <c r="P47" t="n">
        <v>26583894</v>
      </c>
      <c r="Q47" t="n">
        <v>26771756</v>
      </c>
      <c r="R47" t="n">
        <v>27047586</v>
      </c>
      <c r="S47" t="n">
        <v>27143925</v>
      </c>
      <c r="T47" t="n">
        <v>26446596</v>
      </c>
      <c r="U47" t="n">
        <v>25894289</v>
      </c>
      <c r="V47" t="n">
        <v>26013762</v>
      </c>
      <c r="W47" t="n">
        <v>25656169</v>
      </c>
      <c r="X47" t="n">
        <v>25334087</v>
      </c>
      <c r="Y47" t="n">
        <v>25967628</v>
      </c>
      <c r="Z47" t="n">
        <v>26393171</v>
      </c>
      <c r="AA47" t="n">
        <v>26713467</v>
      </c>
      <c r="AB47" t="n">
        <v>27024737</v>
      </c>
      <c r="AC47" t="n">
        <v>27491066</v>
      </c>
      <c r="AD47" t="n">
        <v>27876178</v>
      </c>
      <c r="AE47" t="n">
        <v>27896887</v>
      </c>
      <c r="AF47" t="n">
        <v>28259273</v>
      </c>
    </row>
    <row r="48">
      <c r="A48" t="s">
        <v>200</v>
      </c>
      <c r="B48" t="s">
        <v>283</v>
      </c>
      <c r="C48" t="s">
        <v>201</v>
      </c>
      <c r="D48" t="s">
        <v>284</v>
      </c>
      <c r="E48" t="s">
        <v>4</v>
      </c>
      <c r="F48" t="n">
        <v>65410004</v>
      </c>
      <c r="G48" t="n">
        <v>67885786</v>
      </c>
      <c r="H48" t="n">
        <v>70146243</v>
      </c>
      <c r="I48" t="n">
        <v>71536321</v>
      </c>
      <c r="J48" t="n">
        <v>72103088</v>
      </c>
      <c r="K48" t="n">
        <v>74054188</v>
      </c>
      <c r="L48" t="n">
        <v>75487843</v>
      </c>
      <c r="M48" t="n">
        <v>75559951</v>
      </c>
      <c r="N48" t="n">
        <v>75617175</v>
      </c>
      <c r="O48" t="n">
        <v>75880969</v>
      </c>
      <c r="P48" t="n">
        <v>76551460</v>
      </c>
      <c r="Q48" t="n">
        <v>77009751</v>
      </c>
      <c r="R48" t="n">
        <v>77981345</v>
      </c>
      <c r="S48" t="n">
        <v>78125317</v>
      </c>
      <c r="T48" t="n">
        <v>78245026</v>
      </c>
      <c r="U48" t="n">
        <v>78803504</v>
      </c>
      <c r="V48" t="n">
        <v>79600540</v>
      </c>
      <c r="W48" t="n">
        <v>81076079</v>
      </c>
      <c r="X48" t="n">
        <v>81491756</v>
      </c>
      <c r="Y48" t="n">
        <v>82792991</v>
      </c>
      <c r="Z48" t="n">
        <v>85435377</v>
      </c>
      <c r="AA48" t="n">
        <v>87925542</v>
      </c>
      <c r="AB48" t="n">
        <v>88188146</v>
      </c>
      <c r="AC48" t="n">
        <v>89734620</v>
      </c>
      <c r="AD48" t="n">
        <v>91263134</v>
      </c>
      <c r="AE48" t="n">
        <v>91552950</v>
      </c>
      <c r="AF48" t="n">
        <v>93565852</v>
      </c>
    </row>
    <row r="49">
      <c r="A49" t="s">
        <v>202</v>
      </c>
      <c r="B49" t="s">
        <v>283</v>
      </c>
      <c r="C49" t="s">
        <v>203</v>
      </c>
      <c r="D49" t="s">
        <v>284</v>
      </c>
      <c r="E49" t="s">
        <v>4</v>
      </c>
      <c r="F49" t="n">
        <v>19029749</v>
      </c>
      <c r="G49" t="n">
        <v>19457489</v>
      </c>
      <c r="H49" t="n">
        <v>19867463</v>
      </c>
      <c r="I49" t="n">
        <v>19996702</v>
      </c>
      <c r="J49" t="n">
        <v>19907935</v>
      </c>
      <c r="K49" t="n">
        <v>19836866</v>
      </c>
      <c r="L49" t="n">
        <v>19906606</v>
      </c>
      <c r="M49" t="n">
        <v>19960526</v>
      </c>
      <c r="N49" t="n">
        <v>19621839</v>
      </c>
      <c r="O49" t="n">
        <v>19468076</v>
      </c>
      <c r="P49" t="n">
        <v>19485400</v>
      </c>
      <c r="Q49" t="n">
        <v>19588745</v>
      </c>
      <c r="R49" t="n">
        <v>19615405</v>
      </c>
      <c r="S49" t="n">
        <v>19643236</v>
      </c>
      <c r="T49" t="n">
        <v>19222515</v>
      </c>
      <c r="U49" t="n">
        <v>19078386</v>
      </c>
      <c r="V49" t="n">
        <v>19379578</v>
      </c>
      <c r="W49" t="n">
        <v>19159585</v>
      </c>
      <c r="X49" t="n">
        <v>18805052</v>
      </c>
      <c r="Y49" t="n">
        <v>19061080</v>
      </c>
      <c r="Z49" t="n">
        <v>19145073</v>
      </c>
      <c r="AA49" t="n">
        <v>19304394</v>
      </c>
      <c r="AB49" t="n">
        <v>19397658</v>
      </c>
      <c r="AC49" t="n">
        <v>19474275</v>
      </c>
      <c r="AD49" t="n">
        <v>19602853</v>
      </c>
      <c r="AE49" t="n">
        <v>19562268</v>
      </c>
      <c r="AF49" t="n">
        <v>19658828</v>
      </c>
    </row>
    <row r="50">
      <c r="A50" t="s">
        <v>204</v>
      </c>
      <c r="B50" t="s">
        <v>283</v>
      </c>
      <c r="C50" t="s">
        <v>205</v>
      </c>
      <c r="D50" t="s">
        <v>284</v>
      </c>
      <c r="E50" t="s">
        <v>4</v>
      </c>
      <c r="F50" t="n">
        <v>21881183</v>
      </c>
      <c r="G50" t="n">
        <v>23223675</v>
      </c>
      <c r="H50" t="n">
        <v>24233364</v>
      </c>
      <c r="I50" t="n">
        <v>25097250</v>
      </c>
      <c r="J50" t="n">
        <v>25770980</v>
      </c>
      <c r="K50" t="n">
        <v>27244869</v>
      </c>
      <c r="L50" t="n">
        <v>28445569</v>
      </c>
      <c r="M50" t="n">
        <v>28403352</v>
      </c>
      <c r="N50" t="n">
        <v>29038826</v>
      </c>
      <c r="O50" t="n">
        <v>29616024</v>
      </c>
      <c r="P50" t="n">
        <v>30482166</v>
      </c>
      <c r="Q50" t="n">
        <v>30649250</v>
      </c>
      <c r="R50" t="n">
        <v>31318354</v>
      </c>
      <c r="S50" t="n">
        <v>31338156</v>
      </c>
      <c r="T50" t="n">
        <v>32575915</v>
      </c>
      <c r="U50" t="n">
        <v>33830829</v>
      </c>
      <c r="V50" t="n">
        <v>34207200</v>
      </c>
      <c r="W50" t="n">
        <v>36260325</v>
      </c>
      <c r="X50" t="n">
        <v>37352617</v>
      </c>
      <c r="Y50" t="n">
        <v>37764283</v>
      </c>
      <c r="Z50" t="n">
        <v>39897133</v>
      </c>
      <c r="AA50" t="n">
        <v>41907681</v>
      </c>
      <c r="AB50" t="n">
        <v>41765751</v>
      </c>
      <c r="AC50" t="n">
        <v>42769279</v>
      </c>
      <c r="AD50" t="n">
        <v>43784103</v>
      </c>
      <c r="AE50" t="n">
        <v>44093795</v>
      </c>
      <c r="AF50" t="n">
        <v>45647751</v>
      </c>
    </row>
    <row r="51">
      <c r="A51" t="s">
        <v>206</v>
      </c>
      <c r="B51" t="s">
        <v>283</v>
      </c>
      <c r="C51" t="s">
        <v>207</v>
      </c>
      <c r="D51" t="s">
        <v>284</v>
      </c>
      <c r="E51" t="s">
        <v>4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283</v>
      </c>
      <c r="C52" t="s">
        <v>209</v>
      </c>
      <c r="D52" t="s">
        <v>284</v>
      </c>
      <c r="E52" t="s">
        <v>4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283</v>
      </c>
      <c r="C53" t="s">
        <v>211</v>
      </c>
      <c r="D53" t="s">
        <v>284</v>
      </c>
      <c r="E53" t="s">
        <v>4</v>
      </c>
      <c r="F53" t="n">
        <v>8619181</v>
      </c>
      <c r="G53" t="n">
        <v>8322013</v>
      </c>
      <c r="H53" t="n">
        <v>8121383</v>
      </c>
      <c r="I53" t="n">
        <v>7900224</v>
      </c>
      <c r="J53" t="n">
        <v>7476591</v>
      </c>
      <c r="K53" t="n">
        <v>7658443</v>
      </c>
      <c r="L53" t="n">
        <v>7028150</v>
      </c>
      <c r="M53" t="n">
        <v>7323723</v>
      </c>
      <c r="N53" t="n">
        <v>7147807</v>
      </c>
      <c r="O53" t="n">
        <v>6990461</v>
      </c>
      <c r="P53" t="n">
        <v>7112377</v>
      </c>
      <c r="Q53" t="n">
        <v>7177311</v>
      </c>
      <c r="R53" t="n">
        <v>7007912</v>
      </c>
      <c r="S53" t="n">
        <v>6830222</v>
      </c>
      <c r="T53" t="n">
        <v>6813349</v>
      </c>
      <c r="U53" t="n">
        <v>6590942</v>
      </c>
      <c r="V53" t="n">
        <v>6435039</v>
      </c>
      <c r="W53" t="n">
        <v>6793140</v>
      </c>
      <c r="X53" t="n">
        <v>6963152</v>
      </c>
      <c r="Y53" t="n">
        <v>6953630</v>
      </c>
      <c r="Z53" t="n">
        <v>6991254</v>
      </c>
      <c r="AA53" t="n">
        <v>6691474</v>
      </c>
      <c r="AB53" t="n">
        <v>6588253</v>
      </c>
      <c r="AC53" t="n">
        <v>6507821</v>
      </c>
      <c r="AD53" t="n">
        <v>6389109</v>
      </c>
      <c r="AE53" t="n">
        <v>5134091</v>
      </c>
      <c r="AF53" t="n">
        <v>5389565</v>
      </c>
    </row>
    <row r="54">
      <c r="A54" t="s">
        <v>212</v>
      </c>
      <c r="B54" t="s">
        <v>283</v>
      </c>
      <c r="C54" t="s">
        <v>213</v>
      </c>
      <c r="D54" t="s">
        <v>284</v>
      </c>
      <c r="E54" t="s">
        <v>4</v>
      </c>
      <c r="F54" t="n">
        <v>18997087</v>
      </c>
      <c r="G54" t="n">
        <v>19081033</v>
      </c>
      <c r="H54" t="n">
        <v>19276951</v>
      </c>
      <c r="I54" t="n">
        <v>19520270</v>
      </c>
      <c r="J54" t="n">
        <v>19236442</v>
      </c>
      <c r="K54" t="n">
        <v>20169231</v>
      </c>
      <c r="L54" t="n">
        <v>19361482</v>
      </c>
      <c r="M54" t="n">
        <v>19957284</v>
      </c>
      <c r="N54" t="n">
        <v>20094060</v>
      </c>
      <c r="O54" t="n">
        <v>19903664</v>
      </c>
      <c r="P54" t="n">
        <v>20319214</v>
      </c>
      <c r="Q54" t="n">
        <v>20422205</v>
      </c>
      <c r="R54" t="n">
        <v>20508017</v>
      </c>
      <c r="S54" t="n">
        <v>19908759</v>
      </c>
      <c r="T54" t="n">
        <v>19309560</v>
      </c>
      <c r="U54" t="n">
        <v>18841336</v>
      </c>
      <c r="V54" t="n">
        <v>18631661</v>
      </c>
      <c r="W54" t="n">
        <v>18480088</v>
      </c>
      <c r="X54" t="n">
        <v>18072289</v>
      </c>
      <c r="Y54" t="n">
        <v>17942337</v>
      </c>
      <c r="Z54" t="n">
        <v>17846699</v>
      </c>
      <c r="AA54" t="n">
        <v>17352062</v>
      </c>
      <c r="AB54" t="n">
        <v>17459134</v>
      </c>
      <c r="AC54" t="n">
        <v>17230889</v>
      </c>
      <c r="AD54" t="n">
        <v>17525392</v>
      </c>
      <c r="AE54" t="n">
        <v>15051072</v>
      </c>
      <c r="AF54" t="n">
        <v>15294976</v>
      </c>
    </row>
    <row r="55">
      <c r="A55" t="s">
        <v>214</v>
      </c>
      <c r="B55" t="s">
        <v>283</v>
      </c>
      <c r="C55" t="s">
        <v>215</v>
      </c>
      <c r="D55" t="s">
        <v>284</v>
      </c>
      <c r="E55" t="s">
        <v>4</v>
      </c>
      <c r="F55" t="n">
        <v>10377906</v>
      </c>
      <c r="G55" t="n">
        <v>10759020</v>
      </c>
      <c r="H55" t="n">
        <v>11155568</v>
      </c>
      <c r="I55" t="n">
        <v>11620046</v>
      </c>
      <c r="J55" t="n">
        <v>11759851</v>
      </c>
      <c r="K55" t="n">
        <v>12510788</v>
      </c>
      <c r="L55" t="n">
        <v>12333332</v>
      </c>
      <c r="M55" t="n">
        <v>12633561</v>
      </c>
      <c r="N55" t="n">
        <v>12946253</v>
      </c>
      <c r="O55" t="n">
        <v>12913203</v>
      </c>
      <c r="P55" t="n">
        <v>13206837</v>
      </c>
      <c r="Q55" t="n">
        <v>13244894</v>
      </c>
      <c r="R55" t="n">
        <v>13500105</v>
      </c>
      <c r="S55" t="n">
        <v>13078537</v>
      </c>
      <c r="T55" t="n">
        <v>12496211</v>
      </c>
      <c r="U55" t="n">
        <v>12250394</v>
      </c>
      <c r="V55" t="n">
        <v>12196622</v>
      </c>
      <c r="W55" t="n">
        <v>11686948</v>
      </c>
      <c r="X55" t="n">
        <v>11109137</v>
      </c>
      <c r="Y55" t="n">
        <v>10988707</v>
      </c>
      <c r="Z55" t="n">
        <v>10855445</v>
      </c>
      <c r="AA55" t="n">
        <v>10660588</v>
      </c>
      <c r="AB55" t="n">
        <v>10870881</v>
      </c>
      <c r="AC55" t="n">
        <v>10723068</v>
      </c>
      <c r="AD55" t="n">
        <v>11136283</v>
      </c>
      <c r="AE55" t="n">
        <v>9916981</v>
      </c>
      <c r="AF55" t="n">
        <v>9905411</v>
      </c>
    </row>
    <row r="56">
      <c r="A56" t="s">
        <v>216</v>
      </c>
      <c r="B56" t="s">
        <v>283</v>
      </c>
      <c r="C56" t="s">
        <v>217</v>
      </c>
      <c r="D56" t="s">
        <v>284</v>
      </c>
      <c r="E56" t="s">
        <v>4</v>
      </c>
      <c r="F56" t="n">
        <v>3838339</v>
      </c>
      <c r="G56" t="n">
        <v>3539619</v>
      </c>
      <c r="H56" t="n">
        <v>3269488</v>
      </c>
      <c r="I56" t="n">
        <v>2851547</v>
      </c>
      <c r="J56" t="n">
        <v>2471987</v>
      </c>
      <c r="K56" t="n">
        <v>2208048</v>
      </c>
      <c r="L56" t="n">
        <v>2045184</v>
      </c>
      <c r="M56" t="n">
        <v>1879356</v>
      </c>
      <c r="N56" t="n">
        <v>1753003</v>
      </c>
      <c r="O56" t="n">
        <v>1762962</v>
      </c>
      <c r="P56" t="n">
        <v>1580784</v>
      </c>
      <c r="Q56" t="n">
        <v>1714527</v>
      </c>
      <c r="R56" t="n">
        <v>1882355</v>
      </c>
      <c r="S56" t="n">
        <v>2007871</v>
      </c>
      <c r="T56" t="n">
        <v>1865264</v>
      </c>
      <c r="U56" t="n">
        <v>2046085</v>
      </c>
      <c r="V56" t="n">
        <v>2132038</v>
      </c>
      <c r="W56" t="n">
        <v>2078084</v>
      </c>
      <c r="X56" t="n">
        <v>2035182</v>
      </c>
      <c r="Y56" t="n">
        <v>1983500</v>
      </c>
      <c r="Z56" t="n">
        <v>1934106</v>
      </c>
      <c r="AA56" t="n">
        <v>1920230</v>
      </c>
      <c r="AB56" t="n">
        <v>1980559</v>
      </c>
      <c r="AC56" t="n">
        <v>2014137</v>
      </c>
      <c r="AD56" t="n">
        <v>2019100</v>
      </c>
      <c r="AE56" t="n">
        <v>2045342</v>
      </c>
      <c r="AF56" t="n">
        <v>2233915</v>
      </c>
    </row>
    <row r="57">
      <c r="A57" t="s">
        <v>218</v>
      </c>
      <c r="B57" t="s">
        <v>283</v>
      </c>
      <c r="C57" t="s">
        <v>219</v>
      </c>
      <c r="D57" t="s">
        <v>284</v>
      </c>
      <c r="E57" t="s">
        <v>4</v>
      </c>
      <c r="F57" t="n">
        <v>517306724</v>
      </c>
      <c r="G57" t="n">
        <v>530834859</v>
      </c>
      <c r="H57" t="n">
        <v>541529315</v>
      </c>
      <c r="I57" t="n">
        <v>535877014</v>
      </c>
      <c r="J57" t="n">
        <v>529448867</v>
      </c>
      <c r="K57" t="n">
        <v>535696744</v>
      </c>
      <c r="L57" t="n">
        <v>528543826</v>
      </c>
      <c r="M57" t="n">
        <v>524121819</v>
      </c>
      <c r="N57" t="n">
        <v>524457508</v>
      </c>
      <c r="O57" t="n">
        <v>530393903</v>
      </c>
      <c r="P57" t="n">
        <v>534950813</v>
      </c>
      <c r="Q57" t="n">
        <v>536229058</v>
      </c>
      <c r="R57" t="n">
        <v>540420032</v>
      </c>
      <c r="S57" t="n">
        <v>528343873</v>
      </c>
      <c r="T57" t="n">
        <v>495454345</v>
      </c>
      <c r="U57" t="n">
        <v>505472156</v>
      </c>
      <c r="V57" t="n">
        <v>494826464</v>
      </c>
      <c r="W57" t="n">
        <v>497635100</v>
      </c>
      <c r="X57" t="n">
        <v>505334233</v>
      </c>
      <c r="Y57" t="n">
        <v>514630732</v>
      </c>
      <c r="Z57" t="n">
        <v>534876041</v>
      </c>
      <c r="AA57" t="n">
        <v>542415663</v>
      </c>
      <c r="AB57" t="n">
        <v>550565614</v>
      </c>
      <c r="AC57" t="n">
        <v>553632009</v>
      </c>
      <c r="AD57" t="n">
        <v>554957808</v>
      </c>
      <c r="AE57" t="n">
        <v>536382075</v>
      </c>
      <c r="AF57" t="n">
        <v>547406749</v>
      </c>
    </row>
    <row r="58">
      <c r="A58" t="s">
        <v>220</v>
      </c>
      <c r="B58" t="s">
        <v>283</v>
      </c>
      <c r="C58" t="s">
        <v>221</v>
      </c>
      <c r="D58" t="s">
        <v>284</v>
      </c>
      <c r="E58" t="s">
        <v>4</v>
      </c>
      <c r="F58" t="n">
        <v>513468385</v>
      </c>
      <c r="G58" t="n">
        <v>527295240</v>
      </c>
      <c r="H58" t="n">
        <v>538259827</v>
      </c>
      <c r="I58" t="n">
        <v>533025467</v>
      </c>
      <c r="J58" t="n">
        <v>526976880</v>
      </c>
      <c r="K58" t="n">
        <v>533488696</v>
      </c>
      <c r="L58" t="n">
        <v>526498642</v>
      </c>
      <c r="M58" t="n">
        <v>522242463</v>
      </c>
      <c r="N58" t="n">
        <v>522704505</v>
      </c>
      <c r="O58" t="n">
        <v>528630941</v>
      </c>
      <c r="P58" t="n">
        <v>533370029</v>
      </c>
      <c r="Q58" t="n">
        <v>534514531</v>
      </c>
      <c r="R58" t="n">
        <v>538537677</v>
      </c>
      <c r="S58" t="n">
        <v>526336002</v>
      </c>
      <c r="T58" t="n">
        <v>493589081</v>
      </c>
      <c r="U58" t="n">
        <v>503426071</v>
      </c>
      <c r="V58" t="n">
        <v>492694426</v>
      </c>
      <c r="W58" t="n">
        <v>495557016</v>
      </c>
      <c r="X58" t="n">
        <v>503299051</v>
      </c>
      <c r="Y58" t="n">
        <v>512647232</v>
      </c>
      <c r="Z58" t="n">
        <v>532941935</v>
      </c>
      <c r="AA58" t="n">
        <v>540495433</v>
      </c>
      <c r="AB58" t="n">
        <v>548585055</v>
      </c>
      <c r="AC58" t="n">
        <v>551617872</v>
      </c>
      <c r="AD58" t="n">
        <v>552938708</v>
      </c>
      <c r="AE58" t="n">
        <v>534336733</v>
      </c>
      <c r="AF58" t="n">
        <v>545172834</v>
      </c>
    </row>
    <row r="59">
      <c r="A59" t="s">
        <v>222</v>
      </c>
      <c r="B59" t="s">
        <v>283</v>
      </c>
      <c r="C59" t="s">
        <v>223</v>
      </c>
      <c r="D59" t="s">
        <v>284</v>
      </c>
      <c r="E59" t="s">
        <v>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283</v>
      </c>
      <c r="C2" t="s">
        <v>108</v>
      </c>
      <c r="D2" t="s">
        <v>284</v>
      </c>
      <c r="E2" t="s">
        <v>6</v>
      </c>
      <c r="F2" t="n">
        <v>9109503</v>
      </c>
      <c r="G2" t="n">
        <v>9309966</v>
      </c>
      <c r="H2" t="n">
        <v>8852367</v>
      </c>
      <c r="I2" t="n">
        <v>8595381</v>
      </c>
      <c r="J2" t="n">
        <v>8707828</v>
      </c>
      <c r="K2" t="n">
        <v>9070226</v>
      </c>
      <c r="L2" t="n">
        <v>7647013</v>
      </c>
      <c r="M2" t="n">
        <v>7847658</v>
      </c>
      <c r="N2" t="n">
        <v>6668003</v>
      </c>
      <c r="O2" t="n">
        <v>6260784</v>
      </c>
      <c r="P2" t="n">
        <v>6674233</v>
      </c>
      <c r="Q2" t="n">
        <v>6033088</v>
      </c>
      <c r="R2" t="n">
        <v>6361455</v>
      </c>
      <c r="S2" t="n">
        <v>6336763</v>
      </c>
      <c r="T2" t="n">
        <v>5365990</v>
      </c>
      <c r="U2" t="n">
        <v>5318339</v>
      </c>
      <c r="V2" t="n">
        <v>5933458</v>
      </c>
      <c r="W2" t="n">
        <v>5568288</v>
      </c>
      <c r="X2" t="n">
        <v>5783360</v>
      </c>
      <c r="Y2" t="n">
        <v>5386684</v>
      </c>
      <c r="Z2" t="n">
        <v>5240094</v>
      </c>
      <c r="AA2" t="n">
        <v>5419880</v>
      </c>
      <c r="AB2" t="n">
        <v>6495302</v>
      </c>
      <c r="AC2" t="n">
        <v>6143505</v>
      </c>
      <c r="AD2" t="n">
        <v>6409565</v>
      </c>
      <c r="AE2" t="n">
        <v>5746269</v>
      </c>
      <c r="AF2" t="n">
        <v>6176911</v>
      </c>
    </row>
    <row r="3">
      <c r="A3" t="s">
        <v>110</v>
      </c>
      <c r="B3" t="s">
        <v>283</v>
      </c>
      <c r="C3" t="s">
        <v>111</v>
      </c>
      <c r="D3" t="s">
        <v>284</v>
      </c>
      <c r="E3" t="s">
        <v>6</v>
      </c>
      <c r="F3" t="n">
        <v>804958</v>
      </c>
      <c r="G3" t="n">
        <v>896684</v>
      </c>
      <c r="H3" t="n">
        <v>804543</v>
      </c>
      <c r="I3" t="n">
        <v>743690</v>
      </c>
      <c r="J3" t="n">
        <v>707324</v>
      </c>
      <c r="K3" t="n">
        <v>698141</v>
      </c>
      <c r="L3" t="n">
        <v>641577</v>
      </c>
      <c r="M3" t="n">
        <v>554426</v>
      </c>
      <c r="N3" t="n">
        <v>508817</v>
      </c>
      <c r="O3" t="n">
        <v>411177</v>
      </c>
      <c r="P3" t="n">
        <v>418219</v>
      </c>
      <c r="Q3" t="n">
        <v>397005</v>
      </c>
      <c r="R3" t="n">
        <v>367634</v>
      </c>
      <c r="S3" t="n">
        <v>344928</v>
      </c>
      <c r="T3" t="n">
        <v>200206</v>
      </c>
      <c r="U3" t="n">
        <v>306731</v>
      </c>
      <c r="V3" t="n">
        <v>317706</v>
      </c>
      <c r="W3" t="n">
        <v>297836</v>
      </c>
      <c r="X3" t="n">
        <v>352619</v>
      </c>
      <c r="Y3" t="n">
        <v>366950</v>
      </c>
      <c r="Z3" t="n">
        <v>378725</v>
      </c>
      <c r="AA3" t="n">
        <v>376054</v>
      </c>
      <c r="AB3" t="n">
        <v>392854</v>
      </c>
      <c r="AC3" t="n">
        <v>377704</v>
      </c>
      <c r="AD3" t="n">
        <v>363297</v>
      </c>
      <c r="AE3" t="n">
        <v>364036</v>
      </c>
      <c r="AF3" t="n">
        <v>362074</v>
      </c>
    </row>
    <row r="4">
      <c r="A4" t="s">
        <v>112</v>
      </c>
      <c r="B4" t="s">
        <v>283</v>
      </c>
      <c r="C4" t="s">
        <v>113</v>
      </c>
      <c r="D4" t="s">
        <v>284</v>
      </c>
      <c r="E4" t="s">
        <v>6</v>
      </c>
      <c r="F4" t="n">
        <v>126341190</v>
      </c>
      <c r="G4" t="n">
        <v>127837646</v>
      </c>
      <c r="H4" t="n">
        <v>128521927</v>
      </c>
      <c r="I4" t="n">
        <v>122206333</v>
      </c>
      <c r="J4" t="n">
        <v>121828694</v>
      </c>
      <c r="K4" t="n">
        <v>124810198</v>
      </c>
      <c r="L4" t="n">
        <v>114355520</v>
      </c>
      <c r="M4" t="n">
        <v>111113490</v>
      </c>
      <c r="N4" t="n">
        <v>113722024</v>
      </c>
      <c r="O4" t="n">
        <v>115854421</v>
      </c>
      <c r="P4" t="n">
        <v>117609357</v>
      </c>
      <c r="Q4" t="n">
        <v>118765815</v>
      </c>
      <c r="R4" t="n">
        <v>120753786</v>
      </c>
      <c r="S4" t="n">
        <v>117988610</v>
      </c>
      <c r="T4" t="n">
        <v>92437727</v>
      </c>
      <c r="U4" t="n">
        <v>109978744</v>
      </c>
      <c r="V4" t="n">
        <v>102107324</v>
      </c>
      <c r="W4" t="n">
        <v>99495670</v>
      </c>
      <c r="X4" t="n">
        <v>98150176</v>
      </c>
      <c r="Y4" t="n">
        <v>100869021</v>
      </c>
      <c r="Z4" t="n">
        <v>104877022</v>
      </c>
      <c r="AA4" t="n">
        <v>110498762</v>
      </c>
      <c r="AB4" t="n">
        <v>115305219</v>
      </c>
      <c r="AC4" t="n">
        <v>117171655</v>
      </c>
      <c r="AD4" t="n">
        <v>112979784</v>
      </c>
      <c r="AE4" t="n">
        <v>106262042</v>
      </c>
      <c r="AF4" t="n">
        <v>116130594</v>
      </c>
    </row>
    <row r="5">
      <c r="A5" t="s">
        <v>114</v>
      </c>
      <c r="B5" t="s">
        <v>283</v>
      </c>
      <c r="C5" t="s">
        <v>115</v>
      </c>
      <c r="D5" t="s">
        <v>284</v>
      </c>
      <c r="E5" t="s">
        <v>6</v>
      </c>
      <c r="F5" t="n">
        <v>14411341</v>
      </c>
      <c r="G5" t="n">
        <v>13819482</v>
      </c>
      <c r="H5" t="n">
        <v>13434203</v>
      </c>
      <c r="I5" t="n">
        <v>13973811</v>
      </c>
      <c r="J5" t="n">
        <v>13963820</v>
      </c>
      <c r="K5" t="n">
        <v>14350341</v>
      </c>
      <c r="L5" t="n">
        <v>14697829</v>
      </c>
      <c r="M5" t="n">
        <v>14253614</v>
      </c>
      <c r="N5" t="n">
        <v>14278560</v>
      </c>
      <c r="O5" t="n">
        <v>14054129</v>
      </c>
      <c r="P5" t="n">
        <v>13528581</v>
      </c>
      <c r="Q5" t="n">
        <v>13161880</v>
      </c>
      <c r="R5" t="n">
        <v>13120124</v>
      </c>
      <c r="S5" t="n">
        <v>12244882</v>
      </c>
      <c r="T5" t="n">
        <v>11648360</v>
      </c>
      <c r="U5" t="n">
        <v>12909748</v>
      </c>
      <c r="V5" t="n">
        <v>12044176</v>
      </c>
      <c r="W5" t="n">
        <v>12435428</v>
      </c>
      <c r="X5" t="n">
        <v>12467433</v>
      </c>
      <c r="Y5" t="n">
        <v>12320602</v>
      </c>
      <c r="Z5" t="n">
        <v>13032506</v>
      </c>
      <c r="AA5" t="n">
        <v>13722530</v>
      </c>
      <c r="AB5" t="n">
        <v>14230263</v>
      </c>
      <c r="AC5" t="n">
        <v>13840487</v>
      </c>
      <c r="AD5" t="n">
        <v>13737976</v>
      </c>
      <c r="AE5" t="n">
        <v>12899801</v>
      </c>
      <c r="AF5" t="n">
        <v>13622409</v>
      </c>
    </row>
    <row r="6">
      <c r="A6" t="s">
        <v>116</v>
      </c>
      <c r="B6" t="s">
        <v>283</v>
      </c>
      <c r="C6" t="s">
        <v>117</v>
      </c>
      <c r="D6" t="s">
        <v>284</v>
      </c>
      <c r="E6" t="s">
        <v>6</v>
      </c>
      <c r="F6" t="n">
        <v>4777742</v>
      </c>
      <c r="G6" t="n">
        <v>4436589</v>
      </c>
      <c r="H6" t="n">
        <v>4050158</v>
      </c>
      <c r="I6" t="n">
        <v>3753776</v>
      </c>
      <c r="J6" t="n">
        <v>3234151</v>
      </c>
      <c r="K6" t="n">
        <v>3014307</v>
      </c>
      <c r="L6" t="n">
        <v>2581757</v>
      </c>
      <c r="M6" t="n">
        <v>2271250</v>
      </c>
      <c r="N6" t="n">
        <v>2163882</v>
      </c>
      <c r="O6" t="n">
        <v>1992580</v>
      </c>
      <c r="P6" t="n">
        <v>1765434</v>
      </c>
      <c r="Q6" t="n">
        <v>1713737</v>
      </c>
      <c r="R6" t="n">
        <v>1717549</v>
      </c>
      <c r="S6" t="n">
        <v>1657104</v>
      </c>
      <c r="T6" t="n">
        <v>1277071</v>
      </c>
      <c r="U6" t="n">
        <v>1312093</v>
      </c>
      <c r="V6" t="n">
        <v>1321355</v>
      </c>
      <c r="W6" t="n">
        <v>1272778</v>
      </c>
      <c r="X6" t="n">
        <v>1252662</v>
      </c>
      <c r="Y6" t="n">
        <v>1246884</v>
      </c>
      <c r="Z6" t="n">
        <v>1432737</v>
      </c>
      <c r="AA6" t="n">
        <v>1235475</v>
      </c>
      <c r="AB6" t="n">
        <v>1261184</v>
      </c>
      <c r="AC6" t="n">
        <v>1314786</v>
      </c>
      <c r="AD6" t="n">
        <v>1283296</v>
      </c>
      <c r="AE6" t="n">
        <v>1183104</v>
      </c>
      <c r="AF6" t="n">
        <v>1099813</v>
      </c>
    </row>
    <row r="7">
      <c r="A7" t="s">
        <v>118</v>
      </c>
      <c r="B7" t="s">
        <v>283</v>
      </c>
      <c r="C7" t="s">
        <v>119</v>
      </c>
      <c r="D7" t="s">
        <v>284</v>
      </c>
      <c r="E7" t="s">
        <v>6</v>
      </c>
      <c r="F7" t="n">
        <v>9009507</v>
      </c>
      <c r="G7" t="n">
        <v>9011417</v>
      </c>
      <c r="H7" t="n">
        <v>8859679</v>
      </c>
      <c r="I7" t="n">
        <v>8892625</v>
      </c>
      <c r="J7" t="n">
        <v>8175612</v>
      </c>
      <c r="K7" t="n">
        <v>8431925</v>
      </c>
      <c r="L7" t="n">
        <v>8033991</v>
      </c>
      <c r="M7" t="n">
        <v>7548675</v>
      </c>
      <c r="N7" t="n">
        <v>7283195</v>
      </c>
      <c r="O7" t="n">
        <v>7280606</v>
      </c>
      <c r="P7" t="n">
        <v>7553912</v>
      </c>
      <c r="Q7" t="n">
        <v>7024972</v>
      </c>
      <c r="R7" t="n">
        <v>6571091</v>
      </c>
      <c r="S7" t="n">
        <v>6228608</v>
      </c>
      <c r="T7" t="n">
        <v>5422017</v>
      </c>
      <c r="U7" t="n">
        <v>6121558</v>
      </c>
      <c r="V7" t="n">
        <v>5594537</v>
      </c>
      <c r="W7" t="n">
        <v>5305625</v>
      </c>
      <c r="X7" t="n">
        <v>5513578</v>
      </c>
      <c r="Y7" t="n">
        <v>5401186</v>
      </c>
      <c r="Z7" t="n">
        <v>5983903</v>
      </c>
      <c r="AA7" t="n">
        <v>5891589</v>
      </c>
      <c r="AB7" t="n">
        <v>6156317</v>
      </c>
      <c r="AC7" t="n">
        <v>5947073</v>
      </c>
      <c r="AD7" t="n">
        <v>5789457</v>
      </c>
      <c r="AE7" t="n">
        <v>5354212</v>
      </c>
      <c r="AF7" t="n">
        <v>5578686</v>
      </c>
    </row>
    <row r="8">
      <c r="A8" t="s">
        <v>120</v>
      </c>
      <c r="B8" t="s">
        <v>283</v>
      </c>
      <c r="C8" t="s">
        <v>121</v>
      </c>
      <c r="D8" t="s">
        <v>284</v>
      </c>
      <c r="E8" t="s">
        <v>6</v>
      </c>
      <c r="F8" t="n">
        <v>5450807</v>
      </c>
      <c r="G8" t="n">
        <v>6280547</v>
      </c>
      <c r="H8" t="n">
        <v>6206312</v>
      </c>
      <c r="I8" t="n">
        <v>5458046</v>
      </c>
      <c r="J8" t="n">
        <v>5379308</v>
      </c>
      <c r="K8" t="n">
        <v>5742023</v>
      </c>
      <c r="L8" t="n">
        <v>5117030</v>
      </c>
      <c r="M8" t="n">
        <v>4947920</v>
      </c>
      <c r="N8" t="n">
        <v>4984823</v>
      </c>
      <c r="O8" t="n">
        <v>4836090</v>
      </c>
      <c r="P8" t="n">
        <v>5170290</v>
      </c>
      <c r="Q8" t="n">
        <v>5334950</v>
      </c>
      <c r="R8" t="n">
        <v>4970800</v>
      </c>
      <c r="S8" t="n">
        <v>4904236</v>
      </c>
      <c r="T8" t="n">
        <v>5190222</v>
      </c>
      <c r="U8" t="n">
        <v>4816240</v>
      </c>
      <c r="V8" t="n">
        <v>4810421</v>
      </c>
      <c r="W8" t="n">
        <v>4834517</v>
      </c>
      <c r="X8" t="n">
        <v>5738216</v>
      </c>
      <c r="Y8" t="n">
        <v>4561657</v>
      </c>
      <c r="Z8" t="n">
        <v>4081183</v>
      </c>
      <c r="AA8" t="n">
        <v>5327368</v>
      </c>
      <c r="AB8" t="n">
        <v>5781087</v>
      </c>
      <c r="AC8" t="n">
        <v>5836996</v>
      </c>
      <c r="AD8" t="n">
        <v>5592465</v>
      </c>
      <c r="AE8" t="n">
        <v>5584188</v>
      </c>
      <c r="AF8" t="n">
        <v>6628242</v>
      </c>
    </row>
    <row r="9">
      <c r="A9" t="s">
        <v>122</v>
      </c>
      <c r="B9" t="s">
        <v>283</v>
      </c>
      <c r="C9" t="s">
        <v>123</v>
      </c>
      <c r="D9" t="s">
        <v>284</v>
      </c>
      <c r="E9" t="s">
        <v>6</v>
      </c>
      <c r="F9" t="n">
        <v>7519705</v>
      </c>
      <c r="G9" t="n">
        <v>8242714</v>
      </c>
      <c r="H9" t="n">
        <v>8120187</v>
      </c>
      <c r="I9" t="n">
        <v>7500831</v>
      </c>
      <c r="J9" t="n">
        <v>7821331</v>
      </c>
      <c r="K9" t="n">
        <v>6901110</v>
      </c>
      <c r="L9" t="n">
        <v>6890146</v>
      </c>
      <c r="M9" t="n">
        <v>6858794</v>
      </c>
      <c r="N9" t="n">
        <v>6656749</v>
      </c>
      <c r="O9" t="n">
        <v>6345304</v>
      </c>
      <c r="P9" t="n">
        <v>6430588</v>
      </c>
      <c r="Q9" t="n">
        <v>6259207</v>
      </c>
      <c r="R9" t="n">
        <v>6133980</v>
      </c>
      <c r="S9" t="n">
        <v>5917672</v>
      </c>
      <c r="T9" t="n">
        <v>5165352</v>
      </c>
      <c r="U9" t="n">
        <v>6214215</v>
      </c>
      <c r="V9" t="n">
        <v>5797783</v>
      </c>
      <c r="W9" t="n">
        <v>6015979</v>
      </c>
      <c r="X9" t="n">
        <v>5941068</v>
      </c>
      <c r="Y9" t="n">
        <v>5903128</v>
      </c>
      <c r="Z9" t="n">
        <v>6652887</v>
      </c>
      <c r="AA9" t="n">
        <v>7743358</v>
      </c>
      <c r="AB9" t="n">
        <v>7511558</v>
      </c>
      <c r="AC9" t="n">
        <v>7771167</v>
      </c>
      <c r="AD9" t="n">
        <v>8208437</v>
      </c>
      <c r="AE9" t="n">
        <v>7907817</v>
      </c>
      <c r="AF9" t="n">
        <v>7783095</v>
      </c>
    </row>
    <row r="10">
      <c r="A10" t="s">
        <v>124</v>
      </c>
      <c r="B10" t="s">
        <v>283</v>
      </c>
      <c r="C10" t="s">
        <v>125</v>
      </c>
      <c r="D10" t="s">
        <v>284</v>
      </c>
      <c r="E10" t="s">
        <v>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283</v>
      </c>
      <c r="C11" t="s">
        <v>127</v>
      </c>
      <c r="D11" t="s">
        <v>284</v>
      </c>
      <c r="E11" t="s">
        <v>6</v>
      </c>
      <c r="F11" t="n">
        <v>3799380</v>
      </c>
      <c r="G11" t="n">
        <v>3832665</v>
      </c>
      <c r="H11" t="n">
        <v>3805741</v>
      </c>
      <c r="I11" t="n">
        <v>3830250</v>
      </c>
      <c r="J11" t="n">
        <v>3947688</v>
      </c>
      <c r="K11" t="n">
        <v>4411940</v>
      </c>
      <c r="L11" t="n">
        <v>4225320</v>
      </c>
      <c r="M11" t="n">
        <v>4423780</v>
      </c>
      <c r="N11" t="n">
        <v>4554723</v>
      </c>
      <c r="O11" t="n">
        <v>4596714</v>
      </c>
      <c r="P11" t="n">
        <v>4337638</v>
      </c>
      <c r="Q11" t="n">
        <v>4648631</v>
      </c>
      <c r="R11" t="n">
        <v>4383828</v>
      </c>
      <c r="S11" t="n">
        <v>4562822</v>
      </c>
      <c r="T11" t="n">
        <v>4266090</v>
      </c>
      <c r="U11" t="n">
        <v>4959104</v>
      </c>
      <c r="V11" t="n">
        <v>4691191</v>
      </c>
      <c r="W11" t="n">
        <v>4537857</v>
      </c>
      <c r="X11" t="n">
        <v>4379184</v>
      </c>
      <c r="Y11" t="n">
        <v>4156091</v>
      </c>
      <c r="Z11" t="n">
        <v>4226034</v>
      </c>
      <c r="AA11" t="n">
        <v>4779945</v>
      </c>
      <c r="AB11" t="n">
        <v>4705696</v>
      </c>
      <c r="AC11" t="n">
        <v>4878113</v>
      </c>
      <c r="AD11" t="n">
        <v>4489294</v>
      </c>
      <c r="AE11" t="n">
        <v>4969183</v>
      </c>
      <c r="AF11" t="n">
        <v>4780791</v>
      </c>
    </row>
    <row r="12">
      <c r="A12" t="s">
        <v>128</v>
      </c>
      <c r="B12" t="s">
        <v>283</v>
      </c>
      <c r="C12" t="s">
        <v>129</v>
      </c>
      <c r="D12" t="s">
        <v>284</v>
      </c>
      <c r="E12" t="s">
        <v>6</v>
      </c>
      <c r="F12" t="n">
        <v>10159414</v>
      </c>
      <c r="G12" t="n">
        <v>9951275</v>
      </c>
      <c r="H12" t="n">
        <v>9734619</v>
      </c>
      <c r="I12" t="n">
        <v>9131991</v>
      </c>
      <c r="J12" t="n">
        <v>8830228</v>
      </c>
      <c r="K12" t="n">
        <v>9407015</v>
      </c>
      <c r="L12" t="n">
        <v>8538395</v>
      </c>
      <c r="M12" t="n">
        <v>8092780</v>
      </c>
      <c r="N12" t="n">
        <v>8376166</v>
      </c>
      <c r="O12" t="n">
        <v>8887347</v>
      </c>
      <c r="P12" t="n">
        <v>8638617</v>
      </c>
      <c r="Q12" t="n">
        <v>8481428</v>
      </c>
      <c r="R12" t="n">
        <v>9015006</v>
      </c>
      <c r="S12" t="n">
        <v>8568965</v>
      </c>
      <c r="T12" t="n">
        <v>6058037</v>
      </c>
      <c r="U12" t="n">
        <v>8058597</v>
      </c>
      <c r="V12" t="n">
        <v>7953840</v>
      </c>
      <c r="W12" t="n">
        <v>7360498</v>
      </c>
      <c r="X12" t="n">
        <v>7695031</v>
      </c>
      <c r="Y12" t="n">
        <v>7713656</v>
      </c>
      <c r="Z12" t="n">
        <v>8012900</v>
      </c>
      <c r="AA12" t="n">
        <v>8266897</v>
      </c>
      <c r="AB12" t="n">
        <v>9052911</v>
      </c>
      <c r="AC12" t="n">
        <v>8987013</v>
      </c>
      <c r="AD12" t="n">
        <v>8639882</v>
      </c>
      <c r="AE12" t="n">
        <v>8734033</v>
      </c>
      <c r="AF12" t="n">
        <v>9783285</v>
      </c>
    </row>
    <row r="13">
      <c r="A13" t="s">
        <v>130</v>
      </c>
      <c r="B13" t="s">
        <v>283</v>
      </c>
      <c r="C13" t="s">
        <v>131</v>
      </c>
      <c r="D13" t="s">
        <v>284</v>
      </c>
      <c r="E13" t="s">
        <v>6</v>
      </c>
      <c r="F13" t="n">
        <v>15593631</v>
      </c>
      <c r="G13" t="n">
        <v>15674823</v>
      </c>
      <c r="H13" t="n">
        <v>15819071</v>
      </c>
      <c r="I13" t="n">
        <v>14114383</v>
      </c>
      <c r="J13" t="n">
        <v>13795564</v>
      </c>
      <c r="K13" t="n">
        <v>14267761</v>
      </c>
      <c r="L13" t="n">
        <v>13186747</v>
      </c>
      <c r="M13" t="n">
        <v>12013748</v>
      </c>
      <c r="N13" t="n">
        <v>12046473</v>
      </c>
      <c r="O13" t="n">
        <v>12540048</v>
      </c>
      <c r="P13" t="n">
        <v>13799234</v>
      </c>
      <c r="Q13" t="n">
        <v>14859058</v>
      </c>
      <c r="R13" t="n">
        <v>14905958</v>
      </c>
      <c r="S13" t="n">
        <v>14835750</v>
      </c>
      <c r="T13" t="n">
        <v>11501682</v>
      </c>
      <c r="U13" t="n">
        <v>15208093</v>
      </c>
      <c r="V13" t="n">
        <v>12475120</v>
      </c>
      <c r="W13" t="n">
        <v>13313034</v>
      </c>
      <c r="X13" t="n">
        <v>13889680</v>
      </c>
      <c r="Y13" t="n">
        <v>13925536</v>
      </c>
      <c r="Z13" t="n">
        <v>14381298</v>
      </c>
      <c r="AA13" t="n">
        <v>15092133</v>
      </c>
      <c r="AB13" t="n">
        <v>15682980</v>
      </c>
      <c r="AC13" t="n">
        <v>15232625</v>
      </c>
      <c r="AD13" t="n">
        <v>15045143</v>
      </c>
      <c r="AE13" t="n">
        <v>13718815</v>
      </c>
      <c r="AF13" t="n">
        <v>15812876</v>
      </c>
    </row>
    <row r="14">
      <c r="A14" t="s">
        <v>132</v>
      </c>
      <c r="B14" t="s">
        <v>283</v>
      </c>
      <c r="C14" t="s">
        <v>133</v>
      </c>
      <c r="D14" t="s">
        <v>284</v>
      </c>
      <c r="E14" t="s">
        <v>6</v>
      </c>
      <c r="F14" t="n">
        <v>17728783</v>
      </c>
      <c r="G14" t="n">
        <v>18863940</v>
      </c>
      <c r="H14" t="n">
        <v>19303103</v>
      </c>
      <c r="I14" t="n">
        <v>17732249</v>
      </c>
      <c r="J14" t="n">
        <v>18499305</v>
      </c>
      <c r="K14" t="n">
        <v>20111567</v>
      </c>
      <c r="L14" t="n">
        <v>16468912</v>
      </c>
      <c r="M14" t="n">
        <v>15904090</v>
      </c>
      <c r="N14" t="n">
        <v>17633152</v>
      </c>
      <c r="O14" t="n">
        <v>17715329</v>
      </c>
      <c r="P14" t="n">
        <v>17155421</v>
      </c>
      <c r="Q14" t="n">
        <v>17189397</v>
      </c>
      <c r="R14" t="n">
        <v>18070823</v>
      </c>
      <c r="S14" t="n">
        <v>17148701</v>
      </c>
      <c r="T14" t="n">
        <v>12943344</v>
      </c>
      <c r="U14" t="n">
        <v>14747186</v>
      </c>
      <c r="V14" t="n">
        <v>13073487</v>
      </c>
      <c r="W14" t="n">
        <v>11029516</v>
      </c>
      <c r="X14" t="n">
        <v>9895721</v>
      </c>
      <c r="Y14" t="n">
        <v>10897635</v>
      </c>
      <c r="Z14" t="n">
        <v>11085768</v>
      </c>
      <c r="AA14" t="n">
        <v>11344198</v>
      </c>
      <c r="AB14" t="n">
        <v>10702534</v>
      </c>
      <c r="AC14" t="n">
        <v>12007879</v>
      </c>
      <c r="AD14" t="n">
        <v>11106521</v>
      </c>
      <c r="AE14" t="n">
        <v>10804595</v>
      </c>
      <c r="AF14" t="n">
        <v>12221331</v>
      </c>
    </row>
    <row r="15">
      <c r="A15" t="s">
        <v>134</v>
      </c>
      <c r="B15" t="s">
        <v>283</v>
      </c>
      <c r="C15" t="s">
        <v>135</v>
      </c>
      <c r="D15" t="s">
        <v>284</v>
      </c>
      <c r="E15" t="s">
        <v>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283</v>
      </c>
      <c r="C16" t="s">
        <v>137</v>
      </c>
      <c r="D16" t="s">
        <v>284</v>
      </c>
      <c r="E16" t="s">
        <v>6</v>
      </c>
      <c r="F16" t="n">
        <v>9747658</v>
      </c>
      <c r="G16" t="n">
        <v>9318764</v>
      </c>
      <c r="H16" t="n">
        <v>9569532</v>
      </c>
      <c r="I16" t="n">
        <v>8930507</v>
      </c>
      <c r="J16" t="n">
        <v>8392767</v>
      </c>
      <c r="K16" t="n">
        <v>8783906</v>
      </c>
      <c r="L16" t="n">
        <v>7751029</v>
      </c>
      <c r="M16" t="n">
        <v>7184592</v>
      </c>
      <c r="N16" t="n">
        <v>7497307</v>
      </c>
      <c r="O16" t="n">
        <v>7593262</v>
      </c>
      <c r="P16" t="n">
        <v>7584832</v>
      </c>
      <c r="Q16" t="n">
        <v>8026284</v>
      </c>
      <c r="R16" t="n">
        <v>8044219</v>
      </c>
      <c r="S16" t="n">
        <v>7394396</v>
      </c>
      <c r="T16" t="n">
        <v>5787310</v>
      </c>
      <c r="U16" t="n">
        <v>7029815</v>
      </c>
      <c r="V16" t="n">
        <v>6612227</v>
      </c>
      <c r="W16" t="n">
        <v>6204942</v>
      </c>
      <c r="X16" t="n">
        <v>5937689</v>
      </c>
      <c r="Y16" t="n">
        <v>6733507</v>
      </c>
      <c r="Z16" t="n">
        <v>6568713</v>
      </c>
      <c r="AA16" t="n">
        <v>6710396</v>
      </c>
      <c r="AB16" t="n">
        <v>7465361</v>
      </c>
      <c r="AC16" t="n">
        <v>7771108</v>
      </c>
      <c r="AD16" t="n">
        <v>7476641</v>
      </c>
      <c r="AE16" t="n">
        <v>6812294</v>
      </c>
      <c r="AF16" t="n">
        <v>7097398</v>
      </c>
    </row>
    <row r="17">
      <c r="A17" t="s">
        <v>138</v>
      </c>
      <c r="B17" t="s">
        <v>283</v>
      </c>
      <c r="C17" t="s">
        <v>139</v>
      </c>
      <c r="D17" t="s">
        <v>284</v>
      </c>
      <c r="E17" t="s">
        <v>6</v>
      </c>
      <c r="F17" t="n">
        <v>12032779</v>
      </c>
      <c r="G17" t="n">
        <v>12524807</v>
      </c>
      <c r="H17" t="n">
        <v>13178932</v>
      </c>
      <c r="I17" t="n">
        <v>12428068</v>
      </c>
      <c r="J17" t="n">
        <v>12104240</v>
      </c>
      <c r="K17" t="n">
        <v>12459044</v>
      </c>
      <c r="L17" t="n">
        <v>11293900</v>
      </c>
      <c r="M17" t="n">
        <v>10246993</v>
      </c>
      <c r="N17" t="n">
        <v>10989252</v>
      </c>
      <c r="O17" t="n">
        <v>11934314</v>
      </c>
      <c r="P17" t="n">
        <v>12365189</v>
      </c>
      <c r="Q17" t="n">
        <v>13240759</v>
      </c>
      <c r="R17" t="n">
        <v>13960806</v>
      </c>
      <c r="S17" t="n">
        <v>14427482</v>
      </c>
      <c r="T17" t="n">
        <v>9450527</v>
      </c>
      <c r="U17" t="n">
        <v>11333507</v>
      </c>
      <c r="V17" t="n">
        <v>12334614</v>
      </c>
      <c r="W17" t="n">
        <v>11572966</v>
      </c>
      <c r="X17" t="n">
        <v>11320227</v>
      </c>
      <c r="Y17" t="n">
        <v>12023432</v>
      </c>
      <c r="Z17" t="n">
        <v>12895195</v>
      </c>
      <c r="AA17" t="n">
        <v>13024242</v>
      </c>
      <c r="AB17" t="n">
        <v>14712685</v>
      </c>
      <c r="AC17" t="n">
        <v>15429393</v>
      </c>
      <c r="AD17" t="n">
        <v>14636905</v>
      </c>
      <c r="AE17" t="n">
        <v>13159452</v>
      </c>
      <c r="AF17" t="n">
        <v>15265647</v>
      </c>
    </row>
    <row r="18">
      <c r="A18" t="s">
        <v>140</v>
      </c>
      <c r="B18" t="s">
        <v>283</v>
      </c>
      <c r="C18" t="s">
        <v>141</v>
      </c>
      <c r="D18" t="s">
        <v>284</v>
      </c>
      <c r="E18" t="s">
        <v>6</v>
      </c>
      <c r="F18" t="n">
        <v>12874070</v>
      </c>
      <c r="G18" t="n">
        <v>12373054</v>
      </c>
      <c r="H18" t="n">
        <v>12804641</v>
      </c>
      <c r="I18" t="n">
        <v>13264742</v>
      </c>
      <c r="J18" t="n">
        <v>14429420</v>
      </c>
      <c r="K18" t="n">
        <v>13857413</v>
      </c>
      <c r="L18" t="n">
        <v>12774713</v>
      </c>
      <c r="M18" t="n">
        <v>14590147</v>
      </c>
      <c r="N18" t="n">
        <v>14682263</v>
      </c>
      <c r="O18" t="n">
        <v>15641262</v>
      </c>
      <c r="P18" t="n">
        <v>16824339</v>
      </c>
      <c r="Q18" t="n">
        <v>16510784</v>
      </c>
      <c r="R18" t="n">
        <v>17563040</v>
      </c>
      <c r="S18" t="n">
        <v>17847765</v>
      </c>
      <c r="T18" t="n">
        <v>12035116</v>
      </c>
      <c r="U18" t="n">
        <v>15341606</v>
      </c>
      <c r="V18" t="n">
        <v>13485768</v>
      </c>
      <c r="W18" t="n">
        <v>13809624</v>
      </c>
      <c r="X18" t="n">
        <v>12212425</v>
      </c>
      <c r="Y18" t="n">
        <v>14011792</v>
      </c>
      <c r="Z18" t="n">
        <v>14547342</v>
      </c>
      <c r="AA18" t="n">
        <v>15496261</v>
      </c>
      <c r="AB18" t="n">
        <v>15880177</v>
      </c>
      <c r="AC18" t="n">
        <v>15918760</v>
      </c>
      <c r="AD18" t="n">
        <v>14752736</v>
      </c>
      <c r="AE18" t="n">
        <v>13012025</v>
      </c>
      <c r="AF18" t="n">
        <v>13804377</v>
      </c>
    </row>
    <row r="19">
      <c r="A19" t="s">
        <v>142</v>
      </c>
      <c r="B19" t="s">
        <v>283</v>
      </c>
      <c r="C19" t="s">
        <v>143</v>
      </c>
      <c r="D19" t="s">
        <v>284</v>
      </c>
      <c r="E19" t="s">
        <v>6</v>
      </c>
      <c r="F19" t="n">
        <v>3236373</v>
      </c>
      <c r="G19" t="n">
        <v>3507569</v>
      </c>
      <c r="H19" t="n">
        <v>3635749</v>
      </c>
      <c r="I19" t="n">
        <v>3195054</v>
      </c>
      <c r="J19" t="n">
        <v>3255260</v>
      </c>
      <c r="K19" t="n">
        <v>3071846</v>
      </c>
      <c r="L19" t="n">
        <v>2795751</v>
      </c>
      <c r="M19" t="n">
        <v>2777107</v>
      </c>
      <c r="N19" t="n">
        <v>2575479</v>
      </c>
      <c r="O19" t="n">
        <v>2437436</v>
      </c>
      <c r="P19" t="n">
        <v>2455282</v>
      </c>
      <c r="Q19" t="n">
        <v>2314728</v>
      </c>
      <c r="R19" t="n">
        <v>2296562</v>
      </c>
      <c r="S19" t="n">
        <v>2250227</v>
      </c>
      <c r="T19" t="n">
        <v>1692599</v>
      </c>
      <c r="U19" t="n">
        <v>1926982</v>
      </c>
      <c r="V19" t="n">
        <v>1912805</v>
      </c>
      <c r="W19" t="n">
        <v>1802906</v>
      </c>
      <c r="X19" t="n">
        <v>1907262</v>
      </c>
      <c r="Y19" t="n">
        <v>1973915</v>
      </c>
      <c r="Z19" t="n">
        <v>1976556</v>
      </c>
      <c r="AA19" t="n">
        <v>1864370</v>
      </c>
      <c r="AB19" t="n">
        <v>2162466</v>
      </c>
      <c r="AC19" t="n">
        <v>2236255</v>
      </c>
      <c r="AD19" t="n">
        <v>2221031</v>
      </c>
      <c r="AE19" t="n">
        <v>2122523</v>
      </c>
      <c r="AF19" t="n">
        <v>2652644</v>
      </c>
    </row>
    <row r="20">
      <c r="A20" t="s">
        <v>144</v>
      </c>
      <c r="B20" t="s">
        <v>283</v>
      </c>
      <c r="C20" t="s">
        <v>145</v>
      </c>
      <c r="D20" t="s">
        <v>284</v>
      </c>
      <c r="E20" t="s">
        <v>6</v>
      </c>
      <c r="F20" t="n">
        <v>10786279</v>
      </c>
      <c r="G20" t="n">
        <v>11765108</v>
      </c>
      <c r="H20" t="n">
        <v>11214897</v>
      </c>
      <c r="I20" t="n">
        <v>12020346</v>
      </c>
      <c r="J20" t="n">
        <v>12007212</v>
      </c>
      <c r="K20" t="n">
        <v>12020700</v>
      </c>
      <c r="L20" t="n">
        <v>11734963</v>
      </c>
      <c r="M20" t="n">
        <v>11474588</v>
      </c>
      <c r="N20" t="n">
        <v>10933100</v>
      </c>
      <c r="O20" t="n">
        <v>10759082</v>
      </c>
      <c r="P20" t="n">
        <v>11148655</v>
      </c>
      <c r="Q20" t="n">
        <v>9343273</v>
      </c>
      <c r="R20" t="n">
        <v>7868609</v>
      </c>
      <c r="S20" t="n">
        <v>8260230</v>
      </c>
      <c r="T20" t="n">
        <v>4363173</v>
      </c>
      <c r="U20" t="n">
        <v>9622010</v>
      </c>
      <c r="V20" t="n">
        <v>6325399</v>
      </c>
      <c r="W20" t="n">
        <v>3722939</v>
      </c>
      <c r="X20" t="n">
        <v>5070102</v>
      </c>
      <c r="Y20" t="n">
        <v>5537464</v>
      </c>
      <c r="Z20" t="n">
        <v>6055661</v>
      </c>
      <c r="AA20" t="n">
        <v>8285481</v>
      </c>
      <c r="AB20" t="n">
        <v>9577712</v>
      </c>
      <c r="AC20" t="n">
        <v>8892716</v>
      </c>
      <c r="AD20" t="n">
        <v>8222319</v>
      </c>
      <c r="AE20" t="n">
        <v>8619736</v>
      </c>
      <c r="AF20" t="n">
        <v>9333451</v>
      </c>
    </row>
    <row r="21">
      <c r="A21" t="s">
        <v>146</v>
      </c>
      <c r="B21" t="s">
        <v>283</v>
      </c>
      <c r="C21" t="s">
        <v>147</v>
      </c>
      <c r="D21" t="s">
        <v>284</v>
      </c>
      <c r="E21" t="s">
        <v>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283</v>
      </c>
      <c r="C22" t="s">
        <v>149</v>
      </c>
      <c r="D22" t="s">
        <v>284</v>
      </c>
      <c r="E22" t="s">
        <v>6</v>
      </c>
      <c r="F22" t="n">
        <v>5344700</v>
      </c>
      <c r="G22" t="n">
        <v>5552276</v>
      </c>
      <c r="H22" t="n">
        <v>5752854</v>
      </c>
      <c r="I22" t="n">
        <v>6030769</v>
      </c>
      <c r="J22" t="n">
        <v>6276299</v>
      </c>
      <c r="K22" t="n">
        <v>6189999</v>
      </c>
      <c r="L22" t="n">
        <v>6238993</v>
      </c>
      <c r="M22" t="n">
        <v>6277361</v>
      </c>
      <c r="N22" t="n">
        <v>6418672</v>
      </c>
      <c r="O22" t="n">
        <v>6435339</v>
      </c>
      <c r="P22" t="n">
        <v>6501459</v>
      </c>
      <c r="Q22" t="n">
        <v>6492639</v>
      </c>
      <c r="R22" t="n">
        <v>6602395</v>
      </c>
      <c r="S22" t="n">
        <v>6600401</v>
      </c>
      <c r="T22" t="n">
        <v>6484955</v>
      </c>
      <c r="U22" t="n">
        <v>6481841</v>
      </c>
      <c r="V22" t="n">
        <v>6580578</v>
      </c>
      <c r="W22" t="n">
        <v>6494476</v>
      </c>
      <c r="X22" t="n">
        <v>6574188</v>
      </c>
      <c r="Y22" t="n">
        <v>6750260</v>
      </c>
      <c r="Z22" t="n">
        <v>6865205</v>
      </c>
      <c r="AA22" t="n">
        <v>7041024</v>
      </c>
      <c r="AB22" t="n">
        <v>7573364</v>
      </c>
      <c r="AC22" t="n">
        <v>7759675</v>
      </c>
      <c r="AD22" t="n">
        <v>7791725</v>
      </c>
      <c r="AE22" t="n">
        <v>7817351</v>
      </c>
      <c r="AF22" t="n">
        <v>8284252</v>
      </c>
    </row>
    <row r="23">
      <c r="A23" t="s">
        <v>150</v>
      </c>
      <c r="B23" t="s">
        <v>283</v>
      </c>
      <c r="C23" t="s">
        <v>151</v>
      </c>
      <c r="D23" t="s">
        <v>284</v>
      </c>
      <c r="E23" t="s">
        <v>6</v>
      </c>
      <c r="F23" t="n">
        <v>39512178</v>
      </c>
      <c r="G23" t="n">
        <v>40674464</v>
      </c>
      <c r="H23" t="n">
        <v>38393394</v>
      </c>
      <c r="I23" t="n">
        <v>38332632</v>
      </c>
      <c r="J23" t="n">
        <v>37286892</v>
      </c>
      <c r="K23" t="n">
        <v>35312621</v>
      </c>
      <c r="L23" t="n">
        <v>34500105</v>
      </c>
      <c r="M23" t="n">
        <v>32459925</v>
      </c>
      <c r="N23" t="n">
        <v>30523725</v>
      </c>
      <c r="O23" t="n">
        <v>29733457</v>
      </c>
      <c r="P23" t="n">
        <v>28820887</v>
      </c>
      <c r="Q23" t="n">
        <v>28573768</v>
      </c>
      <c r="R23" t="n">
        <v>26659827</v>
      </c>
      <c r="S23" t="n">
        <v>25142471</v>
      </c>
      <c r="T23" t="n">
        <v>25462710</v>
      </c>
      <c r="U23" t="n">
        <v>23653889</v>
      </c>
      <c r="V23" t="n">
        <v>23642449</v>
      </c>
      <c r="W23" t="n">
        <v>23483693</v>
      </c>
      <c r="X23" t="n">
        <v>25291629</v>
      </c>
      <c r="Y23" t="n">
        <v>25828316</v>
      </c>
      <c r="Z23" t="n">
        <v>27318629</v>
      </c>
      <c r="AA23" t="n">
        <v>29182742</v>
      </c>
      <c r="AB23" t="n">
        <v>29910414</v>
      </c>
      <c r="AC23" t="n">
        <v>29917997</v>
      </c>
      <c r="AD23" t="n">
        <v>29771606</v>
      </c>
      <c r="AE23" t="n">
        <v>30245690</v>
      </c>
      <c r="AF23" t="n">
        <v>29933004</v>
      </c>
    </row>
    <row r="24">
      <c r="A24" t="s">
        <v>152</v>
      </c>
      <c r="B24" t="s">
        <v>283</v>
      </c>
      <c r="C24" t="s">
        <v>153</v>
      </c>
      <c r="D24" t="s">
        <v>284</v>
      </c>
      <c r="E24" t="s">
        <v>6</v>
      </c>
      <c r="F24" t="n">
        <v>76865269</v>
      </c>
      <c r="G24" t="n">
        <v>77459793</v>
      </c>
      <c r="H24" t="n">
        <v>77664536</v>
      </c>
      <c r="I24" t="n">
        <v>76844358</v>
      </c>
      <c r="J24" t="n">
        <v>76720847</v>
      </c>
      <c r="K24" t="n">
        <v>74838973</v>
      </c>
      <c r="L24" t="n">
        <v>76561460</v>
      </c>
      <c r="M24" t="n">
        <v>75446386</v>
      </c>
      <c r="N24" t="n">
        <v>74044217</v>
      </c>
      <c r="O24" t="n">
        <v>76781626</v>
      </c>
      <c r="P24" t="n">
        <v>78091728</v>
      </c>
      <c r="Q24" t="n">
        <v>75001135</v>
      </c>
      <c r="R24" t="n">
        <v>73216044</v>
      </c>
      <c r="S24" t="n">
        <v>72139320</v>
      </c>
      <c r="T24" t="n">
        <v>70417577</v>
      </c>
      <c r="U24" t="n">
        <v>69397577</v>
      </c>
      <c r="V24" t="n">
        <v>70430342</v>
      </c>
      <c r="W24" t="n">
        <v>72223104</v>
      </c>
      <c r="X24" t="n">
        <v>72762681</v>
      </c>
      <c r="Y24" t="n">
        <v>69689514</v>
      </c>
      <c r="Z24" t="n">
        <v>72699736</v>
      </c>
      <c r="AA24" t="n">
        <v>71838148</v>
      </c>
      <c r="AB24" t="n">
        <v>74859576</v>
      </c>
      <c r="AC24" t="n">
        <v>72608110</v>
      </c>
      <c r="AD24" t="n">
        <v>70851994</v>
      </c>
      <c r="AE24" t="n">
        <v>68692533</v>
      </c>
      <c r="AF24" t="n">
        <v>75843574</v>
      </c>
    </row>
    <row r="25">
      <c r="A25" t="s">
        <v>154</v>
      </c>
      <c r="B25" t="s">
        <v>283</v>
      </c>
      <c r="C25" t="s">
        <v>155</v>
      </c>
      <c r="D25" t="s">
        <v>284</v>
      </c>
      <c r="E25" t="s">
        <v>6</v>
      </c>
      <c r="F25" t="n">
        <v>3851941</v>
      </c>
      <c r="G25" t="n">
        <v>4251554</v>
      </c>
      <c r="H25" t="n">
        <v>4179375</v>
      </c>
      <c r="I25" t="n">
        <v>4307731</v>
      </c>
      <c r="J25" t="n">
        <v>4734192</v>
      </c>
      <c r="K25" t="n">
        <v>4978289</v>
      </c>
      <c r="L25" t="n">
        <v>4442604</v>
      </c>
      <c r="M25" t="n">
        <v>4257287</v>
      </c>
      <c r="N25" t="n">
        <v>4221985</v>
      </c>
      <c r="O25" t="n">
        <v>4304703</v>
      </c>
      <c r="P25" t="n">
        <v>3574678</v>
      </c>
      <c r="Q25" t="n">
        <v>3341020</v>
      </c>
      <c r="R25" t="n">
        <v>2995323</v>
      </c>
      <c r="S25" t="n">
        <v>2530613</v>
      </c>
      <c r="T25" t="n">
        <v>1927390</v>
      </c>
      <c r="U25" t="n">
        <v>1867991</v>
      </c>
      <c r="V25" t="n">
        <v>1489542</v>
      </c>
      <c r="W25" t="n">
        <v>1596556</v>
      </c>
      <c r="X25" t="n">
        <v>1759042</v>
      </c>
      <c r="Y25" t="n">
        <v>1942641</v>
      </c>
      <c r="Z25" t="n">
        <v>2125853</v>
      </c>
      <c r="AA25" t="n">
        <v>2136968</v>
      </c>
      <c r="AB25" t="n">
        <v>2403248</v>
      </c>
      <c r="AC25" t="n">
        <v>2420477</v>
      </c>
      <c r="AD25" t="n">
        <v>2396147</v>
      </c>
      <c r="AE25" t="n">
        <v>2349454</v>
      </c>
      <c r="AF25" t="n">
        <v>2340816</v>
      </c>
    </row>
    <row r="26">
      <c r="A26" t="s">
        <v>156</v>
      </c>
      <c r="B26" t="s">
        <v>283</v>
      </c>
      <c r="C26" t="s">
        <v>157</v>
      </c>
      <c r="D26" t="s">
        <v>284</v>
      </c>
      <c r="E26" t="s">
        <v>6</v>
      </c>
      <c r="F26" t="n">
        <v>43833552</v>
      </c>
      <c r="G26" t="n">
        <v>44363905</v>
      </c>
      <c r="H26" t="n">
        <v>45889148</v>
      </c>
      <c r="I26" t="n">
        <v>46216192</v>
      </c>
      <c r="J26" t="n">
        <v>45653168</v>
      </c>
      <c r="K26" t="n">
        <v>43668221</v>
      </c>
      <c r="L26" t="n">
        <v>44660587</v>
      </c>
      <c r="M26" t="n">
        <v>43406040</v>
      </c>
      <c r="N26" t="n">
        <v>42226382</v>
      </c>
      <c r="O26" t="n">
        <v>45475897</v>
      </c>
      <c r="P26" t="n">
        <v>49410366</v>
      </c>
      <c r="Q26" t="n">
        <v>47753100</v>
      </c>
      <c r="R26" t="n">
        <v>45823674</v>
      </c>
      <c r="S26" t="n">
        <v>45547279</v>
      </c>
      <c r="T26" t="n">
        <v>42557743</v>
      </c>
      <c r="U26" t="n">
        <v>41378064</v>
      </c>
      <c r="V26" t="n">
        <v>42815857</v>
      </c>
      <c r="W26" t="n">
        <v>42614377</v>
      </c>
      <c r="X26" t="n">
        <v>41172118</v>
      </c>
      <c r="Y26" t="n">
        <v>37560996</v>
      </c>
      <c r="Z26" t="n">
        <v>38152188</v>
      </c>
      <c r="AA26" t="n">
        <v>37346737</v>
      </c>
      <c r="AB26" t="n">
        <v>39388435</v>
      </c>
      <c r="AC26" t="n">
        <v>38298379</v>
      </c>
      <c r="AD26" t="n">
        <v>36030465</v>
      </c>
      <c r="AE26" t="n">
        <v>34730761</v>
      </c>
      <c r="AF26" t="n">
        <v>39965282</v>
      </c>
    </row>
    <row r="27">
      <c r="A27" t="s">
        <v>158</v>
      </c>
      <c r="B27" t="s">
        <v>283</v>
      </c>
      <c r="C27" t="s">
        <v>159</v>
      </c>
      <c r="D27" t="s">
        <v>284</v>
      </c>
      <c r="E27" t="s">
        <v>6</v>
      </c>
      <c r="F27" t="n">
        <v>29179776</v>
      </c>
      <c r="G27" t="n">
        <v>28844334</v>
      </c>
      <c r="H27" t="n">
        <v>27596013</v>
      </c>
      <c r="I27" t="n">
        <v>26320435</v>
      </c>
      <c r="J27" t="n">
        <v>26333487</v>
      </c>
      <c r="K27" t="n">
        <v>26192463</v>
      </c>
      <c r="L27" t="n">
        <v>27458269</v>
      </c>
      <c r="M27" t="n">
        <v>27783059</v>
      </c>
      <c r="N27" t="n">
        <v>27595850</v>
      </c>
      <c r="O27" t="n">
        <v>27001026</v>
      </c>
      <c r="P27" t="n">
        <v>25106684</v>
      </c>
      <c r="Q27" t="n">
        <v>23907015</v>
      </c>
      <c r="R27" t="n">
        <v>24397047</v>
      </c>
      <c r="S27" t="n">
        <v>24061428</v>
      </c>
      <c r="T27" t="n">
        <v>25932444</v>
      </c>
      <c r="U27" t="n">
        <v>26151522</v>
      </c>
      <c r="V27" t="n">
        <v>26124943</v>
      </c>
      <c r="W27" t="n">
        <v>28012171</v>
      </c>
      <c r="X27" t="n">
        <v>29831521</v>
      </c>
      <c r="Y27" t="n">
        <v>30185877</v>
      </c>
      <c r="Z27" t="n">
        <v>32421695</v>
      </c>
      <c r="AA27" t="n">
        <v>32354443</v>
      </c>
      <c r="AB27" t="n">
        <v>33067893</v>
      </c>
      <c r="AC27" t="n">
        <v>31889254</v>
      </c>
      <c r="AD27" t="n">
        <v>32425382</v>
      </c>
      <c r="AE27" t="n">
        <v>31612318</v>
      </c>
      <c r="AF27" t="n">
        <v>33537476</v>
      </c>
    </row>
    <row r="28">
      <c r="A28" t="s">
        <v>160</v>
      </c>
      <c r="B28" t="s">
        <v>283</v>
      </c>
      <c r="C28" t="s">
        <v>161</v>
      </c>
      <c r="D28" t="s">
        <v>284</v>
      </c>
      <c r="E28" t="s">
        <v>6</v>
      </c>
      <c r="F28" t="n">
        <v>28664600</v>
      </c>
      <c r="G28" t="n">
        <v>27386380</v>
      </c>
      <c r="H28" t="n">
        <v>27366333</v>
      </c>
      <c r="I28" t="n">
        <v>26183691</v>
      </c>
      <c r="J28" t="n">
        <v>26141364</v>
      </c>
      <c r="K28" t="n">
        <v>26495854</v>
      </c>
      <c r="L28" t="n">
        <v>26283386</v>
      </c>
      <c r="M28" t="n">
        <v>26444657</v>
      </c>
      <c r="N28" t="n">
        <v>26810476</v>
      </c>
      <c r="O28" t="n">
        <v>27473587</v>
      </c>
      <c r="P28" t="n">
        <v>27300418</v>
      </c>
      <c r="Q28" t="n">
        <v>28635748</v>
      </c>
      <c r="R28" t="n">
        <v>29166252</v>
      </c>
      <c r="S28" t="n">
        <v>28300617</v>
      </c>
      <c r="T28" t="n">
        <v>24416468</v>
      </c>
      <c r="U28" t="n">
        <v>26124634</v>
      </c>
      <c r="V28" t="n">
        <v>25476840</v>
      </c>
      <c r="W28" t="n">
        <v>25970185</v>
      </c>
      <c r="X28" t="n">
        <v>26380198</v>
      </c>
      <c r="Y28" t="n">
        <v>26956968</v>
      </c>
      <c r="Z28" t="n">
        <v>27275531</v>
      </c>
      <c r="AA28" t="n">
        <v>28376331</v>
      </c>
      <c r="AB28" t="n">
        <v>29452084</v>
      </c>
      <c r="AC28" t="n">
        <v>28958225</v>
      </c>
      <c r="AD28" t="n">
        <v>29341147</v>
      </c>
      <c r="AE28" t="n">
        <v>21689533</v>
      </c>
      <c r="AF28" t="n">
        <v>23234957</v>
      </c>
    </row>
    <row r="29">
      <c r="A29" t="s">
        <v>162</v>
      </c>
      <c r="B29" t="s">
        <v>283</v>
      </c>
      <c r="C29" t="s">
        <v>163</v>
      </c>
      <c r="D29" t="s">
        <v>284</v>
      </c>
      <c r="E29" t="s">
        <v>6</v>
      </c>
      <c r="F29" t="n">
        <v>20725941</v>
      </c>
      <c r="G29" t="n">
        <v>19795405</v>
      </c>
      <c r="H29" t="n">
        <v>19882022</v>
      </c>
      <c r="I29" t="n">
        <v>19107605</v>
      </c>
      <c r="J29" t="n">
        <v>19447470</v>
      </c>
      <c r="K29" t="n">
        <v>20015541</v>
      </c>
      <c r="L29" t="n">
        <v>20128568</v>
      </c>
      <c r="M29" t="n">
        <v>20199499</v>
      </c>
      <c r="N29" t="n">
        <v>20567586</v>
      </c>
      <c r="O29" t="n">
        <v>20793871</v>
      </c>
      <c r="P29" t="n">
        <v>20686394</v>
      </c>
      <c r="Q29" t="n">
        <v>21504215</v>
      </c>
      <c r="R29" t="n">
        <v>21858779</v>
      </c>
      <c r="S29" t="n">
        <v>21258235</v>
      </c>
      <c r="T29" t="n">
        <v>18569557</v>
      </c>
      <c r="U29" t="n">
        <v>19888364</v>
      </c>
      <c r="V29" t="n">
        <v>19214475</v>
      </c>
      <c r="W29" t="n">
        <v>19751393</v>
      </c>
      <c r="X29" t="n">
        <v>19957781</v>
      </c>
      <c r="Y29" t="n">
        <v>20350022</v>
      </c>
      <c r="Z29" t="n">
        <v>20493576</v>
      </c>
      <c r="AA29" t="n">
        <v>21283667</v>
      </c>
      <c r="AB29" t="n">
        <v>22528144</v>
      </c>
      <c r="AC29" t="n">
        <v>22540641</v>
      </c>
      <c r="AD29" t="n">
        <v>22916294</v>
      </c>
      <c r="AE29" t="n">
        <v>17198069</v>
      </c>
      <c r="AF29" t="n">
        <v>18896730</v>
      </c>
    </row>
    <row r="30">
      <c r="A30" t="s">
        <v>164</v>
      </c>
      <c r="B30" t="s">
        <v>283</v>
      </c>
      <c r="C30" t="s">
        <v>165</v>
      </c>
      <c r="D30" t="s">
        <v>284</v>
      </c>
      <c r="E30" t="s">
        <v>6</v>
      </c>
      <c r="F30" t="n">
        <v>2783454</v>
      </c>
      <c r="G30" t="n">
        <v>2039771</v>
      </c>
      <c r="H30" t="n">
        <v>2291715</v>
      </c>
      <c r="I30" t="n">
        <v>2463417</v>
      </c>
      <c r="J30" t="n">
        <v>2298769</v>
      </c>
      <c r="K30" t="n">
        <v>2040813</v>
      </c>
      <c r="L30" t="n">
        <v>1939055</v>
      </c>
      <c r="M30" t="n">
        <v>2066013</v>
      </c>
      <c r="N30" t="n">
        <v>2215274</v>
      </c>
      <c r="O30" t="n">
        <v>2242437</v>
      </c>
      <c r="P30" t="n">
        <v>2036632</v>
      </c>
      <c r="Q30" t="n">
        <v>2341003</v>
      </c>
      <c r="R30" t="n">
        <v>2700812</v>
      </c>
      <c r="S30" t="n">
        <v>2756843</v>
      </c>
      <c r="T30" t="n">
        <v>2348271</v>
      </c>
      <c r="U30" t="n">
        <v>1968068</v>
      </c>
      <c r="V30" t="n">
        <v>2058049</v>
      </c>
      <c r="W30" t="n">
        <v>1666075</v>
      </c>
      <c r="X30" t="n">
        <v>1519903</v>
      </c>
      <c r="Y30" t="n">
        <v>1953611</v>
      </c>
      <c r="Z30" t="n">
        <v>2106844</v>
      </c>
      <c r="AA30" t="n">
        <v>2504226</v>
      </c>
      <c r="AB30" t="n">
        <v>1897387</v>
      </c>
      <c r="AC30" t="n">
        <v>1529146</v>
      </c>
      <c r="AD30" t="n">
        <v>1452561</v>
      </c>
      <c r="AE30" t="n">
        <v>1455146</v>
      </c>
      <c r="AF30" t="n">
        <v>1480155</v>
      </c>
    </row>
    <row r="31">
      <c r="A31" t="s">
        <v>166</v>
      </c>
      <c r="B31" t="s">
        <v>283</v>
      </c>
      <c r="C31" t="s">
        <v>167</v>
      </c>
      <c r="D31" t="s">
        <v>284</v>
      </c>
      <c r="E31" t="s">
        <v>6</v>
      </c>
      <c r="F31" t="n">
        <v>1677158</v>
      </c>
      <c r="G31" t="n">
        <v>1816902</v>
      </c>
      <c r="H31" t="n">
        <v>1783903</v>
      </c>
      <c r="I31" t="n">
        <v>1611269</v>
      </c>
      <c r="J31" t="n">
        <v>1676935</v>
      </c>
      <c r="K31" t="n">
        <v>1883972</v>
      </c>
      <c r="L31" t="n">
        <v>1635793</v>
      </c>
      <c r="M31" t="n">
        <v>1602695</v>
      </c>
      <c r="N31" t="n">
        <v>1444829</v>
      </c>
      <c r="O31" t="n">
        <v>1571062</v>
      </c>
      <c r="P31" t="n">
        <v>1613024</v>
      </c>
      <c r="Q31" t="n">
        <v>1783489</v>
      </c>
      <c r="R31" t="n">
        <v>1696718</v>
      </c>
      <c r="S31" t="n">
        <v>1442645</v>
      </c>
      <c r="T31" t="n">
        <v>992385</v>
      </c>
      <c r="U31" t="n">
        <v>1475707</v>
      </c>
      <c r="V31" t="n">
        <v>1468286</v>
      </c>
      <c r="W31" t="n">
        <v>1545725</v>
      </c>
      <c r="X31" t="n">
        <v>1737382</v>
      </c>
      <c r="Y31" t="n">
        <v>1486158</v>
      </c>
      <c r="Z31" t="n">
        <v>1339737</v>
      </c>
      <c r="AA31" t="n">
        <v>1332494</v>
      </c>
      <c r="AB31" t="n">
        <v>1471219</v>
      </c>
      <c r="AC31" t="n">
        <v>1356974</v>
      </c>
      <c r="AD31" t="n">
        <v>1400761</v>
      </c>
      <c r="AE31" t="n">
        <v>320619</v>
      </c>
      <c r="AF31" t="n">
        <v>97062</v>
      </c>
    </row>
    <row r="32">
      <c r="A32" t="s">
        <v>168</v>
      </c>
      <c r="B32" t="s">
        <v>283</v>
      </c>
      <c r="C32" t="s">
        <v>169</v>
      </c>
      <c r="D32" t="s">
        <v>284</v>
      </c>
      <c r="E32" t="s">
        <v>6</v>
      </c>
      <c r="F32" t="n">
        <v>1805178</v>
      </c>
      <c r="G32" t="n">
        <v>2010671</v>
      </c>
      <c r="H32" t="n">
        <v>1691001</v>
      </c>
      <c r="I32" t="n">
        <v>1316131</v>
      </c>
      <c r="J32" t="n">
        <v>1090537</v>
      </c>
      <c r="K32" t="n">
        <v>909720</v>
      </c>
      <c r="L32" t="n">
        <v>929380</v>
      </c>
      <c r="M32" t="n">
        <v>961559</v>
      </c>
      <c r="N32" t="n">
        <v>1004475</v>
      </c>
      <c r="O32" t="n">
        <v>1271297</v>
      </c>
      <c r="P32" t="n">
        <v>1390719</v>
      </c>
      <c r="Q32" t="n">
        <v>1395722</v>
      </c>
      <c r="R32" t="n">
        <v>1330472</v>
      </c>
      <c r="S32" t="n">
        <v>1391690</v>
      </c>
      <c r="T32" t="n">
        <v>1090005</v>
      </c>
      <c r="U32" t="n">
        <v>1429222</v>
      </c>
      <c r="V32" t="n">
        <v>1341677</v>
      </c>
      <c r="W32" t="n">
        <v>1662742</v>
      </c>
      <c r="X32" t="n">
        <v>1818437</v>
      </c>
      <c r="Y32" t="n">
        <v>1851118</v>
      </c>
      <c r="Z32" t="n">
        <v>2007557</v>
      </c>
      <c r="AA32" t="n">
        <v>1903962</v>
      </c>
      <c r="AB32" t="n">
        <v>2175114</v>
      </c>
      <c r="AC32" t="n">
        <v>2077446</v>
      </c>
      <c r="AD32" t="n">
        <v>2069694</v>
      </c>
      <c r="AE32" t="n">
        <v>1219794</v>
      </c>
      <c r="AF32" t="n">
        <v>1255796</v>
      </c>
    </row>
    <row r="33">
      <c r="A33" t="s">
        <v>170</v>
      </c>
      <c r="B33" t="s">
        <v>283</v>
      </c>
      <c r="C33" t="s">
        <v>171</v>
      </c>
      <c r="D33" t="s">
        <v>284</v>
      </c>
      <c r="E33" t="s">
        <v>6</v>
      </c>
      <c r="F33" t="n">
        <v>1672869</v>
      </c>
      <c r="G33" t="n">
        <v>1723631</v>
      </c>
      <c r="H33" t="n">
        <v>1717692</v>
      </c>
      <c r="I33" t="n">
        <v>1685269</v>
      </c>
      <c r="J33" t="n">
        <v>1627653</v>
      </c>
      <c r="K33" t="n">
        <v>1645808</v>
      </c>
      <c r="L33" t="n">
        <v>1650590</v>
      </c>
      <c r="M33" t="n">
        <v>1614891</v>
      </c>
      <c r="N33" t="n">
        <v>1578312</v>
      </c>
      <c r="O33" t="n">
        <v>1594920</v>
      </c>
      <c r="P33" t="n">
        <v>1573649</v>
      </c>
      <c r="Q33" t="n">
        <v>1611319</v>
      </c>
      <c r="R33" t="n">
        <v>1579471</v>
      </c>
      <c r="S33" t="n">
        <v>1451204</v>
      </c>
      <c r="T33" t="n">
        <v>1416250</v>
      </c>
      <c r="U33" t="n">
        <v>1363273</v>
      </c>
      <c r="V33" t="n">
        <v>1394353</v>
      </c>
      <c r="W33" t="n">
        <v>1344250</v>
      </c>
      <c r="X33" t="n">
        <v>1346695</v>
      </c>
      <c r="Y33" t="n">
        <v>1316059</v>
      </c>
      <c r="Z33" t="n">
        <v>1327817</v>
      </c>
      <c r="AA33" t="n">
        <v>1351982</v>
      </c>
      <c r="AB33" t="n">
        <v>1380220</v>
      </c>
      <c r="AC33" t="n">
        <v>1454018</v>
      </c>
      <c r="AD33" t="n">
        <v>1501837</v>
      </c>
      <c r="AE33" t="n">
        <v>1495905</v>
      </c>
      <c r="AF33" t="n">
        <v>1505214</v>
      </c>
    </row>
    <row r="34">
      <c r="A34" t="s">
        <v>172</v>
      </c>
      <c r="B34" t="s">
        <v>283</v>
      </c>
      <c r="C34" t="s">
        <v>173</v>
      </c>
      <c r="D34" t="s">
        <v>284</v>
      </c>
      <c r="E34" t="s">
        <v>6</v>
      </c>
      <c r="F34" t="n">
        <v>15753007</v>
      </c>
      <c r="G34" t="n">
        <v>16335733</v>
      </c>
      <c r="H34" t="n">
        <v>16503958</v>
      </c>
      <c r="I34" t="n">
        <v>17100252</v>
      </c>
      <c r="J34" t="n">
        <v>16910586</v>
      </c>
      <c r="K34" t="n">
        <v>16532662</v>
      </c>
      <c r="L34" t="n">
        <v>16573259</v>
      </c>
      <c r="M34" t="n">
        <v>16036281</v>
      </c>
      <c r="N34" t="n">
        <v>15565732</v>
      </c>
      <c r="O34" t="n">
        <v>15079062</v>
      </c>
      <c r="P34" t="n">
        <v>14399528</v>
      </c>
      <c r="Q34" t="n">
        <v>14382458</v>
      </c>
      <c r="R34" t="n">
        <v>14618359</v>
      </c>
      <c r="S34" t="n">
        <v>13780110</v>
      </c>
      <c r="T34" t="n">
        <v>12718555</v>
      </c>
      <c r="U34" t="n">
        <v>13186889</v>
      </c>
      <c r="V34" t="n">
        <v>12740632</v>
      </c>
      <c r="W34" t="n">
        <v>12021026</v>
      </c>
      <c r="X34" t="n">
        <v>12853657</v>
      </c>
      <c r="Y34" t="n">
        <v>12685486</v>
      </c>
      <c r="Z34" t="n">
        <v>12095047</v>
      </c>
      <c r="AA34" t="n">
        <v>13231373</v>
      </c>
      <c r="AB34" t="n">
        <v>14311007</v>
      </c>
      <c r="AC34" t="n">
        <v>14242378</v>
      </c>
      <c r="AD34" t="n">
        <v>13419030</v>
      </c>
      <c r="AE34" t="n">
        <v>8896537</v>
      </c>
      <c r="AF34" t="n">
        <v>7956002</v>
      </c>
    </row>
    <row r="35">
      <c r="A35" t="s">
        <v>174</v>
      </c>
      <c r="B35" t="s">
        <v>283</v>
      </c>
      <c r="C35" t="s">
        <v>175</v>
      </c>
      <c r="D35" t="s">
        <v>284</v>
      </c>
      <c r="E35" t="s">
        <v>6</v>
      </c>
      <c r="F35" t="n">
        <v>17708241</v>
      </c>
      <c r="G35" t="n">
        <v>20451622</v>
      </c>
      <c r="H35" t="n">
        <v>22449249</v>
      </c>
      <c r="I35" t="n">
        <v>24257470</v>
      </c>
      <c r="J35" t="n">
        <v>24530743</v>
      </c>
      <c r="K35" t="n">
        <v>26060535</v>
      </c>
      <c r="L35" t="n">
        <v>27266916</v>
      </c>
      <c r="M35" t="n">
        <v>27207812</v>
      </c>
      <c r="N35" t="n">
        <v>27310296</v>
      </c>
      <c r="O35" t="n">
        <v>26552800</v>
      </c>
      <c r="P35" t="n">
        <v>27245743</v>
      </c>
      <c r="Q35" t="n">
        <v>27443961</v>
      </c>
      <c r="R35" t="n">
        <v>27315647</v>
      </c>
      <c r="S35" t="n">
        <v>27284028</v>
      </c>
      <c r="T35" t="n">
        <v>26223417</v>
      </c>
      <c r="U35" t="n">
        <v>25675413</v>
      </c>
      <c r="V35" t="n">
        <v>25137218</v>
      </c>
      <c r="W35" t="n">
        <v>25011797</v>
      </c>
      <c r="X35" t="n">
        <v>25759001</v>
      </c>
      <c r="Y35" t="n">
        <v>25404678</v>
      </c>
      <c r="Z35" t="n">
        <v>26620240</v>
      </c>
      <c r="AA35" t="n">
        <v>26854765</v>
      </c>
      <c r="AB35" t="n">
        <v>27198486</v>
      </c>
      <c r="AC35" t="n">
        <v>27414232</v>
      </c>
      <c r="AD35" t="n">
        <v>27452679</v>
      </c>
      <c r="AE35" t="n">
        <v>27355566</v>
      </c>
      <c r="AF35" t="n">
        <v>28248402</v>
      </c>
    </row>
    <row r="36">
      <c r="A36" t="s">
        <v>176</v>
      </c>
      <c r="B36" t="s">
        <v>283</v>
      </c>
      <c r="C36" t="s">
        <v>177</v>
      </c>
      <c r="D36" t="s">
        <v>284</v>
      </c>
      <c r="E36" t="s">
        <v>6</v>
      </c>
      <c r="F36" t="n">
        <v>4910562</v>
      </c>
      <c r="G36" t="n">
        <v>5160419</v>
      </c>
      <c r="H36" t="n">
        <v>5134609</v>
      </c>
      <c r="I36" t="n">
        <v>5257904</v>
      </c>
      <c r="J36" t="n">
        <v>5221709</v>
      </c>
      <c r="K36" t="n">
        <v>5447257</v>
      </c>
      <c r="L36" t="n">
        <v>5384168</v>
      </c>
      <c r="M36" t="n">
        <v>5430856</v>
      </c>
      <c r="N36" t="n">
        <v>5390783</v>
      </c>
      <c r="O36" t="n">
        <v>5317918</v>
      </c>
      <c r="P36" t="n">
        <v>5707079</v>
      </c>
      <c r="Q36" t="n">
        <v>5570413</v>
      </c>
      <c r="R36" t="n">
        <v>5448573</v>
      </c>
      <c r="S36" t="n">
        <v>5099211</v>
      </c>
      <c r="T36" t="n">
        <v>4795527</v>
      </c>
      <c r="U36" t="n">
        <v>4610977</v>
      </c>
      <c r="V36" t="n">
        <v>4367413</v>
      </c>
      <c r="W36" t="n">
        <v>4270455</v>
      </c>
      <c r="X36" t="n">
        <v>4526425</v>
      </c>
      <c r="Y36" t="n">
        <v>4605069</v>
      </c>
      <c r="Z36" t="n">
        <v>5124167</v>
      </c>
      <c r="AA36" t="n">
        <v>4969738</v>
      </c>
      <c r="AB36" t="n">
        <v>4934801</v>
      </c>
      <c r="AC36" t="n">
        <v>4933357</v>
      </c>
      <c r="AD36" t="n">
        <v>4885667</v>
      </c>
      <c r="AE36" t="n">
        <v>4776216</v>
      </c>
      <c r="AF36" t="n">
        <v>4528212</v>
      </c>
    </row>
    <row r="37">
      <c r="A37" t="s">
        <v>178</v>
      </c>
      <c r="B37" t="s">
        <v>283</v>
      </c>
      <c r="C37" t="s">
        <v>179</v>
      </c>
      <c r="D37" t="s">
        <v>284</v>
      </c>
      <c r="E37" t="s">
        <v>6</v>
      </c>
      <c r="F37" t="n">
        <v>7737679</v>
      </c>
      <c r="G37" t="n">
        <v>9495214</v>
      </c>
      <c r="H37" t="n">
        <v>10967812</v>
      </c>
      <c r="I37" t="n">
        <v>11042660</v>
      </c>
      <c r="J37" t="n">
        <v>10529006</v>
      </c>
      <c r="K37" t="n">
        <v>10923533</v>
      </c>
      <c r="L37" t="n">
        <v>11034336</v>
      </c>
      <c r="M37" t="n">
        <v>10364307</v>
      </c>
      <c r="N37" t="n">
        <v>10142826</v>
      </c>
      <c r="O37" t="n">
        <v>9636502</v>
      </c>
      <c r="P37" t="n">
        <v>9409145</v>
      </c>
      <c r="Q37" t="n">
        <v>9417589</v>
      </c>
      <c r="R37" t="n">
        <v>9177349</v>
      </c>
      <c r="S37" t="n">
        <v>9381899</v>
      </c>
      <c r="T37" t="n">
        <v>9247485</v>
      </c>
      <c r="U37" t="n">
        <v>9652612</v>
      </c>
      <c r="V37" t="n">
        <v>9514229</v>
      </c>
      <c r="W37" t="n">
        <v>9449232</v>
      </c>
      <c r="X37" t="n">
        <v>9770593</v>
      </c>
      <c r="Y37" t="n">
        <v>9657062</v>
      </c>
      <c r="Z37" t="n">
        <v>9939954</v>
      </c>
      <c r="AA37" t="n">
        <v>10334912</v>
      </c>
      <c r="AB37" t="n">
        <v>10292084</v>
      </c>
      <c r="AC37" t="n">
        <v>10264367</v>
      </c>
      <c r="AD37" t="n">
        <v>9899753</v>
      </c>
      <c r="AE37" t="n">
        <v>10363438</v>
      </c>
      <c r="AF37" t="n">
        <v>10390582</v>
      </c>
    </row>
    <row r="38">
      <c r="A38" t="s">
        <v>180</v>
      </c>
      <c r="B38" t="s">
        <v>283</v>
      </c>
      <c r="C38" t="s">
        <v>181</v>
      </c>
      <c r="D38" t="s">
        <v>284</v>
      </c>
      <c r="E38" t="s">
        <v>6</v>
      </c>
      <c r="F38" t="n">
        <v>5060000</v>
      </c>
      <c r="G38" t="n">
        <v>5795989</v>
      </c>
      <c r="H38" t="n">
        <v>6346828</v>
      </c>
      <c r="I38" t="n">
        <v>7956906</v>
      </c>
      <c r="J38" t="n">
        <v>8780028</v>
      </c>
      <c r="K38" t="n">
        <v>9689745</v>
      </c>
      <c r="L38" t="n">
        <v>10848412</v>
      </c>
      <c r="M38" t="n">
        <v>11412649</v>
      </c>
      <c r="N38" t="n">
        <v>11776687</v>
      </c>
      <c r="O38" t="n">
        <v>11598380</v>
      </c>
      <c r="P38" t="n">
        <v>12129519</v>
      </c>
      <c r="Q38" t="n">
        <v>12455959</v>
      </c>
      <c r="R38" t="n">
        <v>12689725</v>
      </c>
      <c r="S38" t="n">
        <v>12802918</v>
      </c>
      <c r="T38" t="n">
        <v>12180405</v>
      </c>
      <c r="U38" t="n">
        <v>11411824</v>
      </c>
      <c r="V38" t="n">
        <v>11255576</v>
      </c>
      <c r="W38" t="n">
        <v>11292110</v>
      </c>
      <c r="X38" t="n">
        <v>11461983</v>
      </c>
      <c r="Y38" t="n">
        <v>11142547</v>
      </c>
      <c r="Z38" t="n">
        <v>11556119</v>
      </c>
      <c r="AA38" t="n">
        <v>11550115</v>
      </c>
      <c r="AB38" t="n">
        <v>11971601</v>
      </c>
      <c r="AC38" t="n">
        <v>12216508</v>
      </c>
      <c r="AD38" t="n">
        <v>12667259</v>
      </c>
      <c r="AE38" t="n">
        <v>12215912</v>
      </c>
      <c r="AF38" t="n">
        <v>13329608</v>
      </c>
    </row>
    <row r="39">
      <c r="A39" t="s">
        <v>182</v>
      </c>
      <c r="B39" t="s">
        <v>283</v>
      </c>
      <c r="C39" t="s">
        <v>183</v>
      </c>
      <c r="D39" t="s">
        <v>284</v>
      </c>
      <c r="E39" t="s">
        <v>6</v>
      </c>
      <c r="F39" t="n">
        <v>25900987</v>
      </c>
      <c r="G39" t="n">
        <v>26979962</v>
      </c>
      <c r="H39" t="n">
        <v>28701862</v>
      </c>
      <c r="I39" t="n">
        <v>27186333</v>
      </c>
      <c r="J39" t="n">
        <v>26544649</v>
      </c>
      <c r="K39" t="n">
        <v>26555359</v>
      </c>
      <c r="L39" t="n">
        <v>26158169</v>
      </c>
      <c r="M39" t="n">
        <v>29043812</v>
      </c>
      <c r="N39" t="n">
        <v>31708956</v>
      </c>
      <c r="O39" t="n">
        <v>32319557</v>
      </c>
      <c r="P39" t="n">
        <v>32895579</v>
      </c>
      <c r="Q39" t="n">
        <v>32293188</v>
      </c>
      <c r="R39" t="n">
        <v>32631961</v>
      </c>
      <c r="S39" t="n">
        <v>26885031</v>
      </c>
      <c r="T39" t="n">
        <v>26227077</v>
      </c>
      <c r="U39" t="n">
        <v>24848795</v>
      </c>
      <c r="V39" t="n">
        <v>24114407</v>
      </c>
      <c r="W39" t="n">
        <v>23804571</v>
      </c>
      <c r="X39" t="n">
        <v>24385859</v>
      </c>
      <c r="Y39" t="n">
        <v>23148549</v>
      </c>
      <c r="Z39" t="n">
        <v>23533574</v>
      </c>
      <c r="AA39" t="n">
        <v>22590765</v>
      </c>
      <c r="AB39" t="n">
        <v>22706552</v>
      </c>
      <c r="AC39" t="n">
        <v>22411461</v>
      </c>
      <c r="AD39" t="n">
        <v>22416932</v>
      </c>
      <c r="AE39" t="n">
        <v>23684547</v>
      </c>
      <c r="AF39" t="n">
        <v>24488126</v>
      </c>
    </row>
    <row r="40">
      <c r="A40" t="s">
        <v>184</v>
      </c>
      <c r="B40" t="s">
        <v>283</v>
      </c>
      <c r="C40" t="s">
        <v>185</v>
      </c>
      <c r="D40" t="s">
        <v>284</v>
      </c>
      <c r="E40" t="s">
        <v>6</v>
      </c>
      <c r="F40" t="n">
        <v>53104817</v>
      </c>
      <c r="G40" t="n">
        <v>54335332</v>
      </c>
      <c r="H40" t="n">
        <v>54983020</v>
      </c>
      <c r="I40" t="n">
        <v>55473824</v>
      </c>
      <c r="J40" t="n">
        <v>56713108</v>
      </c>
      <c r="K40" t="n">
        <v>58202361</v>
      </c>
      <c r="L40" t="n">
        <v>58588637</v>
      </c>
      <c r="M40" t="n">
        <v>58058996</v>
      </c>
      <c r="N40" t="n">
        <v>57794166</v>
      </c>
      <c r="O40" t="n">
        <v>57978207</v>
      </c>
      <c r="P40" t="n">
        <v>58825286</v>
      </c>
      <c r="Q40" t="n">
        <v>60027933</v>
      </c>
      <c r="R40" t="n">
        <v>60464796</v>
      </c>
      <c r="S40" t="n">
        <v>61340314</v>
      </c>
      <c r="T40" t="n">
        <v>61964652</v>
      </c>
      <c r="U40" t="n">
        <v>63016982</v>
      </c>
      <c r="V40" t="n">
        <v>63059677</v>
      </c>
      <c r="W40" t="n">
        <v>62861492</v>
      </c>
      <c r="X40" t="n">
        <v>63630289</v>
      </c>
      <c r="Y40" t="n">
        <v>64156957</v>
      </c>
      <c r="Z40" t="n">
        <v>64549223</v>
      </c>
      <c r="AA40" t="n">
        <v>64793666</v>
      </c>
      <c r="AB40" t="n">
        <v>65353014</v>
      </c>
      <c r="AC40" t="n">
        <v>65551090</v>
      </c>
      <c r="AD40" t="n">
        <v>65897947</v>
      </c>
      <c r="AE40" t="n">
        <v>65313476</v>
      </c>
      <c r="AF40" t="n">
        <v>65202372</v>
      </c>
    </row>
    <row r="41">
      <c r="A41" t="s">
        <v>186</v>
      </c>
      <c r="B41" t="s">
        <v>283</v>
      </c>
      <c r="C41" t="s">
        <v>187</v>
      </c>
      <c r="D41" t="s">
        <v>284</v>
      </c>
      <c r="E41" t="s">
        <v>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283</v>
      </c>
      <c r="C42" t="s">
        <v>189</v>
      </c>
      <c r="D42" t="s">
        <v>284</v>
      </c>
      <c r="E42" t="s">
        <v>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283</v>
      </c>
      <c r="C43" t="s">
        <v>191</v>
      </c>
      <c r="D43" t="s">
        <v>284</v>
      </c>
      <c r="E43" t="s">
        <v>6</v>
      </c>
      <c r="F43" t="n">
        <v>23285425</v>
      </c>
      <c r="G43" t="n">
        <v>24903476</v>
      </c>
      <c r="H43" t="n">
        <v>25475053</v>
      </c>
      <c r="I43" t="n">
        <v>26606362</v>
      </c>
      <c r="J43" t="n">
        <v>26596128</v>
      </c>
      <c r="K43" t="n">
        <v>29397645</v>
      </c>
      <c r="L43" t="n">
        <v>30548980</v>
      </c>
      <c r="M43" t="n">
        <v>30548079</v>
      </c>
      <c r="N43" t="n">
        <v>31123904</v>
      </c>
      <c r="O43" t="n">
        <v>31791723</v>
      </c>
      <c r="P43" t="n">
        <v>33465592</v>
      </c>
      <c r="Q43" t="n">
        <v>34971832</v>
      </c>
      <c r="R43" t="n">
        <v>37432824</v>
      </c>
      <c r="S43" t="n">
        <v>39299846</v>
      </c>
      <c r="T43" t="n">
        <v>37200972</v>
      </c>
      <c r="U43" t="n">
        <v>36695043</v>
      </c>
      <c r="V43" t="n">
        <v>37418390</v>
      </c>
      <c r="W43" t="n">
        <v>37416158</v>
      </c>
      <c r="X43" t="n">
        <v>38431374</v>
      </c>
      <c r="Y43" t="n">
        <v>38775367</v>
      </c>
      <c r="Z43" t="n">
        <v>41063251</v>
      </c>
      <c r="AA43" t="n">
        <v>43479698</v>
      </c>
      <c r="AB43" t="n">
        <v>43090438</v>
      </c>
      <c r="AC43" t="n">
        <v>44026458</v>
      </c>
      <c r="AD43" t="n">
        <v>45304219</v>
      </c>
      <c r="AE43" t="n">
        <v>45527489</v>
      </c>
      <c r="AF43" t="n">
        <v>47164370</v>
      </c>
    </row>
    <row r="44">
      <c r="A44" t="s">
        <v>192</v>
      </c>
      <c r="B44" t="s">
        <v>283</v>
      </c>
      <c r="C44" t="s">
        <v>193</v>
      </c>
      <c r="D44" t="s">
        <v>284</v>
      </c>
      <c r="E44" t="s">
        <v>6</v>
      </c>
      <c r="F44" t="n">
        <v>398927651</v>
      </c>
      <c r="G44" t="n">
        <v>408703883</v>
      </c>
      <c r="H44" t="n">
        <v>410704698</v>
      </c>
      <c r="I44" t="n">
        <v>405531294</v>
      </c>
      <c r="J44" t="n">
        <v>403580428</v>
      </c>
      <c r="K44" t="n">
        <v>408333391</v>
      </c>
      <c r="L44" t="n">
        <v>398199611</v>
      </c>
      <c r="M44" t="n">
        <v>394617774</v>
      </c>
      <c r="N44" t="n">
        <v>395518714</v>
      </c>
      <c r="O44" t="n">
        <v>399398849</v>
      </c>
      <c r="P44" t="n">
        <v>404953447</v>
      </c>
      <c r="Q44" t="n">
        <v>402861396</v>
      </c>
      <c r="R44" t="n">
        <v>403484579</v>
      </c>
      <c r="S44" t="n">
        <v>392347451</v>
      </c>
      <c r="T44" t="n">
        <v>350624428</v>
      </c>
      <c r="U44" t="n">
        <v>370156194</v>
      </c>
      <c r="V44" t="n">
        <v>359032499</v>
      </c>
      <c r="W44" t="n">
        <v>354039714</v>
      </c>
      <c r="X44" t="n">
        <v>359998741</v>
      </c>
      <c r="Y44" t="n">
        <v>359109010</v>
      </c>
      <c r="Z44" t="n">
        <v>371530251</v>
      </c>
      <c r="AA44" t="n">
        <v>384221011</v>
      </c>
      <c r="AB44" t="n">
        <v>398272731</v>
      </c>
      <c r="AC44" t="n">
        <v>397129198</v>
      </c>
      <c r="AD44" t="n">
        <v>391590870</v>
      </c>
      <c r="AE44" t="n">
        <v>369609747</v>
      </c>
      <c r="AF44" t="n">
        <v>392361623</v>
      </c>
    </row>
    <row r="45">
      <c r="A45" t="s">
        <v>194</v>
      </c>
      <c r="B45" t="s">
        <v>283</v>
      </c>
      <c r="C45" t="s">
        <v>195</v>
      </c>
      <c r="D45" t="s">
        <v>284</v>
      </c>
      <c r="E45" t="s">
        <v>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283</v>
      </c>
      <c r="C46" t="s">
        <v>197</v>
      </c>
      <c r="D46" t="s">
        <v>284</v>
      </c>
      <c r="E46" t="s">
        <v>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283</v>
      </c>
      <c r="C47" t="s">
        <v>199</v>
      </c>
      <c r="D47" t="s">
        <v>284</v>
      </c>
      <c r="E47" t="s">
        <v>6</v>
      </c>
      <c r="F47" t="n">
        <v>24560438</v>
      </c>
      <c r="G47" t="n">
        <v>25318686</v>
      </c>
      <c r="H47" t="n">
        <v>26083235</v>
      </c>
      <c r="I47" t="n">
        <v>26663436</v>
      </c>
      <c r="J47" t="n">
        <v>26955580</v>
      </c>
      <c r="K47" t="n">
        <v>27364882</v>
      </c>
      <c r="L47" t="n">
        <v>26909382</v>
      </c>
      <c r="M47" t="n">
        <v>27174099</v>
      </c>
      <c r="N47" t="n">
        <v>27766032</v>
      </c>
      <c r="O47" t="n">
        <v>27144551</v>
      </c>
      <c r="P47" t="n">
        <v>26861366</v>
      </c>
      <c r="Q47" t="n">
        <v>27103057</v>
      </c>
      <c r="R47" t="n">
        <v>27453009</v>
      </c>
      <c r="S47" t="n">
        <v>27471615</v>
      </c>
      <c r="T47" t="n">
        <v>27063502</v>
      </c>
      <c r="U47" t="n">
        <v>26441452</v>
      </c>
      <c r="V47" t="n">
        <v>26583490</v>
      </c>
      <c r="W47" t="n">
        <v>26383225</v>
      </c>
      <c r="X47" t="n">
        <v>26014476</v>
      </c>
      <c r="Y47" t="n">
        <v>25774649</v>
      </c>
      <c r="Z47" t="n">
        <v>26270238</v>
      </c>
      <c r="AA47" t="n">
        <v>26704564</v>
      </c>
      <c r="AB47" t="n">
        <v>27408140</v>
      </c>
      <c r="AC47" t="n">
        <v>27682892</v>
      </c>
      <c r="AD47" t="n">
        <v>28062326</v>
      </c>
      <c r="AE47" t="n">
        <v>28564186</v>
      </c>
      <c r="AF47" t="n">
        <v>28468697</v>
      </c>
    </row>
    <row r="48">
      <c r="A48" t="s">
        <v>200</v>
      </c>
      <c r="B48" t="s">
        <v>283</v>
      </c>
      <c r="C48" t="s">
        <v>201</v>
      </c>
      <c r="D48" t="s">
        <v>284</v>
      </c>
      <c r="E48" t="s">
        <v>6</v>
      </c>
      <c r="F48" t="n">
        <v>65051175</v>
      </c>
      <c r="G48" t="n">
        <v>67337767</v>
      </c>
      <c r="H48" t="n">
        <v>69745130</v>
      </c>
      <c r="I48" t="n">
        <v>71621143</v>
      </c>
      <c r="J48" t="n">
        <v>73347890</v>
      </c>
      <c r="K48" t="n">
        <v>72748467</v>
      </c>
      <c r="L48" t="n">
        <v>75182938</v>
      </c>
      <c r="M48" t="n">
        <v>76100314</v>
      </c>
      <c r="N48" t="n">
        <v>77339067</v>
      </c>
      <c r="O48" t="n">
        <v>76834985</v>
      </c>
      <c r="P48" t="n">
        <v>77092727</v>
      </c>
      <c r="Q48" t="n">
        <v>77964820</v>
      </c>
      <c r="R48" t="n">
        <v>78901048</v>
      </c>
      <c r="S48" t="n">
        <v>78753465</v>
      </c>
      <c r="T48" t="n">
        <v>79009648</v>
      </c>
      <c r="U48" t="n">
        <v>79257408</v>
      </c>
      <c r="V48" t="n">
        <v>80418051</v>
      </c>
      <c r="W48" t="n">
        <v>81952873</v>
      </c>
      <c r="X48" t="n">
        <v>82654796</v>
      </c>
      <c r="Y48" t="n">
        <v>82449118</v>
      </c>
      <c r="Z48" t="n">
        <v>85376768</v>
      </c>
      <c r="AA48" t="n">
        <v>87636842</v>
      </c>
      <c r="AB48" t="n">
        <v>88679096</v>
      </c>
      <c r="AC48" t="n">
        <v>90148107</v>
      </c>
      <c r="AD48" t="n">
        <v>91473495</v>
      </c>
      <c r="AE48" t="n">
        <v>92200963</v>
      </c>
      <c r="AF48" t="n">
        <v>94101402</v>
      </c>
    </row>
    <row r="49">
      <c r="A49" t="s">
        <v>202</v>
      </c>
      <c r="B49" t="s">
        <v>283</v>
      </c>
      <c r="C49" t="s">
        <v>203</v>
      </c>
      <c r="D49" t="s">
        <v>284</v>
      </c>
      <c r="E49" t="s">
        <v>6</v>
      </c>
      <c r="F49" t="n">
        <v>18960869</v>
      </c>
      <c r="G49" t="n">
        <v>19322657</v>
      </c>
      <c r="H49" t="n">
        <v>19636060</v>
      </c>
      <c r="I49" t="n">
        <v>19962031</v>
      </c>
      <c r="J49" t="n">
        <v>20246360</v>
      </c>
      <c r="K49" t="n">
        <v>20067460</v>
      </c>
      <c r="L49" t="n">
        <v>19949808</v>
      </c>
      <c r="M49" t="n">
        <v>20152146</v>
      </c>
      <c r="N49" t="n">
        <v>20208986</v>
      </c>
      <c r="O49" t="n">
        <v>19736221</v>
      </c>
      <c r="P49" t="n">
        <v>19675245</v>
      </c>
      <c r="Q49" t="n">
        <v>19760154</v>
      </c>
      <c r="R49" t="n">
        <v>19865354</v>
      </c>
      <c r="S49" t="n">
        <v>19843885</v>
      </c>
      <c r="T49" t="n">
        <v>19856954</v>
      </c>
      <c r="U49" t="n">
        <v>19347574</v>
      </c>
      <c r="V49" t="n">
        <v>19604156</v>
      </c>
      <c r="W49" t="n">
        <v>19466657</v>
      </c>
      <c r="X49" t="n">
        <v>19073171</v>
      </c>
      <c r="Y49" t="n">
        <v>18818537</v>
      </c>
      <c r="Z49" t="n">
        <v>19054987</v>
      </c>
      <c r="AA49" t="n">
        <v>19288351</v>
      </c>
      <c r="AB49" t="n">
        <v>19482939</v>
      </c>
      <c r="AC49" t="n">
        <v>19529771</v>
      </c>
      <c r="AD49" t="n">
        <v>19741415</v>
      </c>
      <c r="AE49" t="n">
        <v>19734693</v>
      </c>
      <c r="AF49" t="n">
        <v>19647319</v>
      </c>
    </row>
    <row r="50">
      <c r="A50" t="s">
        <v>204</v>
      </c>
      <c r="B50" t="s">
        <v>283</v>
      </c>
      <c r="C50" t="s">
        <v>205</v>
      </c>
      <c r="D50" t="s">
        <v>284</v>
      </c>
      <c r="E50" t="s">
        <v>6</v>
      </c>
      <c r="F50" t="n">
        <v>21529868</v>
      </c>
      <c r="G50" t="n">
        <v>22696424</v>
      </c>
      <c r="H50" t="n">
        <v>24025835</v>
      </c>
      <c r="I50" t="n">
        <v>24995676</v>
      </c>
      <c r="J50" t="n">
        <v>26145950</v>
      </c>
      <c r="K50" t="n">
        <v>25316125</v>
      </c>
      <c r="L50" t="n">
        <v>28323748</v>
      </c>
      <c r="M50" t="n">
        <v>28774069</v>
      </c>
      <c r="N50" t="n">
        <v>29364049</v>
      </c>
      <c r="O50" t="n">
        <v>29954213</v>
      </c>
      <c r="P50" t="n">
        <v>30556116</v>
      </c>
      <c r="Q50" t="n">
        <v>31101609</v>
      </c>
      <c r="R50" t="n">
        <v>31582685</v>
      </c>
      <c r="S50" t="n">
        <v>31437965</v>
      </c>
      <c r="T50" t="n">
        <v>32089192</v>
      </c>
      <c r="U50" t="n">
        <v>33468382</v>
      </c>
      <c r="V50" t="n">
        <v>34230405</v>
      </c>
      <c r="W50" t="n">
        <v>36102991</v>
      </c>
      <c r="X50" t="n">
        <v>37567149</v>
      </c>
      <c r="Y50" t="n">
        <v>37855932</v>
      </c>
      <c r="Z50" t="n">
        <v>40051543</v>
      </c>
      <c r="AA50" t="n">
        <v>41643927</v>
      </c>
      <c r="AB50" t="n">
        <v>41788017</v>
      </c>
      <c r="AC50" t="n">
        <v>42935444</v>
      </c>
      <c r="AD50" t="n">
        <v>43669754</v>
      </c>
      <c r="AE50" t="n">
        <v>43902084</v>
      </c>
      <c r="AF50" t="n">
        <v>45985386</v>
      </c>
    </row>
    <row r="51">
      <c r="A51" t="s">
        <v>206</v>
      </c>
      <c r="B51" t="s">
        <v>283</v>
      </c>
      <c r="C51" t="s">
        <v>207</v>
      </c>
      <c r="D51" t="s">
        <v>284</v>
      </c>
      <c r="E51" t="s">
        <v>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283</v>
      </c>
      <c r="C52" t="s">
        <v>209</v>
      </c>
      <c r="D52" t="s">
        <v>284</v>
      </c>
      <c r="E52" t="s">
        <v>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283</v>
      </c>
      <c r="C53" t="s">
        <v>211</v>
      </c>
      <c r="D53" t="s">
        <v>284</v>
      </c>
      <c r="E53" t="s">
        <v>6</v>
      </c>
      <c r="F53" t="n">
        <v>8539901</v>
      </c>
      <c r="G53" t="n">
        <v>8426517</v>
      </c>
      <c r="H53" t="n">
        <v>8010932</v>
      </c>
      <c r="I53" t="n">
        <v>7870104</v>
      </c>
      <c r="J53" t="n">
        <v>7559525</v>
      </c>
      <c r="K53" t="n">
        <v>7843699</v>
      </c>
      <c r="L53" t="n">
        <v>7266999</v>
      </c>
      <c r="M53" t="n">
        <v>7440901</v>
      </c>
      <c r="N53" t="n">
        <v>7179467</v>
      </c>
      <c r="O53" t="n">
        <v>7028683</v>
      </c>
      <c r="P53" t="n">
        <v>7211373</v>
      </c>
      <c r="Q53" t="n">
        <v>7264204</v>
      </c>
      <c r="R53" t="n">
        <v>6967075</v>
      </c>
      <c r="S53" t="n">
        <v>6859198</v>
      </c>
      <c r="T53" t="n">
        <v>6710162</v>
      </c>
      <c r="U53" t="n">
        <v>6601596</v>
      </c>
      <c r="V53" t="n">
        <v>6474212</v>
      </c>
      <c r="W53" t="n">
        <v>6841301</v>
      </c>
      <c r="X53" t="n">
        <v>7055672</v>
      </c>
      <c r="Y53" t="n">
        <v>6932067</v>
      </c>
      <c r="Z53" t="n">
        <v>6841369</v>
      </c>
      <c r="AA53" t="n">
        <v>6498359</v>
      </c>
      <c r="AB53" t="n">
        <v>6544048</v>
      </c>
      <c r="AC53" t="n">
        <v>6502627</v>
      </c>
      <c r="AD53" t="n">
        <v>6283381</v>
      </c>
      <c r="AE53" t="n">
        <v>4990661</v>
      </c>
      <c r="AF53" t="n">
        <v>5325852</v>
      </c>
    </row>
    <row r="54">
      <c r="A54" t="s">
        <v>212</v>
      </c>
      <c r="B54" t="s">
        <v>283</v>
      </c>
      <c r="C54" t="s">
        <v>213</v>
      </c>
      <c r="D54" t="s">
        <v>284</v>
      </c>
      <c r="E54" t="s">
        <v>6</v>
      </c>
      <c r="F54" t="n">
        <v>18851314</v>
      </c>
      <c r="G54" t="n">
        <v>19150773</v>
      </c>
      <c r="H54" t="n">
        <v>19003725</v>
      </c>
      <c r="I54" t="n">
        <v>19423677</v>
      </c>
      <c r="J54" t="n">
        <v>19321862</v>
      </c>
      <c r="K54" t="n">
        <v>20350478</v>
      </c>
      <c r="L54" t="n">
        <v>19689270</v>
      </c>
      <c r="M54" t="n">
        <v>20163299</v>
      </c>
      <c r="N54" t="n">
        <v>20180792</v>
      </c>
      <c r="O54" t="n">
        <v>19946234</v>
      </c>
      <c r="P54" t="n">
        <v>20382049</v>
      </c>
      <c r="Q54" t="n">
        <v>20527486</v>
      </c>
      <c r="R54" t="n">
        <v>20489786</v>
      </c>
      <c r="S54" t="n">
        <v>19985096</v>
      </c>
      <c r="T54" t="n">
        <v>19105601</v>
      </c>
      <c r="U54" t="n">
        <v>18866289</v>
      </c>
      <c r="V54" t="n">
        <v>18807756</v>
      </c>
      <c r="W54" t="n">
        <v>18529971</v>
      </c>
      <c r="X54" t="n">
        <v>18203897</v>
      </c>
      <c r="Y54" t="n">
        <v>17709753</v>
      </c>
      <c r="Z54" t="n">
        <v>17507536</v>
      </c>
      <c r="AA54" t="n">
        <v>17045988</v>
      </c>
      <c r="AB54" t="n">
        <v>17399723</v>
      </c>
      <c r="AC54" t="n">
        <v>17205082</v>
      </c>
      <c r="AD54" t="n">
        <v>17266573</v>
      </c>
      <c r="AE54" t="n">
        <v>14708418</v>
      </c>
      <c r="AF54" t="n">
        <v>15205906</v>
      </c>
    </row>
    <row r="55">
      <c r="A55" t="s">
        <v>214</v>
      </c>
      <c r="B55" t="s">
        <v>283</v>
      </c>
      <c r="C55" t="s">
        <v>215</v>
      </c>
      <c r="D55" t="s">
        <v>284</v>
      </c>
      <c r="E55" t="s">
        <v>6</v>
      </c>
      <c r="F55" t="n">
        <v>10311413</v>
      </c>
      <c r="G55" t="n">
        <v>10724256</v>
      </c>
      <c r="H55" t="n">
        <v>10992793</v>
      </c>
      <c r="I55" t="n">
        <v>11553573</v>
      </c>
      <c r="J55" t="n">
        <v>11762337</v>
      </c>
      <c r="K55" t="n">
        <v>12506779</v>
      </c>
      <c r="L55" t="n">
        <v>12422271</v>
      </c>
      <c r="M55" t="n">
        <v>12722398</v>
      </c>
      <c r="N55" t="n">
        <v>13001325</v>
      </c>
      <c r="O55" t="n">
        <v>12917551</v>
      </c>
      <c r="P55" t="n">
        <v>13170676</v>
      </c>
      <c r="Q55" t="n">
        <v>13263282</v>
      </c>
      <c r="R55" t="n">
        <v>13522711</v>
      </c>
      <c r="S55" t="n">
        <v>13125898</v>
      </c>
      <c r="T55" t="n">
        <v>12395439</v>
      </c>
      <c r="U55" t="n">
        <v>12264693</v>
      </c>
      <c r="V55" t="n">
        <v>12333544</v>
      </c>
      <c r="W55" t="n">
        <v>11688670</v>
      </c>
      <c r="X55" t="n">
        <v>11148225</v>
      </c>
      <c r="Y55" t="n">
        <v>10777686</v>
      </c>
      <c r="Z55" t="n">
        <v>10666167</v>
      </c>
      <c r="AA55" t="n">
        <v>10547629</v>
      </c>
      <c r="AB55" t="n">
        <v>10855675</v>
      </c>
      <c r="AC55" t="n">
        <v>10702455</v>
      </c>
      <c r="AD55" t="n">
        <v>10983192</v>
      </c>
      <c r="AE55" t="n">
        <v>9717757</v>
      </c>
      <c r="AF55" t="n">
        <v>9880054</v>
      </c>
    </row>
    <row r="56">
      <c r="A56" t="s">
        <v>216</v>
      </c>
      <c r="B56" t="s">
        <v>283</v>
      </c>
      <c r="C56" t="s">
        <v>217</v>
      </c>
      <c r="D56" t="s">
        <v>284</v>
      </c>
      <c r="E56" t="s">
        <v>6</v>
      </c>
      <c r="F56" t="n">
        <v>3899101</v>
      </c>
      <c r="G56" t="n">
        <v>3555098</v>
      </c>
      <c r="H56" t="n">
        <v>3245114</v>
      </c>
      <c r="I56" t="n">
        <v>2867907</v>
      </c>
      <c r="J56" t="n">
        <v>2653792</v>
      </c>
      <c r="K56" t="n">
        <v>2258980</v>
      </c>
      <c r="L56" t="n">
        <v>2017479</v>
      </c>
      <c r="M56" t="n">
        <v>1921302</v>
      </c>
      <c r="N56" t="n">
        <v>1827538</v>
      </c>
      <c r="O56" t="n">
        <v>1784183</v>
      </c>
      <c r="P56" t="n">
        <v>1533191</v>
      </c>
      <c r="Q56" t="n">
        <v>1634136</v>
      </c>
      <c r="R56" t="n">
        <v>1797966</v>
      </c>
      <c r="S56" t="n">
        <v>2314952</v>
      </c>
      <c r="T56" t="n">
        <v>2186110</v>
      </c>
      <c r="U56" t="n">
        <v>2095889</v>
      </c>
      <c r="V56" t="n">
        <v>2217789</v>
      </c>
      <c r="W56" t="n">
        <v>2135214</v>
      </c>
      <c r="X56" t="n">
        <v>1658620</v>
      </c>
      <c r="Y56" t="n">
        <v>1912485</v>
      </c>
      <c r="Z56" t="n">
        <v>1851696</v>
      </c>
      <c r="AA56" t="n">
        <v>2338896</v>
      </c>
      <c r="AB56" t="n">
        <v>1782339</v>
      </c>
      <c r="AC56" t="n">
        <v>2012687</v>
      </c>
      <c r="AD56" t="n">
        <v>2229736</v>
      </c>
      <c r="AE56" t="n">
        <v>2173415</v>
      </c>
      <c r="AF56" t="n">
        <v>1930278</v>
      </c>
    </row>
    <row r="57">
      <c r="A57" t="s">
        <v>218</v>
      </c>
      <c r="B57" t="s">
        <v>283</v>
      </c>
      <c r="C57" t="s">
        <v>219</v>
      </c>
      <c r="D57" t="s">
        <v>284</v>
      </c>
      <c r="E57" t="s">
        <v>6</v>
      </c>
      <c r="F57" t="n">
        <v>520982744</v>
      </c>
      <c r="G57" t="n">
        <v>533932080</v>
      </c>
      <c r="H57" t="n">
        <v>538677962</v>
      </c>
      <c r="I57" t="n">
        <v>535494168</v>
      </c>
      <c r="J57" t="n">
        <v>536295218</v>
      </c>
      <c r="K57" t="n">
        <v>541543199</v>
      </c>
      <c r="L57" t="n">
        <v>533988665</v>
      </c>
      <c r="M57" t="n">
        <v>530698386</v>
      </c>
      <c r="N57" t="n">
        <v>532479485</v>
      </c>
      <c r="O57" t="n">
        <v>535996224</v>
      </c>
      <c r="P57" t="n">
        <v>542404651</v>
      </c>
      <c r="Q57" t="n">
        <v>542488285</v>
      </c>
      <c r="R57" t="n">
        <v>544648389</v>
      </c>
      <c r="S57" t="n">
        <v>534756182</v>
      </c>
      <c r="T57" t="n">
        <v>493784838</v>
      </c>
      <c r="U57" t="n">
        <v>514526473</v>
      </c>
      <c r="V57" t="n">
        <v>504728016</v>
      </c>
      <c r="W57" t="n">
        <v>500989293</v>
      </c>
      <c r="X57" t="n">
        <v>507942446</v>
      </c>
      <c r="Y57" t="n">
        <v>507627570</v>
      </c>
      <c r="Z57" t="n">
        <v>523307938</v>
      </c>
      <c r="AA57" t="n">
        <v>538990415</v>
      </c>
      <c r="AB57" t="n">
        <v>554087180</v>
      </c>
      <c r="AC57" t="n">
        <v>554841082</v>
      </c>
      <c r="AD57" t="n">
        <v>551192048</v>
      </c>
      <c r="AE57" t="n">
        <v>529297601</v>
      </c>
      <c r="AF57" t="n">
        <v>553595675</v>
      </c>
    </row>
    <row r="58">
      <c r="A58" t="s">
        <v>220</v>
      </c>
      <c r="B58" t="s">
        <v>283</v>
      </c>
      <c r="C58" t="s">
        <v>221</v>
      </c>
      <c r="D58" t="s">
        <v>284</v>
      </c>
      <c r="E58" t="s">
        <v>6</v>
      </c>
      <c r="F58" t="n">
        <v>517083643</v>
      </c>
      <c r="G58" t="n">
        <v>530376982</v>
      </c>
      <c r="H58" t="n">
        <v>535432848</v>
      </c>
      <c r="I58" t="n">
        <v>532626261</v>
      </c>
      <c r="J58" t="n">
        <v>533641426</v>
      </c>
      <c r="K58" t="n">
        <v>539284219</v>
      </c>
      <c r="L58" t="n">
        <v>531971186</v>
      </c>
      <c r="M58" t="n">
        <v>528777084</v>
      </c>
      <c r="N58" t="n">
        <v>530651947</v>
      </c>
      <c r="O58" t="n">
        <v>534212041</v>
      </c>
      <c r="P58" t="n">
        <v>540871460</v>
      </c>
      <c r="Q58" t="n">
        <v>540854149</v>
      </c>
      <c r="R58" t="n">
        <v>542850423</v>
      </c>
      <c r="S58" t="n">
        <v>532441230</v>
      </c>
      <c r="T58" t="n">
        <v>491598728</v>
      </c>
      <c r="U58" t="n">
        <v>512430584</v>
      </c>
      <c r="V58" t="n">
        <v>502510227</v>
      </c>
      <c r="W58" t="n">
        <v>498854079</v>
      </c>
      <c r="X58" t="n">
        <v>506283826</v>
      </c>
      <c r="Y58" t="n">
        <v>505715085</v>
      </c>
      <c r="Z58" t="n">
        <v>521456242</v>
      </c>
      <c r="AA58" t="n">
        <v>536651519</v>
      </c>
      <c r="AB58" t="n">
        <v>552304841</v>
      </c>
      <c r="AC58" t="n">
        <v>552828395</v>
      </c>
      <c r="AD58" t="n">
        <v>548962312</v>
      </c>
      <c r="AE58" t="n">
        <v>527124186</v>
      </c>
      <c r="AF58" t="n">
        <v>551665397</v>
      </c>
    </row>
    <row r="59">
      <c r="A59" t="s">
        <v>222</v>
      </c>
      <c r="B59" t="s">
        <v>283</v>
      </c>
      <c r="C59" t="s">
        <v>223</v>
      </c>
      <c r="D59" t="s">
        <v>284</v>
      </c>
      <c r="E59" t="s">
        <v>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283</v>
      </c>
      <c r="C2" t="s">
        <v>108</v>
      </c>
      <c r="D2" t="s">
        <v>284</v>
      </c>
      <c r="E2" t="s">
        <v>8</v>
      </c>
      <c r="F2" t="n">
        <v>8602663.87191929</v>
      </c>
      <c r="G2" t="n">
        <v>9136340.98960432</v>
      </c>
      <c r="H2" t="n">
        <v>8955756.2388108</v>
      </c>
      <c r="I2" t="n">
        <v>9087783.88539268</v>
      </c>
      <c r="J2" t="n">
        <v>9034876.72713575</v>
      </c>
      <c r="K2" t="n">
        <v>9676940.10820694</v>
      </c>
      <c r="L2" t="n">
        <v>8952881.84900535</v>
      </c>
      <c r="M2" t="n">
        <v>9482947.07320849</v>
      </c>
      <c r="N2" t="n">
        <v>8585068.76465153</v>
      </c>
      <c r="O2" t="n">
        <v>7721123.98710103</v>
      </c>
      <c r="P2" t="n">
        <v>7719881.72406172</v>
      </c>
      <c r="Q2" t="n">
        <v>7636444.06226392</v>
      </c>
      <c r="R2" t="n">
        <v>8111950.68164297</v>
      </c>
      <c r="S2" t="n">
        <v>8727384.44853316</v>
      </c>
      <c r="T2" t="n">
        <v>8095359.85023568</v>
      </c>
      <c r="U2" t="n">
        <v>7704754.56262893</v>
      </c>
      <c r="V2" t="n">
        <v>7822479.5270335</v>
      </c>
      <c r="W2" t="n">
        <v>7740580.69002066</v>
      </c>
      <c r="X2" t="n">
        <v>7625198.56325225</v>
      </c>
      <c r="Y2" t="n">
        <v>7237350.80845055</v>
      </c>
      <c r="Z2" t="n">
        <v>6957663.08108313</v>
      </c>
      <c r="AA2" t="n">
        <v>6438820.46900477</v>
      </c>
      <c r="AB2" t="n">
        <v>6498962.3420782</v>
      </c>
      <c r="AC2" t="n">
        <v>6079808.68782317</v>
      </c>
      <c r="AD2" t="n">
        <v>6353053.11509781</v>
      </c>
      <c r="AE2" t="n">
        <v>5942145</v>
      </c>
      <c r="AF2" t="n">
        <v>6176911</v>
      </c>
    </row>
    <row r="3">
      <c r="A3" t="s">
        <v>110</v>
      </c>
      <c r="B3" t="s">
        <v>283</v>
      </c>
      <c r="C3" t="s">
        <v>111</v>
      </c>
      <c r="D3" t="s">
        <v>284</v>
      </c>
      <c r="E3" t="s">
        <v>8</v>
      </c>
      <c r="F3" t="n">
        <v>1067845.04969634</v>
      </c>
      <c r="G3" t="n">
        <v>1139756.35368972</v>
      </c>
      <c r="H3" t="n">
        <v>1094340.58618908</v>
      </c>
      <c r="I3" t="n">
        <v>1041662.85960043</v>
      </c>
      <c r="J3" t="n">
        <v>1028453.21667373</v>
      </c>
      <c r="K3" t="n">
        <v>1144344.71157599</v>
      </c>
      <c r="L3" t="n">
        <v>1201007.09792574</v>
      </c>
      <c r="M3" t="n">
        <v>1107316.97632368</v>
      </c>
      <c r="N3" t="n">
        <v>1082510.27796058</v>
      </c>
      <c r="O3" t="n">
        <v>903179.933689509</v>
      </c>
      <c r="P3" t="n">
        <v>917458.912068428</v>
      </c>
      <c r="Q3" t="n">
        <v>887051.52621617</v>
      </c>
      <c r="R3" t="n">
        <v>814174.580851786</v>
      </c>
      <c r="S3" t="n">
        <v>710674.634261505</v>
      </c>
      <c r="T3" t="n">
        <v>400938.160139766</v>
      </c>
      <c r="U3" t="n">
        <v>420024.258769269</v>
      </c>
      <c r="V3" t="n">
        <v>427468.830284968</v>
      </c>
      <c r="W3" t="n">
        <v>396464.970359869</v>
      </c>
      <c r="X3" t="n">
        <v>452095.635866386</v>
      </c>
      <c r="Y3" t="n">
        <v>460166.57766736</v>
      </c>
      <c r="Z3" t="n">
        <v>437117.563869802</v>
      </c>
      <c r="AA3" t="n">
        <v>401669.941094599</v>
      </c>
      <c r="AB3" t="n">
        <v>433312.398847716</v>
      </c>
      <c r="AC3" t="n">
        <v>424393.158147655</v>
      </c>
      <c r="AD3" t="n">
        <v>401705.929094925</v>
      </c>
      <c r="AE3" t="n">
        <v>382131</v>
      </c>
      <c r="AF3" t="n">
        <v>362074</v>
      </c>
    </row>
    <row r="4">
      <c r="A4" t="s">
        <v>112</v>
      </c>
      <c r="B4" t="s">
        <v>283</v>
      </c>
      <c r="C4" t="s">
        <v>113</v>
      </c>
      <c r="D4" t="s">
        <v>284</v>
      </c>
      <c r="E4" t="s">
        <v>8</v>
      </c>
      <c r="F4" t="n">
        <v>87840980.1361421</v>
      </c>
      <c r="G4" t="n">
        <v>91336151.9518794</v>
      </c>
      <c r="H4" t="n">
        <v>93465491.8478253</v>
      </c>
      <c r="I4" t="n">
        <v>89669170.0448541</v>
      </c>
      <c r="J4" t="n">
        <v>88839724.231957</v>
      </c>
      <c r="K4" t="n">
        <v>93400219.7635424</v>
      </c>
      <c r="L4" t="n">
        <v>88565702.9221106</v>
      </c>
      <c r="M4" t="n">
        <v>87356006.0772097</v>
      </c>
      <c r="N4" t="n">
        <v>91137780.8049994</v>
      </c>
      <c r="O4" t="n">
        <v>96051207.4413898</v>
      </c>
      <c r="P4" t="n">
        <v>100739571.890606</v>
      </c>
      <c r="Q4" t="n">
        <v>104595457.202354</v>
      </c>
      <c r="R4" t="n">
        <v>109994652.588157</v>
      </c>
      <c r="S4" t="n">
        <v>109731096.760355</v>
      </c>
      <c r="T4" t="n">
        <v>90096363.867585</v>
      </c>
      <c r="U4" t="n">
        <v>104812757.749568</v>
      </c>
      <c r="V4" t="n">
        <v>101690662.059332</v>
      </c>
      <c r="W4" t="n">
        <v>103850553.22955</v>
      </c>
      <c r="X4" t="n">
        <v>103272202.575336</v>
      </c>
      <c r="Y4" t="n">
        <v>105646075.225219</v>
      </c>
      <c r="Z4" t="n">
        <v>108687243.713741</v>
      </c>
      <c r="AA4" t="n">
        <v>108768943.394075</v>
      </c>
      <c r="AB4" t="n">
        <v>113254315.539997</v>
      </c>
      <c r="AC4" t="n">
        <v>117103679.07522</v>
      </c>
      <c r="AD4" t="n">
        <v>114974515.50097</v>
      </c>
      <c r="AE4" t="n">
        <v>108011729</v>
      </c>
      <c r="AF4" t="n">
        <v>116130594</v>
      </c>
    </row>
    <row r="5">
      <c r="A5" t="s">
        <v>114</v>
      </c>
      <c r="B5" t="s">
        <v>283</v>
      </c>
      <c r="C5" t="s">
        <v>115</v>
      </c>
      <c r="D5" t="s">
        <v>284</v>
      </c>
      <c r="E5" t="s">
        <v>8</v>
      </c>
      <c r="F5" t="n">
        <v>15564646.7175298</v>
      </c>
      <c r="G5" t="n">
        <v>15803588.3185275</v>
      </c>
      <c r="H5" t="n">
        <v>15589649.8910477</v>
      </c>
      <c r="I5" t="n">
        <v>15752545.6357705</v>
      </c>
      <c r="J5" t="n">
        <v>15466688.4405738</v>
      </c>
      <c r="K5" t="n">
        <v>15142043.3591535</v>
      </c>
      <c r="L5" t="n">
        <v>15282947.9977347</v>
      </c>
      <c r="M5" t="n">
        <v>15050289.3950689</v>
      </c>
      <c r="N5" t="n">
        <v>15139467.5190974</v>
      </c>
      <c r="O5" t="n">
        <v>15126375.4782233</v>
      </c>
      <c r="P5" t="n">
        <v>14725967.8325721</v>
      </c>
      <c r="Q5" t="n">
        <v>14671645.9083178</v>
      </c>
      <c r="R5" t="n">
        <v>14921274.6543209</v>
      </c>
      <c r="S5" t="n">
        <v>14118853.6682898</v>
      </c>
      <c r="T5" t="n">
        <v>12934981.8416051</v>
      </c>
      <c r="U5" t="n">
        <v>13433899.1224182</v>
      </c>
      <c r="V5" t="n">
        <v>12737015.616018</v>
      </c>
      <c r="W5" t="n">
        <v>13004649.0895378</v>
      </c>
      <c r="X5" t="n">
        <v>13101761.8564495</v>
      </c>
      <c r="Y5" t="n">
        <v>13258062.6887857</v>
      </c>
      <c r="Z5" t="n">
        <v>13874861.0625048</v>
      </c>
      <c r="AA5" t="n">
        <v>14086045.034345</v>
      </c>
      <c r="AB5" t="n">
        <v>14328446.0426973</v>
      </c>
      <c r="AC5" t="n">
        <v>14252638.8827791</v>
      </c>
      <c r="AD5" t="n">
        <v>14227342.7929431</v>
      </c>
      <c r="AE5" t="n">
        <v>13181470</v>
      </c>
      <c r="AF5" t="n">
        <v>13622409</v>
      </c>
    </row>
    <row r="6">
      <c r="A6" t="s">
        <v>116</v>
      </c>
      <c r="B6" t="s">
        <v>283</v>
      </c>
      <c r="C6" t="s">
        <v>117</v>
      </c>
      <c r="D6" t="s">
        <v>284</v>
      </c>
      <c r="E6" t="s">
        <v>8</v>
      </c>
      <c r="F6" t="n">
        <v>4894707.23316497</v>
      </c>
      <c r="G6" t="n">
        <v>4586637.94230536</v>
      </c>
      <c r="H6" t="n">
        <v>4241213.48137786</v>
      </c>
      <c r="I6" t="n">
        <v>3899869.35834794</v>
      </c>
      <c r="J6" t="n">
        <v>3258457.70157068</v>
      </c>
      <c r="K6" t="n">
        <v>2960603.58113617</v>
      </c>
      <c r="L6" t="n">
        <v>2555437.54524207</v>
      </c>
      <c r="M6" t="n">
        <v>2282783.94188734</v>
      </c>
      <c r="N6" t="n">
        <v>2193589.00617179</v>
      </c>
      <c r="O6" t="n">
        <v>2097571.96471133</v>
      </c>
      <c r="P6" t="n">
        <v>1895829.0933902</v>
      </c>
      <c r="Q6" t="n">
        <v>1871094.96825268</v>
      </c>
      <c r="R6" t="n">
        <v>1910887.01195542</v>
      </c>
      <c r="S6" t="n">
        <v>1849787.57409977</v>
      </c>
      <c r="T6" t="n">
        <v>1458522.200365</v>
      </c>
      <c r="U6" t="n">
        <v>1408570.86141152</v>
      </c>
      <c r="V6" t="n">
        <v>1475730.38395366</v>
      </c>
      <c r="W6" t="n">
        <v>1464632.67678485</v>
      </c>
      <c r="X6" t="n">
        <v>1393842.4275092</v>
      </c>
      <c r="Y6" t="n">
        <v>1399408.03299908</v>
      </c>
      <c r="Z6" t="n">
        <v>1568066.91123105</v>
      </c>
      <c r="AA6" t="n">
        <v>1300347.73388326</v>
      </c>
      <c r="AB6" t="n">
        <v>1272520.82532617</v>
      </c>
      <c r="AC6" t="n">
        <v>1364583.44650998</v>
      </c>
      <c r="AD6" t="n">
        <v>1355146.07549294</v>
      </c>
      <c r="AE6" t="n">
        <v>1223550</v>
      </c>
      <c r="AF6" t="n">
        <v>1099813</v>
      </c>
    </row>
    <row r="7">
      <c r="A7" t="s">
        <v>118</v>
      </c>
      <c r="B7" t="s">
        <v>283</v>
      </c>
      <c r="C7" t="s">
        <v>119</v>
      </c>
      <c r="D7" t="s">
        <v>284</v>
      </c>
      <c r="E7" t="s">
        <v>8</v>
      </c>
      <c r="F7" t="n">
        <v>9104197.87489634</v>
      </c>
      <c r="G7" t="n">
        <v>9176267.59926242</v>
      </c>
      <c r="H7" t="n">
        <v>8978972.36252725</v>
      </c>
      <c r="I7" t="n">
        <v>8825094.84258051</v>
      </c>
      <c r="J7" t="n">
        <v>8191985.43780853</v>
      </c>
      <c r="K7" t="n">
        <v>8290735.74360486</v>
      </c>
      <c r="L7" t="n">
        <v>7847757.00820335</v>
      </c>
      <c r="M7" t="n">
        <v>7393589.47820543</v>
      </c>
      <c r="N7" t="n">
        <v>7210562.13479078</v>
      </c>
      <c r="O7" t="n">
        <v>7202681.39519381</v>
      </c>
      <c r="P7" t="n">
        <v>7534983.63033487</v>
      </c>
      <c r="Q7" t="n">
        <v>7254390.93193898</v>
      </c>
      <c r="R7" t="n">
        <v>7059602.95055771</v>
      </c>
      <c r="S7" t="n">
        <v>6822299.26990813</v>
      </c>
      <c r="T7" t="n">
        <v>5989167.96824248</v>
      </c>
      <c r="U7" t="n">
        <v>6369663.71438378</v>
      </c>
      <c r="V7" t="n">
        <v>6103360.61669124</v>
      </c>
      <c r="W7" t="n">
        <v>5905368.74689773</v>
      </c>
      <c r="X7" t="n">
        <v>6165508.48470926</v>
      </c>
      <c r="Y7" t="n">
        <v>6184066.91625477</v>
      </c>
      <c r="Z7" t="n">
        <v>6748607.70283062</v>
      </c>
      <c r="AA7" t="n">
        <v>6529188.61040065</v>
      </c>
      <c r="AB7" t="n">
        <v>6593763.68119425</v>
      </c>
      <c r="AC7" t="n">
        <v>6542368.1630612</v>
      </c>
      <c r="AD7" t="n">
        <v>6456604.37048122</v>
      </c>
      <c r="AE7" t="n">
        <v>5676079</v>
      </c>
      <c r="AF7" t="n">
        <v>5578686</v>
      </c>
    </row>
    <row r="8">
      <c r="A8" t="s">
        <v>120</v>
      </c>
      <c r="B8" t="s">
        <v>283</v>
      </c>
      <c r="C8" t="s">
        <v>121</v>
      </c>
      <c r="D8" t="s">
        <v>284</v>
      </c>
      <c r="E8" t="s">
        <v>8</v>
      </c>
      <c r="F8" t="n">
        <v>10180908.1558749</v>
      </c>
      <c r="G8" t="n">
        <v>11732681.7055973</v>
      </c>
      <c r="H8" t="n">
        <v>12042342.165552</v>
      </c>
      <c r="I8" t="n">
        <v>10305077.1344127</v>
      </c>
      <c r="J8" t="n">
        <v>9286565.47812121</v>
      </c>
      <c r="K8" t="n">
        <v>9326328.09105346</v>
      </c>
      <c r="L8" t="n">
        <v>8657135.60158345</v>
      </c>
      <c r="M8" t="n">
        <v>7761153.3676117</v>
      </c>
      <c r="N8" t="n">
        <v>6813286.94163183</v>
      </c>
      <c r="O8" t="n">
        <v>6290330.36604102</v>
      </c>
      <c r="P8" t="n">
        <v>6109110.28862247</v>
      </c>
      <c r="Q8" t="n">
        <v>6340023.59904908</v>
      </c>
      <c r="R8" t="n">
        <v>5898647.90668644</v>
      </c>
      <c r="S8" t="n">
        <v>5810453.86880973</v>
      </c>
      <c r="T8" t="n">
        <v>6065273.26317773</v>
      </c>
      <c r="U8" t="n">
        <v>6366240.25041617</v>
      </c>
      <c r="V8" t="n">
        <v>5884637.65682986</v>
      </c>
      <c r="W8" t="n">
        <v>6404153.13097513</v>
      </c>
      <c r="X8" t="n">
        <v>8307559.33777453</v>
      </c>
      <c r="Y8" t="n">
        <v>7288988.07373775</v>
      </c>
      <c r="Z8" t="n">
        <v>6037584.94398641</v>
      </c>
      <c r="AA8" t="n">
        <v>6114927.05740052</v>
      </c>
      <c r="AB8" t="n">
        <v>6232908.49298149</v>
      </c>
      <c r="AC8" t="n">
        <v>6247825.36018845</v>
      </c>
      <c r="AD8" t="n">
        <v>6086228.32118546</v>
      </c>
      <c r="AE8" t="n">
        <v>5826296</v>
      </c>
      <c r="AF8" t="n">
        <v>6628242</v>
      </c>
    </row>
    <row r="9">
      <c r="A9" t="s">
        <v>122</v>
      </c>
      <c r="B9" t="s">
        <v>283</v>
      </c>
      <c r="C9" t="s">
        <v>123</v>
      </c>
      <c r="D9" t="s">
        <v>284</v>
      </c>
      <c r="E9" t="s">
        <v>8</v>
      </c>
      <c r="F9" t="n">
        <v>6738097.11147059</v>
      </c>
      <c r="G9" t="n">
        <v>7029965.51406946</v>
      </c>
      <c r="H9" t="n">
        <v>7280694.48433899</v>
      </c>
      <c r="I9" t="n">
        <v>6845219.73634779</v>
      </c>
      <c r="J9" t="n">
        <v>7175924.95441005</v>
      </c>
      <c r="K9" t="n">
        <v>6501884.11875957</v>
      </c>
      <c r="L9" t="n">
        <v>6407493.2349037</v>
      </c>
      <c r="M9" t="n">
        <v>6498952.22397891</v>
      </c>
      <c r="N9" t="n">
        <v>6450521.58340392</v>
      </c>
      <c r="O9" t="n">
        <v>6152439.73605711</v>
      </c>
      <c r="P9" t="n">
        <v>6110599.73373136</v>
      </c>
      <c r="Q9" t="n">
        <v>5942291.94565322</v>
      </c>
      <c r="R9" t="n">
        <v>5977630.63599015</v>
      </c>
      <c r="S9" t="n">
        <v>5722038.2198037</v>
      </c>
      <c r="T9" t="n">
        <v>5300506.81390237</v>
      </c>
      <c r="U9" t="n">
        <v>5825955.29984693</v>
      </c>
      <c r="V9" t="n">
        <v>5549538.13788441</v>
      </c>
      <c r="W9" t="n">
        <v>5868272.48035175</v>
      </c>
      <c r="X9" t="n">
        <v>5958190.89154241</v>
      </c>
      <c r="Y9" t="n">
        <v>5972086.33915396</v>
      </c>
      <c r="Z9" t="n">
        <v>6772564.53594989</v>
      </c>
      <c r="AA9" t="n">
        <v>7316840.2820795</v>
      </c>
      <c r="AB9" t="n">
        <v>7186279.93458922</v>
      </c>
      <c r="AC9" t="n">
        <v>7455100.01808074</v>
      </c>
      <c r="AD9" t="n">
        <v>8200074.26626982</v>
      </c>
      <c r="AE9" t="n">
        <v>8124291</v>
      </c>
      <c r="AF9" t="n">
        <v>7783095</v>
      </c>
    </row>
    <row r="10">
      <c r="A10" t="s">
        <v>124</v>
      </c>
      <c r="B10" t="s">
        <v>283</v>
      </c>
      <c r="C10" t="s">
        <v>125</v>
      </c>
      <c r="D10" t="s">
        <v>284</v>
      </c>
      <c r="E10" t="s">
        <v>8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283</v>
      </c>
      <c r="C11" t="s">
        <v>127</v>
      </c>
      <c r="D11" t="s">
        <v>284</v>
      </c>
      <c r="E11" t="s">
        <v>8</v>
      </c>
      <c r="F11" t="n">
        <v>1481292.91597991</v>
      </c>
      <c r="G11" t="n">
        <v>1551592.30389166</v>
      </c>
      <c r="H11" t="n">
        <v>1584203.47438119</v>
      </c>
      <c r="I11" t="n">
        <v>1606407.78145609</v>
      </c>
      <c r="J11" t="n">
        <v>1681333.99667286</v>
      </c>
      <c r="K11" t="n">
        <v>1913107.62207587</v>
      </c>
      <c r="L11" t="n">
        <v>1913653.82130066</v>
      </c>
      <c r="M11" t="n">
        <v>2047334.67046071</v>
      </c>
      <c r="N11" t="n">
        <v>2193703.83091756</v>
      </c>
      <c r="O11" t="n">
        <v>2279469.68912479</v>
      </c>
      <c r="P11" t="n">
        <v>2260392.32430082</v>
      </c>
      <c r="Q11" t="n">
        <v>2479727.17365352</v>
      </c>
      <c r="R11" t="n">
        <v>2483352.64822704</v>
      </c>
      <c r="S11" t="n">
        <v>2665715.62532006</v>
      </c>
      <c r="T11" t="n">
        <v>2687558.98367418</v>
      </c>
      <c r="U11" t="n">
        <v>3061189.05674562</v>
      </c>
      <c r="V11" t="n">
        <v>3090070.25566287</v>
      </c>
      <c r="W11" t="n">
        <v>3078836.01739225</v>
      </c>
      <c r="X11" t="n">
        <v>3135263.37530288</v>
      </c>
      <c r="Y11" t="n">
        <v>3072451.01792452</v>
      </c>
      <c r="Z11" t="n">
        <v>3243628.16426322</v>
      </c>
      <c r="AA11" t="n">
        <v>3590377.76945823</v>
      </c>
      <c r="AB11" t="n">
        <v>3703296.25298698</v>
      </c>
      <c r="AC11" t="n">
        <v>4023571.92244562</v>
      </c>
      <c r="AD11" t="n">
        <v>4035603.32759228</v>
      </c>
      <c r="AE11" t="n">
        <v>4591255</v>
      </c>
      <c r="AF11" t="n">
        <v>4780791</v>
      </c>
    </row>
    <row r="12">
      <c r="A12" t="s">
        <v>128</v>
      </c>
      <c r="B12" t="s">
        <v>283</v>
      </c>
      <c r="C12" t="s">
        <v>129</v>
      </c>
      <c r="D12" t="s">
        <v>284</v>
      </c>
      <c r="E12" t="s">
        <v>8</v>
      </c>
      <c r="F12" t="n">
        <v>9768217.03172965</v>
      </c>
      <c r="G12" t="n">
        <v>9737471.11425867</v>
      </c>
      <c r="H12" t="n">
        <v>9524435.35187182</v>
      </c>
      <c r="I12" t="n">
        <v>8780238.27507558</v>
      </c>
      <c r="J12" t="n">
        <v>8201729.41348186</v>
      </c>
      <c r="K12" t="n">
        <v>8586033.91005851</v>
      </c>
      <c r="L12" t="n">
        <v>8044248.05935154</v>
      </c>
      <c r="M12" t="n">
        <v>7691234.28323246</v>
      </c>
      <c r="N12" t="n">
        <v>7978074.47508086</v>
      </c>
      <c r="O12" t="n">
        <v>8673254.50019632</v>
      </c>
      <c r="P12" t="n">
        <v>8674261.63877229</v>
      </c>
      <c r="Q12" t="n">
        <v>8575977.06374867</v>
      </c>
      <c r="R12" t="n">
        <v>9255330.1656672</v>
      </c>
      <c r="S12" t="n">
        <v>8910069.53965735</v>
      </c>
      <c r="T12" t="n">
        <v>6478671.49038311</v>
      </c>
      <c r="U12" t="n">
        <v>7589207.25158708</v>
      </c>
      <c r="V12" t="n">
        <v>7834345.24032931</v>
      </c>
      <c r="W12" t="n">
        <v>7725280.26956083</v>
      </c>
      <c r="X12" t="n">
        <v>8094130.24482964</v>
      </c>
      <c r="Y12" t="n">
        <v>8344595.01136797</v>
      </c>
      <c r="Z12" t="n">
        <v>8702148.8657355</v>
      </c>
      <c r="AA12" t="n">
        <v>8475259.83714138</v>
      </c>
      <c r="AB12" t="n">
        <v>9235888.04320744</v>
      </c>
      <c r="AC12" t="n">
        <v>9644377.88386525</v>
      </c>
      <c r="AD12" t="n">
        <v>9385495.44400851</v>
      </c>
      <c r="AE12" t="n">
        <v>9092588</v>
      </c>
      <c r="AF12" t="n">
        <v>9783285</v>
      </c>
    </row>
    <row r="13">
      <c r="A13" t="s">
        <v>130</v>
      </c>
      <c r="B13" t="s">
        <v>283</v>
      </c>
      <c r="C13" t="s">
        <v>131</v>
      </c>
      <c r="D13" t="s">
        <v>284</v>
      </c>
      <c r="E13" t="s">
        <v>8</v>
      </c>
      <c r="F13" t="n">
        <v>18264491.227705</v>
      </c>
      <c r="G13" t="n">
        <v>18578064.0447193</v>
      </c>
      <c r="H13" t="n">
        <v>18991647.6661018</v>
      </c>
      <c r="I13" t="n">
        <v>17017048.4454879</v>
      </c>
      <c r="J13" t="n">
        <v>16832022.1217566</v>
      </c>
      <c r="K13" t="n">
        <v>18068102.1054415</v>
      </c>
      <c r="L13" t="n">
        <v>16933259.1948821</v>
      </c>
      <c r="M13" t="n">
        <v>15692859.8185557</v>
      </c>
      <c r="N13" t="n">
        <v>15871365.4853609</v>
      </c>
      <c r="O13" t="n">
        <v>16372480.2750958</v>
      </c>
      <c r="P13" t="n">
        <v>17629610.2512658</v>
      </c>
      <c r="Q13" t="n">
        <v>18289826.2114107</v>
      </c>
      <c r="R13" t="n">
        <v>18749963.8989122</v>
      </c>
      <c r="S13" t="n">
        <v>18370712.984822</v>
      </c>
      <c r="T13" t="n">
        <v>14047588.0731046</v>
      </c>
      <c r="U13" t="n">
        <v>18029014.5805876</v>
      </c>
      <c r="V13" t="n">
        <v>15560889.200527</v>
      </c>
      <c r="W13" t="n">
        <v>16778118.2148013</v>
      </c>
      <c r="X13" t="n">
        <v>17139915.7433839</v>
      </c>
      <c r="Y13" t="n">
        <v>17441307.4705751</v>
      </c>
      <c r="Z13" t="n">
        <v>17277512.6917335</v>
      </c>
      <c r="AA13" t="n">
        <v>17171417.6583933</v>
      </c>
      <c r="AB13" t="n">
        <v>17434096.6821185</v>
      </c>
      <c r="AC13" t="n">
        <v>16858283.5333845</v>
      </c>
      <c r="AD13" t="n">
        <v>16051550.6162194</v>
      </c>
      <c r="AE13" t="n">
        <v>14246950</v>
      </c>
      <c r="AF13" t="n">
        <v>15812876</v>
      </c>
    </row>
    <row r="14">
      <c r="A14" t="s">
        <v>132</v>
      </c>
      <c r="B14" t="s">
        <v>283</v>
      </c>
      <c r="C14" t="s">
        <v>133</v>
      </c>
      <c r="D14" t="s">
        <v>284</v>
      </c>
      <c r="E14" t="s">
        <v>8</v>
      </c>
      <c r="F14" t="n">
        <v>2272287.1804483</v>
      </c>
      <c r="G14" t="n">
        <v>2677674.54147044</v>
      </c>
      <c r="H14" t="n">
        <v>3054712.66066077</v>
      </c>
      <c r="I14" t="n">
        <v>3083977.33716147</v>
      </c>
      <c r="J14" t="n">
        <v>3334329.26488617</v>
      </c>
      <c r="K14" t="n">
        <v>3937683.83624333</v>
      </c>
      <c r="L14" t="n">
        <v>3527853.04267714</v>
      </c>
      <c r="M14" t="n">
        <v>3799197.9450914</v>
      </c>
      <c r="N14" t="n">
        <v>4762200.38510881</v>
      </c>
      <c r="O14" t="n">
        <v>5625445.94951027</v>
      </c>
      <c r="P14" t="n">
        <v>6220852.70238024</v>
      </c>
      <c r="Q14" t="n">
        <v>7011560.07883703</v>
      </c>
      <c r="R14" t="n">
        <v>8103521.01590559</v>
      </c>
      <c r="S14" t="n">
        <v>8514590.4040062</v>
      </c>
      <c r="T14" t="n">
        <v>7397876.77616377</v>
      </c>
      <c r="U14" t="n">
        <v>9272339.53636098</v>
      </c>
      <c r="V14" t="n">
        <v>9247790.26643806</v>
      </c>
      <c r="W14" t="n">
        <v>8891912.7252733</v>
      </c>
      <c r="X14" t="n">
        <v>8677235.41120223</v>
      </c>
      <c r="Y14" t="n">
        <v>9423397.54895062</v>
      </c>
      <c r="Z14" t="n">
        <v>9938027.07909538</v>
      </c>
      <c r="AA14" t="n">
        <v>10013996.713188</v>
      </c>
      <c r="AB14" t="n">
        <v>9834218.30924728</v>
      </c>
      <c r="AC14" t="n">
        <v>10860356.9193307</v>
      </c>
      <c r="AD14" t="n">
        <v>10401536.3847507</v>
      </c>
      <c r="AE14" t="n">
        <v>10578765</v>
      </c>
      <c r="AF14" t="n">
        <v>12221331</v>
      </c>
    </row>
    <row r="15">
      <c r="A15" t="s">
        <v>134</v>
      </c>
      <c r="B15" t="s">
        <v>283</v>
      </c>
      <c r="C15" t="s">
        <v>135</v>
      </c>
      <c r="D15" t="s">
        <v>284</v>
      </c>
      <c r="E15" t="s">
        <v>8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283</v>
      </c>
      <c r="C16" t="s">
        <v>137</v>
      </c>
      <c r="D16" t="s">
        <v>284</v>
      </c>
      <c r="E16" t="s">
        <v>8</v>
      </c>
      <c r="F16" t="n">
        <v>4610953.45548538</v>
      </c>
      <c r="G16" t="n">
        <v>4530158.16050042</v>
      </c>
      <c r="H16" t="n">
        <v>4654678.60492116</v>
      </c>
      <c r="I16" t="n">
        <v>4429733.81767512</v>
      </c>
      <c r="J16" t="n">
        <v>4238261.3951879</v>
      </c>
      <c r="K16" t="n">
        <v>4552273.13508919</v>
      </c>
      <c r="L16" t="n">
        <v>4160266.49979098</v>
      </c>
      <c r="M16" t="n">
        <v>3880314.91008964</v>
      </c>
      <c r="N16" t="n">
        <v>4244061.42348039</v>
      </c>
      <c r="O16" t="n">
        <v>4567329.75481096</v>
      </c>
      <c r="P16" t="n">
        <v>4863791.63523592</v>
      </c>
      <c r="Q16" t="n">
        <v>5347590.90730398</v>
      </c>
      <c r="R16" t="n">
        <v>5712179.81829805</v>
      </c>
      <c r="S16" t="n">
        <v>5406840.57222177</v>
      </c>
      <c r="T16" t="n">
        <v>4378373.57158835</v>
      </c>
      <c r="U16" t="n">
        <v>5214631.01732572</v>
      </c>
      <c r="V16" t="n">
        <v>5351619.51829647</v>
      </c>
      <c r="W16" t="n">
        <v>5409155.86533533</v>
      </c>
      <c r="X16" t="n">
        <v>5334941.66406774</v>
      </c>
      <c r="Y16" t="n">
        <v>6024132.68126157</v>
      </c>
      <c r="Z16" t="n">
        <v>5963749.01354134</v>
      </c>
      <c r="AA16" t="n">
        <v>6035652.69067122</v>
      </c>
      <c r="AB16" t="n">
        <v>6850464.31734578</v>
      </c>
      <c r="AC16" t="n">
        <v>7545046.5417382</v>
      </c>
      <c r="AD16" t="n">
        <v>7391063.43789948</v>
      </c>
      <c r="AE16" t="n">
        <v>6836641</v>
      </c>
      <c r="AF16" t="n">
        <v>7097398</v>
      </c>
    </row>
    <row r="17">
      <c r="A17" t="s">
        <v>138</v>
      </c>
      <c r="B17" t="s">
        <v>283</v>
      </c>
      <c r="C17" t="s">
        <v>139</v>
      </c>
      <c r="D17" t="s">
        <v>284</v>
      </c>
      <c r="E17" t="s">
        <v>8</v>
      </c>
      <c r="F17" t="n">
        <v>10682766.3442967</v>
      </c>
      <c r="G17" t="n">
        <v>11253046.2745037</v>
      </c>
      <c r="H17" t="n">
        <v>11618749.1505125</v>
      </c>
      <c r="I17" t="n">
        <v>10803696.9139818</v>
      </c>
      <c r="J17" t="n">
        <v>10379308.7374095</v>
      </c>
      <c r="K17" t="n">
        <v>11099529.2476556</v>
      </c>
      <c r="L17" t="n">
        <v>10344516.648307</v>
      </c>
      <c r="M17" t="n">
        <v>9258904.59873992</v>
      </c>
      <c r="N17" t="n">
        <v>10096245.3276996</v>
      </c>
      <c r="O17" t="n">
        <v>11218258.83529</v>
      </c>
      <c r="P17" t="n">
        <v>12095739.7397265</v>
      </c>
      <c r="Q17" t="n">
        <v>13163576.6641678</v>
      </c>
      <c r="R17" t="n">
        <v>14152682.5783204</v>
      </c>
      <c r="S17" t="n">
        <v>14765187.6392406</v>
      </c>
      <c r="T17" t="n">
        <v>10194104.9343361</v>
      </c>
      <c r="U17" t="n">
        <v>11968885.7171246</v>
      </c>
      <c r="V17" t="n">
        <v>13389577.9658005</v>
      </c>
      <c r="W17" t="n">
        <v>13175457.0897412</v>
      </c>
      <c r="X17" t="n">
        <v>12355421.7107248</v>
      </c>
      <c r="Y17" t="n">
        <v>12666956.7573574</v>
      </c>
      <c r="Z17" t="n">
        <v>13278853.9839309</v>
      </c>
      <c r="AA17" t="n">
        <v>12918554.6123982</v>
      </c>
      <c r="AB17" t="n">
        <v>14312550.8373041</v>
      </c>
      <c r="AC17" t="n">
        <v>15354593.5574057</v>
      </c>
      <c r="AD17" t="n">
        <v>14827150.9840858</v>
      </c>
      <c r="AE17" t="n">
        <v>13337438</v>
      </c>
      <c r="AF17" t="n">
        <v>15265647</v>
      </c>
    </row>
    <row r="18">
      <c r="A18" t="s">
        <v>140</v>
      </c>
      <c r="B18" t="s">
        <v>283</v>
      </c>
      <c r="C18" t="s">
        <v>141</v>
      </c>
      <c r="D18" t="s">
        <v>284</v>
      </c>
      <c r="E18" t="s">
        <v>8</v>
      </c>
      <c r="F18" t="n">
        <v>11144142.8832576</v>
      </c>
      <c r="G18" t="n">
        <v>10932195.4601421</v>
      </c>
      <c r="H18" t="n">
        <v>10576826.4307515</v>
      </c>
      <c r="I18" t="n">
        <v>10715893.4001176</v>
      </c>
      <c r="J18" t="n">
        <v>11174804.4548515</v>
      </c>
      <c r="K18" t="n">
        <v>11733818.6871604</v>
      </c>
      <c r="L18" t="n">
        <v>11763200.184144</v>
      </c>
      <c r="M18" t="n">
        <v>13064325.8797185</v>
      </c>
      <c r="N18" t="n">
        <v>12836601.3763036</v>
      </c>
      <c r="O18" t="n">
        <v>13717386.4900728</v>
      </c>
      <c r="P18" t="n">
        <v>15359056.115476</v>
      </c>
      <c r="Q18" t="n">
        <v>15532194.704092</v>
      </c>
      <c r="R18" t="n">
        <v>16647341.2821119</v>
      </c>
      <c r="S18" t="n">
        <v>17017255.0150885</v>
      </c>
      <c r="T18" t="n">
        <v>12810121.6501272</v>
      </c>
      <c r="U18" t="n">
        <v>15712171.3438057</v>
      </c>
      <c r="V18" t="n">
        <v>14222912.1183331</v>
      </c>
      <c r="W18" t="n">
        <v>15349542.5288239</v>
      </c>
      <c r="X18" t="n">
        <v>13234636.2874655</v>
      </c>
      <c r="Y18" t="n">
        <v>13530252.3560982</v>
      </c>
      <c r="Z18" t="n">
        <v>13746241.967828</v>
      </c>
      <c r="AA18" t="n">
        <v>13695060.4578948</v>
      </c>
      <c r="AB18" t="n">
        <v>14499678.6506865</v>
      </c>
      <c r="AC18" t="n">
        <v>14774807.5538162</v>
      </c>
      <c r="AD18" t="n">
        <v>14332888.5091833</v>
      </c>
      <c r="AE18" t="n">
        <v>13086223</v>
      </c>
      <c r="AF18" t="n">
        <v>13804377</v>
      </c>
    </row>
    <row r="19">
      <c r="A19" t="s">
        <v>142</v>
      </c>
      <c r="B19" t="s">
        <v>283</v>
      </c>
      <c r="C19" t="s">
        <v>143</v>
      </c>
      <c r="D19" t="s">
        <v>284</v>
      </c>
      <c r="E19" t="s">
        <v>8</v>
      </c>
      <c r="F19" t="n">
        <v>1759451.10941479</v>
      </c>
      <c r="G19" t="n">
        <v>1892157.95742195</v>
      </c>
      <c r="H19" t="n">
        <v>2106164.48762213</v>
      </c>
      <c r="I19" t="n">
        <v>2087943.80987864</v>
      </c>
      <c r="J19" t="n">
        <v>2160779.15168104</v>
      </c>
      <c r="K19" t="n">
        <v>2317571.63835736</v>
      </c>
      <c r="L19" t="n">
        <v>2218860.83871354</v>
      </c>
      <c r="M19" t="n">
        <v>2263131.59379533</v>
      </c>
      <c r="N19" t="n">
        <v>2309162.80524029</v>
      </c>
      <c r="O19" t="n">
        <v>2332407.10829795</v>
      </c>
      <c r="P19" t="n">
        <v>2479295.83554535</v>
      </c>
      <c r="Q19" t="n">
        <v>2407766.87442347</v>
      </c>
      <c r="R19" t="n">
        <v>2466237.62603494</v>
      </c>
      <c r="S19" t="n">
        <v>2414800.06149258</v>
      </c>
      <c r="T19" t="n">
        <v>1857909.77353566</v>
      </c>
      <c r="U19" t="n">
        <v>1948136.53286644</v>
      </c>
      <c r="V19" t="n">
        <v>1995347.53382356</v>
      </c>
      <c r="W19" t="n">
        <v>1980540.49158945</v>
      </c>
      <c r="X19" t="n">
        <v>2081105.05276843</v>
      </c>
      <c r="Y19" t="n">
        <v>2193970.46536496</v>
      </c>
      <c r="Z19" t="n">
        <v>2209429.88840007</v>
      </c>
      <c r="AA19" t="n">
        <v>1989898.23015953</v>
      </c>
      <c r="AB19" t="n">
        <v>2179763.94703031</v>
      </c>
      <c r="AC19" t="n">
        <v>2333036.12256988</v>
      </c>
      <c r="AD19" t="n">
        <v>2357557.13437075</v>
      </c>
      <c r="AE19" t="n">
        <v>2210183</v>
      </c>
      <c r="AF19" t="n">
        <v>2652644</v>
      </c>
    </row>
    <row r="20">
      <c r="A20" t="s">
        <v>144</v>
      </c>
      <c r="B20" t="s">
        <v>283</v>
      </c>
      <c r="C20" t="s">
        <v>145</v>
      </c>
      <c r="D20" t="s">
        <v>284</v>
      </c>
      <c r="E20" t="s">
        <v>8</v>
      </c>
      <c r="F20" t="n">
        <v>11766305.2384107</v>
      </c>
      <c r="G20" t="n">
        <v>12850322.9748845</v>
      </c>
      <c r="H20" t="n">
        <v>13367920.7466241</v>
      </c>
      <c r="I20" t="n">
        <v>13928335.8911127</v>
      </c>
      <c r="J20" t="n">
        <v>14153226.4170174</v>
      </c>
      <c r="K20" t="n">
        <v>14563498.1898779</v>
      </c>
      <c r="L20" t="n">
        <v>14997741.3635739</v>
      </c>
      <c r="M20" t="n">
        <v>15027662.8748038</v>
      </c>
      <c r="N20" t="n">
        <v>15010531.282726</v>
      </c>
      <c r="O20" t="n">
        <v>15591492.9224956</v>
      </c>
      <c r="P20" t="n">
        <v>17082856.006427</v>
      </c>
      <c r="Q20" t="n">
        <v>17123830.6715496</v>
      </c>
      <c r="R20" t="n">
        <v>15645835.2143454</v>
      </c>
      <c r="S20" t="n">
        <v>17111787.7701698</v>
      </c>
      <c r="T20" t="n">
        <v>11125225.7486872</v>
      </c>
      <c r="U20" t="n">
        <v>13225345.8027885</v>
      </c>
      <c r="V20" t="n">
        <v>10421485.6265501</v>
      </c>
      <c r="W20" t="n">
        <v>7439597.09573065</v>
      </c>
      <c r="X20" t="n">
        <v>8885908.16683817</v>
      </c>
      <c r="Y20" t="n">
        <v>9928387.57085505</v>
      </c>
      <c r="Z20" t="n">
        <v>9373495.41976477</v>
      </c>
      <c r="AA20" t="n">
        <v>9278659.25288077</v>
      </c>
      <c r="AB20" t="n">
        <v>10375768.9381463</v>
      </c>
      <c r="AC20" t="n">
        <v>10566181.3374897</v>
      </c>
      <c r="AD20" t="n">
        <v>10048023.1053765</v>
      </c>
      <c r="AE20" t="n">
        <v>9372026</v>
      </c>
      <c r="AF20" t="n">
        <v>9333451</v>
      </c>
    </row>
    <row r="21">
      <c r="A21" t="s">
        <v>146</v>
      </c>
      <c r="B21" t="s">
        <v>283</v>
      </c>
      <c r="C21" t="s">
        <v>147</v>
      </c>
      <c r="D21" t="s">
        <v>284</v>
      </c>
      <c r="E21" t="s">
        <v>8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283</v>
      </c>
      <c r="C22" t="s">
        <v>149</v>
      </c>
      <c r="D22" t="s">
        <v>284</v>
      </c>
      <c r="E22" t="s">
        <v>8</v>
      </c>
      <c r="F22" t="n">
        <v>6180990.33494909</v>
      </c>
      <c r="G22" t="n">
        <v>6412370.46833559</v>
      </c>
      <c r="H22" t="n">
        <v>6488544.2796323</v>
      </c>
      <c r="I22" t="n">
        <v>6624320.03213962</v>
      </c>
      <c r="J22" t="n">
        <v>6854944.7306259</v>
      </c>
      <c r="K22" t="n">
        <v>6813456.388191</v>
      </c>
      <c r="L22" t="n">
        <v>6891748.90869901</v>
      </c>
      <c r="M22" t="n">
        <v>6800057.94106067</v>
      </c>
      <c r="N22" t="n">
        <v>6774548.91478213</v>
      </c>
      <c r="O22" t="n">
        <v>6806561.86826707</v>
      </c>
      <c r="P22" t="n">
        <v>6874392.66810004</v>
      </c>
      <c r="Q22" t="n">
        <v>6888019.88739463</v>
      </c>
      <c r="R22" t="n">
        <v>6976563.68920242</v>
      </c>
      <c r="S22" t="n">
        <v>6960267.10845013</v>
      </c>
      <c r="T22" t="n">
        <v>6793090.96514604</v>
      </c>
      <c r="U22" t="n">
        <v>6672400.11829112</v>
      </c>
      <c r="V22" t="n">
        <v>6793192.70904389</v>
      </c>
      <c r="W22" t="n">
        <v>6788714.6182134</v>
      </c>
      <c r="X22" t="n">
        <v>6854786.23640292</v>
      </c>
      <c r="Y22" t="n">
        <v>7033859.31276998</v>
      </c>
      <c r="Z22" t="n">
        <v>7077817.795461</v>
      </c>
      <c r="AA22" t="n">
        <v>7098216.1502435</v>
      </c>
      <c r="AB22" t="n">
        <v>7466519.80911564</v>
      </c>
      <c r="AC22" t="n">
        <v>7751710.80051331</v>
      </c>
      <c r="AD22" t="n">
        <v>7909686.7888969</v>
      </c>
      <c r="AE22" t="n">
        <v>7917086</v>
      </c>
      <c r="AF22" t="n">
        <v>8284252</v>
      </c>
    </row>
    <row r="23">
      <c r="A23" t="s">
        <v>150</v>
      </c>
      <c r="B23" t="s">
        <v>283</v>
      </c>
      <c r="C23" t="s">
        <v>151</v>
      </c>
      <c r="D23" t="s">
        <v>284</v>
      </c>
      <c r="E23" t="s">
        <v>8</v>
      </c>
      <c r="F23" t="n">
        <v>44656664.0536057</v>
      </c>
      <c r="G23" t="n">
        <v>45865099.9152731</v>
      </c>
      <c r="H23" t="n">
        <v>42735395.7058934</v>
      </c>
      <c r="I23" t="n">
        <v>41713055.3059595</v>
      </c>
      <c r="J23" t="n">
        <v>40983464.6472</v>
      </c>
      <c r="K23" t="n">
        <v>39376283.3142099</v>
      </c>
      <c r="L23" t="n">
        <v>38057380.6717148</v>
      </c>
      <c r="M23" t="n">
        <v>36318683.9935189</v>
      </c>
      <c r="N23" t="n">
        <v>34688663.5107594</v>
      </c>
      <c r="O23" t="n">
        <v>33543089.7818643</v>
      </c>
      <c r="P23" t="n">
        <v>32432102.7646471</v>
      </c>
      <c r="Q23" t="n">
        <v>32202673.4764632</v>
      </c>
      <c r="R23" t="n">
        <v>29905634.3881856</v>
      </c>
      <c r="S23" t="n">
        <v>27767351.9961102</v>
      </c>
      <c r="T23" t="n">
        <v>27273849.6152913</v>
      </c>
      <c r="U23" t="n">
        <v>25884404.0888788</v>
      </c>
      <c r="V23" t="n">
        <v>26080543.8806643</v>
      </c>
      <c r="W23" t="n">
        <v>25939224.9501474</v>
      </c>
      <c r="X23" t="n">
        <v>27979264.2740134</v>
      </c>
      <c r="Y23" t="n">
        <v>28506446.0690111</v>
      </c>
      <c r="Z23" t="n">
        <v>29479523.1029486</v>
      </c>
      <c r="AA23" t="n">
        <v>30840779.929569</v>
      </c>
      <c r="AB23" t="n">
        <v>31503186.6121159</v>
      </c>
      <c r="AC23" t="n">
        <v>31288863.419054</v>
      </c>
      <c r="AD23" t="n">
        <v>31001012.1092046</v>
      </c>
      <c r="AE23" t="n">
        <v>30809216</v>
      </c>
      <c r="AF23" t="n">
        <v>29933004</v>
      </c>
    </row>
    <row r="24">
      <c r="A24" t="s">
        <v>152</v>
      </c>
      <c r="B24" t="s">
        <v>283</v>
      </c>
      <c r="C24" t="s">
        <v>153</v>
      </c>
      <c r="D24" t="s">
        <v>284</v>
      </c>
      <c r="E24" t="s">
        <v>8</v>
      </c>
      <c r="F24" t="n">
        <v>78226641.2035826</v>
      </c>
      <c r="G24" t="n">
        <v>80185288.5691772</v>
      </c>
      <c r="H24" t="n">
        <v>81926307.6399269</v>
      </c>
      <c r="I24" t="n">
        <v>79829101.8564637</v>
      </c>
      <c r="J24" t="n">
        <v>80091402.479524</v>
      </c>
      <c r="K24" t="n">
        <v>78654667.6089182</v>
      </c>
      <c r="L24" t="n">
        <v>80586447.7048098</v>
      </c>
      <c r="M24" t="n">
        <v>81521976.9198345</v>
      </c>
      <c r="N24" t="n">
        <v>81817946.7620474</v>
      </c>
      <c r="O24" t="n">
        <v>85387604.6267359</v>
      </c>
      <c r="P24" t="n">
        <v>85888613.7534115</v>
      </c>
      <c r="Q24" t="n">
        <v>81720352.641072</v>
      </c>
      <c r="R24" t="n">
        <v>78846096.6753146</v>
      </c>
      <c r="S24" t="n">
        <v>76900372.0687806</v>
      </c>
      <c r="T24" t="n">
        <v>72956226.091961</v>
      </c>
      <c r="U24" t="n">
        <v>74740377.8178576</v>
      </c>
      <c r="V24" t="n">
        <v>75671254.3587193</v>
      </c>
      <c r="W24" t="n">
        <v>77670241.5049686</v>
      </c>
      <c r="X24" t="n">
        <v>78870597.8011278</v>
      </c>
      <c r="Y24" t="n">
        <v>75434935.2329391</v>
      </c>
      <c r="Z24" t="n">
        <v>76654088.6728213</v>
      </c>
      <c r="AA24" t="n">
        <v>76096317.1009169</v>
      </c>
      <c r="AB24" t="n">
        <v>78521841.7915055</v>
      </c>
      <c r="AC24" t="n">
        <v>76653582.4642259</v>
      </c>
      <c r="AD24" t="n">
        <v>74344114.2372252</v>
      </c>
      <c r="AE24" t="n">
        <v>71171530</v>
      </c>
      <c r="AF24" t="n">
        <v>75843574</v>
      </c>
    </row>
    <row r="25">
      <c r="A25" t="s">
        <v>154</v>
      </c>
      <c r="B25" t="s">
        <v>283</v>
      </c>
      <c r="C25" t="s">
        <v>155</v>
      </c>
      <c r="D25" t="s">
        <v>284</v>
      </c>
      <c r="E25" t="s">
        <v>8</v>
      </c>
      <c r="F25" t="n">
        <v>4934393.69349314</v>
      </c>
      <c r="G25" t="n">
        <v>5506387.61680605</v>
      </c>
      <c r="H25" t="n">
        <v>5759392.28520616</v>
      </c>
      <c r="I25" t="n">
        <v>5719337.16502072</v>
      </c>
      <c r="J25" t="n">
        <v>6163549.07117896</v>
      </c>
      <c r="K25" t="n">
        <v>6599433.7305342</v>
      </c>
      <c r="L25" t="n">
        <v>5933158.0197908</v>
      </c>
      <c r="M25" t="n">
        <v>5731424.66432859</v>
      </c>
      <c r="N25" t="n">
        <v>5663904.29954745</v>
      </c>
      <c r="O25" t="n">
        <v>5722495.79873549</v>
      </c>
      <c r="P25" t="n">
        <v>4717786.08024038</v>
      </c>
      <c r="Q25" t="n">
        <v>4324040.60125465</v>
      </c>
      <c r="R25" t="n">
        <v>3885117.64057996</v>
      </c>
      <c r="S25" t="n">
        <v>3260264.6974708</v>
      </c>
      <c r="T25" t="n">
        <v>2485638.72341501</v>
      </c>
      <c r="U25" t="n">
        <v>2330046.26549356</v>
      </c>
      <c r="V25" t="n">
        <v>1785425.83281804</v>
      </c>
      <c r="W25" t="n">
        <v>1890781.22834092</v>
      </c>
      <c r="X25" t="n">
        <v>2046539.02432262</v>
      </c>
      <c r="Y25" t="n">
        <v>2253720.04235074</v>
      </c>
      <c r="Z25" t="n">
        <v>2392625.73476365</v>
      </c>
      <c r="AA25" t="n">
        <v>2365886.49920708</v>
      </c>
      <c r="AB25" t="n">
        <v>2521106.87498622</v>
      </c>
      <c r="AC25" t="n">
        <v>2534158.35951166</v>
      </c>
      <c r="AD25" t="n">
        <v>2524742.78462273</v>
      </c>
      <c r="AE25" t="n">
        <v>2440969</v>
      </c>
      <c r="AF25" t="n">
        <v>2340816</v>
      </c>
    </row>
    <row r="26">
      <c r="A26" t="s">
        <v>156</v>
      </c>
      <c r="B26" t="s">
        <v>283</v>
      </c>
      <c r="C26" t="s">
        <v>157</v>
      </c>
      <c r="D26" t="s">
        <v>284</v>
      </c>
      <c r="E26" t="s">
        <v>8</v>
      </c>
      <c r="F26" t="n">
        <v>44280399.6903148</v>
      </c>
      <c r="G26" t="n">
        <v>45533135.2716184</v>
      </c>
      <c r="H26" t="n">
        <v>48057937.1349961</v>
      </c>
      <c r="I26" t="n">
        <v>47755166.9557652</v>
      </c>
      <c r="J26" t="n">
        <v>47876727.6519643</v>
      </c>
      <c r="K26" t="n">
        <v>46177164.2972097</v>
      </c>
      <c r="L26" t="n">
        <v>47018412.2305102</v>
      </c>
      <c r="M26" t="n">
        <v>47020247.2815514</v>
      </c>
      <c r="N26" t="n">
        <v>46822450.6630364</v>
      </c>
      <c r="O26" t="n">
        <v>50597520.9351964</v>
      </c>
      <c r="P26" t="n">
        <v>53878933.0146495</v>
      </c>
      <c r="Q26" t="n">
        <v>51341445.4707927</v>
      </c>
      <c r="R26" t="n">
        <v>48405020.5832353</v>
      </c>
      <c r="S26" t="n">
        <v>47186956.6450592</v>
      </c>
      <c r="T26" t="n">
        <v>42600352.0987924</v>
      </c>
      <c r="U26" t="n">
        <v>43824924.160434</v>
      </c>
      <c r="V26" t="n">
        <v>45272073.6238725</v>
      </c>
      <c r="W26" t="n">
        <v>44708246.2932242</v>
      </c>
      <c r="X26" t="n">
        <v>43736069.0932771</v>
      </c>
      <c r="Y26" t="n">
        <v>39567789.8658119</v>
      </c>
      <c r="Z26" t="n">
        <v>39278353.3151658</v>
      </c>
      <c r="AA26" t="n">
        <v>39224181.4057771</v>
      </c>
      <c r="AB26" t="n">
        <v>41509161.309351</v>
      </c>
      <c r="AC26" t="n">
        <v>41019279.3453666</v>
      </c>
      <c r="AD26" t="n">
        <v>38360100.5700625</v>
      </c>
      <c r="AE26" t="n">
        <v>36389644</v>
      </c>
      <c r="AF26" t="n">
        <v>39965282</v>
      </c>
    </row>
    <row r="27">
      <c r="A27" t="s">
        <v>158</v>
      </c>
      <c r="B27" t="s">
        <v>283</v>
      </c>
      <c r="C27" t="s">
        <v>159</v>
      </c>
      <c r="D27" t="s">
        <v>284</v>
      </c>
      <c r="E27" t="s">
        <v>8</v>
      </c>
      <c r="F27" t="n">
        <v>28941423.4764359</v>
      </c>
      <c r="G27" t="n">
        <v>29173911.8998861</v>
      </c>
      <c r="H27" t="n">
        <v>28208939.8839942</v>
      </c>
      <c r="I27" t="n">
        <v>26501654.3960407</v>
      </c>
      <c r="J27" t="n">
        <v>26296096.6777968</v>
      </c>
      <c r="K27" t="n">
        <v>26207421.065582</v>
      </c>
      <c r="L27" t="n">
        <v>27759379.404583</v>
      </c>
      <c r="M27" t="n">
        <v>28810849.2482662</v>
      </c>
      <c r="N27" t="n">
        <v>29338772.4758302</v>
      </c>
      <c r="O27" t="n">
        <v>29094025.5920275</v>
      </c>
      <c r="P27" t="n">
        <v>27155304.7381857</v>
      </c>
      <c r="Q27" t="n">
        <v>25897460.4463904</v>
      </c>
      <c r="R27" t="n">
        <v>26383242.2976017</v>
      </c>
      <c r="S27" t="n">
        <v>26204079.5422682</v>
      </c>
      <c r="T27" t="n">
        <v>27672141.9992435</v>
      </c>
      <c r="U27" t="n">
        <v>28349841.5650489</v>
      </c>
      <c r="V27" t="n">
        <v>28297995.1920303</v>
      </c>
      <c r="W27" t="n">
        <v>30838003.1382453</v>
      </c>
      <c r="X27" t="n">
        <v>32922400.2025791</v>
      </c>
      <c r="Y27" t="n">
        <v>33594947.391068</v>
      </c>
      <c r="Z27" t="n">
        <v>35013988.4227511</v>
      </c>
      <c r="AA27" t="n">
        <v>34532805.9656558</v>
      </c>
      <c r="AB27" t="n">
        <v>34528832.8607158</v>
      </c>
      <c r="AC27" t="n">
        <v>33151651.5168445</v>
      </c>
      <c r="AD27" t="n">
        <v>33467104.5477867</v>
      </c>
      <c r="AE27" t="n">
        <v>32340917</v>
      </c>
      <c r="AF27" t="n">
        <v>33537476</v>
      </c>
    </row>
    <row r="28">
      <c r="A28" t="s">
        <v>160</v>
      </c>
      <c r="B28" t="s">
        <v>283</v>
      </c>
      <c r="C28" t="s">
        <v>161</v>
      </c>
      <c r="D28" t="s">
        <v>284</v>
      </c>
      <c r="E28" t="s">
        <v>8</v>
      </c>
      <c r="F28" t="n">
        <v>31809265.4162327</v>
      </c>
      <c r="G28" t="n">
        <v>30286959.2998134</v>
      </c>
      <c r="H28" t="n">
        <v>30305796.3722225</v>
      </c>
      <c r="I28" t="n">
        <v>28958174.6937734</v>
      </c>
      <c r="J28" t="n">
        <v>28483882.8612906</v>
      </c>
      <c r="K28" t="n">
        <v>28922883.0341777</v>
      </c>
      <c r="L28" t="n">
        <v>29100572.9540476</v>
      </c>
      <c r="M28" t="n">
        <v>29458538.1018169</v>
      </c>
      <c r="N28" t="n">
        <v>30106893.8787945</v>
      </c>
      <c r="O28" t="n">
        <v>31244602.7769839</v>
      </c>
      <c r="P28" t="n">
        <v>31261750.6725333</v>
      </c>
      <c r="Q28" t="n">
        <v>33014147.9840484</v>
      </c>
      <c r="R28" t="n">
        <v>34253109.575565</v>
      </c>
      <c r="S28" t="n">
        <v>33360032.641922</v>
      </c>
      <c r="T28" t="n">
        <v>29092624.6193587</v>
      </c>
      <c r="U28" t="n">
        <v>30030954.2108256</v>
      </c>
      <c r="V28" t="n">
        <v>29671469.1248641</v>
      </c>
      <c r="W28" t="n">
        <v>30781761.8547711</v>
      </c>
      <c r="X28" t="n">
        <v>31058037.3886304</v>
      </c>
      <c r="Y28" t="n">
        <v>31801234.1873487</v>
      </c>
      <c r="Z28" t="n">
        <v>31194034.5405862</v>
      </c>
      <c r="AA28" t="n">
        <v>31063369.7993976</v>
      </c>
      <c r="AB28" t="n">
        <v>32068182.6943295</v>
      </c>
      <c r="AC28" t="n">
        <v>31600941.3405872</v>
      </c>
      <c r="AD28" t="n">
        <v>31378193.7485688</v>
      </c>
      <c r="AE28" t="n">
        <v>22754632</v>
      </c>
      <c r="AF28" t="n">
        <v>23234957</v>
      </c>
    </row>
    <row r="29">
      <c r="A29" t="s">
        <v>162</v>
      </c>
      <c r="B29" t="s">
        <v>283</v>
      </c>
      <c r="C29" t="s">
        <v>163</v>
      </c>
      <c r="D29" t="s">
        <v>284</v>
      </c>
      <c r="E29" t="s">
        <v>8</v>
      </c>
      <c r="F29" t="n">
        <v>22360874.1551545</v>
      </c>
      <c r="G29" t="n">
        <v>21003585.405521</v>
      </c>
      <c r="H29" t="n">
        <v>21047520.2823035</v>
      </c>
      <c r="I29" t="n">
        <v>20146061.345813</v>
      </c>
      <c r="J29" t="n">
        <v>20163324.2261963</v>
      </c>
      <c r="K29" t="n">
        <v>20787057.2136043</v>
      </c>
      <c r="L29" t="n">
        <v>21246177.2296635</v>
      </c>
      <c r="M29" t="n">
        <v>21628243.1975094</v>
      </c>
      <c r="N29" t="n">
        <v>22247039.846594</v>
      </c>
      <c r="O29" t="n">
        <v>22757076.6615831</v>
      </c>
      <c r="P29" t="n">
        <v>22870813.8408646</v>
      </c>
      <c r="Q29" t="n">
        <v>24139766.6296958</v>
      </c>
      <c r="R29" t="n">
        <v>25056971.8034583</v>
      </c>
      <c r="S29" t="n">
        <v>24507776.7891171</v>
      </c>
      <c r="T29" t="n">
        <v>21716536.5067916</v>
      </c>
      <c r="U29" t="n">
        <v>22111561.0765053</v>
      </c>
      <c r="V29" t="n">
        <v>21805471.5281261</v>
      </c>
      <c r="W29" t="n">
        <v>22756197.5820576</v>
      </c>
      <c r="X29" t="n">
        <v>22929232.582718</v>
      </c>
      <c r="Y29" t="n">
        <v>23663791.9384047</v>
      </c>
      <c r="Z29" t="n">
        <v>23075744.6277204</v>
      </c>
      <c r="AA29" t="n">
        <v>22761393.1493544</v>
      </c>
      <c r="AB29" t="n">
        <v>23594351.8118292</v>
      </c>
      <c r="AC29" t="n">
        <v>23771080.6576366</v>
      </c>
      <c r="AD29" t="n">
        <v>23805435.8362696</v>
      </c>
      <c r="AE29" t="n">
        <v>17586889</v>
      </c>
      <c r="AF29" t="n">
        <v>18896730</v>
      </c>
    </row>
    <row r="30">
      <c r="A30" t="s">
        <v>164</v>
      </c>
      <c r="B30" t="s">
        <v>283</v>
      </c>
      <c r="C30" t="s">
        <v>165</v>
      </c>
      <c r="D30" t="s">
        <v>284</v>
      </c>
      <c r="E30" t="s">
        <v>8</v>
      </c>
      <c r="F30" t="n">
        <v>3603077.00708792</v>
      </c>
      <c r="G30" t="n">
        <v>2853945.53016466</v>
      </c>
      <c r="H30" t="n">
        <v>3115687.68601139</v>
      </c>
      <c r="I30" t="n">
        <v>3290316.05877849</v>
      </c>
      <c r="J30" t="n">
        <v>3050403.39967646</v>
      </c>
      <c r="K30" t="n">
        <v>2818635.37294682</v>
      </c>
      <c r="L30" t="n">
        <v>2671903.91837142</v>
      </c>
      <c r="M30" t="n">
        <v>2672407.09350119</v>
      </c>
      <c r="N30" t="n">
        <v>2913877.83981892</v>
      </c>
      <c r="O30" t="n">
        <v>3155818.01946951</v>
      </c>
      <c r="P30" t="n">
        <v>2906078.42123055</v>
      </c>
      <c r="Q30" t="n">
        <v>3061774.90328848</v>
      </c>
      <c r="R30" t="n">
        <v>3370013.47312042</v>
      </c>
      <c r="S30" t="n">
        <v>3371594.80077579</v>
      </c>
      <c r="T30" t="n">
        <v>2846913.84681002</v>
      </c>
      <c r="U30" t="n">
        <v>3060390.47745816</v>
      </c>
      <c r="V30" t="n">
        <v>2950713.43589798</v>
      </c>
      <c r="W30" t="n">
        <v>2607101.64112941</v>
      </c>
      <c r="X30" t="n">
        <v>2084140.86995861</v>
      </c>
      <c r="Y30" t="n">
        <v>2024206.62112784</v>
      </c>
      <c r="Z30" t="n">
        <v>1978593.24217225</v>
      </c>
      <c r="AA30" t="n">
        <v>2338108.46543174</v>
      </c>
      <c r="AB30" t="n">
        <v>2300063.93029558</v>
      </c>
      <c r="AC30" t="n">
        <v>1750064.09298213</v>
      </c>
      <c r="AD30" t="n">
        <v>1605109.71123791</v>
      </c>
      <c r="AE30" t="n">
        <v>1486993</v>
      </c>
      <c r="AF30" t="n">
        <v>1480155</v>
      </c>
    </row>
    <row r="31">
      <c r="A31" t="s">
        <v>166</v>
      </c>
      <c r="B31" t="s">
        <v>283</v>
      </c>
      <c r="C31" t="s">
        <v>167</v>
      </c>
      <c r="D31" t="s">
        <v>284</v>
      </c>
      <c r="E31" t="s">
        <v>8</v>
      </c>
      <c r="F31" t="n">
        <v>6841560.38937081</v>
      </c>
      <c r="G31" t="n">
        <v>7432978.3737181</v>
      </c>
      <c r="H31" t="n">
        <v>7671500.17519335</v>
      </c>
      <c r="I31" t="n">
        <v>7159924.3369611</v>
      </c>
      <c r="J31" t="n">
        <v>7131029.15431919</v>
      </c>
      <c r="K31" t="n">
        <v>7696431.11300093</v>
      </c>
      <c r="L31" t="n">
        <v>6780576.78491826</v>
      </c>
      <c r="M31" t="n">
        <v>6465309.75770226</v>
      </c>
      <c r="N31" t="n">
        <v>5722265.80295729</v>
      </c>
      <c r="O31" t="n">
        <v>5888004.14249681</v>
      </c>
      <c r="P31" t="n">
        <v>5622452.64878379</v>
      </c>
      <c r="Q31" t="n">
        <v>6155312.37124853</v>
      </c>
      <c r="R31" t="n">
        <v>6207372.23440528</v>
      </c>
      <c r="S31" t="n">
        <v>5188659.34198644</v>
      </c>
      <c r="T31" t="n">
        <v>3368463.41315005</v>
      </c>
      <c r="U31" t="n">
        <v>3879508.78359106</v>
      </c>
      <c r="V31" t="n">
        <v>3912225.99467158</v>
      </c>
      <c r="W31" t="n">
        <v>3894636.54137598</v>
      </c>
      <c r="X31" t="n">
        <v>4665521.68946096</v>
      </c>
      <c r="Y31" t="n">
        <v>4445339.26688242</v>
      </c>
      <c r="Z31" t="n">
        <v>4082408.90775297</v>
      </c>
      <c r="AA31" t="n">
        <v>3854040.43722936</v>
      </c>
      <c r="AB31" t="n">
        <v>3872031.78268264</v>
      </c>
      <c r="AC31" t="n">
        <v>3576171.08751202</v>
      </c>
      <c r="AD31" t="n">
        <v>3356623.40160752</v>
      </c>
      <c r="AE31" t="n">
        <v>727900</v>
      </c>
      <c r="AF31" t="n">
        <v>97062.0000000001</v>
      </c>
    </row>
    <row r="32">
      <c r="A32" t="s">
        <v>168</v>
      </c>
      <c r="B32" t="s">
        <v>283</v>
      </c>
      <c r="C32" t="s">
        <v>169</v>
      </c>
      <c r="D32" t="s">
        <v>284</v>
      </c>
      <c r="E32" t="s">
        <v>8</v>
      </c>
      <c r="F32" t="n">
        <v>1305406.54106049</v>
      </c>
      <c r="G32" t="n">
        <v>1510033.39963976</v>
      </c>
      <c r="H32" t="n">
        <v>1303192.05102812</v>
      </c>
      <c r="I32" t="n">
        <v>1024552.42723668</v>
      </c>
      <c r="J32" t="n">
        <v>835777.37759053</v>
      </c>
      <c r="K32" t="n">
        <v>695178.878423472</v>
      </c>
      <c r="L32" t="n">
        <v>732949.375350069</v>
      </c>
      <c r="M32" t="n">
        <v>796264.006494442</v>
      </c>
      <c r="N32" t="n">
        <v>836940.581049567</v>
      </c>
      <c r="O32" t="n">
        <v>1096435.91349551</v>
      </c>
      <c r="P32" t="n">
        <v>1258007.1637316</v>
      </c>
      <c r="Q32" t="n">
        <v>1330574.12354467</v>
      </c>
      <c r="R32" t="n">
        <v>1351681.3178789</v>
      </c>
      <c r="S32" t="n">
        <v>1486062.15247774</v>
      </c>
      <c r="T32" t="n">
        <v>1255387.48740517</v>
      </c>
      <c r="U32" t="n">
        <v>1453768.02741569</v>
      </c>
      <c r="V32" t="n">
        <v>1442276.48687005</v>
      </c>
      <c r="W32" t="n">
        <v>1870247.09619482</v>
      </c>
      <c r="X32" t="n">
        <v>2070496.11331491</v>
      </c>
      <c r="Y32" t="n">
        <v>2257686.78715607</v>
      </c>
      <c r="Z32" t="n">
        <v>2463141.96181555</v>
      </c>
      <c r="AA32" t="n">
        <v>2308741.77415274</v>
      </c>
      <c r="AB32" t="n">
        <v>2476453.1959821</v>
      </c>
      <c r="AC32" t="n">
        <v>2441365.9479345</v>
      </c>
      <c r="AD32" t="n">
        <v>2408333.16059351</v>
      </c>
      <c r="AE32" t="n">
        <v>1422279</v>
      </c>
      <c r="AF32" t="n">
        <v>1255796</v>
      </c>
    </row>
    <row r="33">
      <c r="A33" t="s">
        <v>170</v>
      </c>
      <c r="B33" t="s">
        <v>283</v>
      </c>
      <c r="C33" t="s">
        <v>171</v>
      </c>
      <c r="D33" t="s">
        <v>284</v>
      </c>
      <c r="E33" t="s">
        <v>8</v>
      </c>
      <c r="F33" t="n">
        <v>1869529.68411813</v>
      </c>
      <c r="G33" t="n">
        <v>1892681.56413081</v>
      </c>
      <c r="H33" t="n">
        <v>1888191.08470782</v>
      </c>
      <c r="I33" t="n">
        <v>1864741.14345029</v>
      </c>
      <c r="J33" t="n">
        <v>1844314.51822972</v>
      </c>
      <c r="K33" t="n">
        <v>1861250.9373244</v>
      </c>
      <c r="L33" t="n">
        <v>1866973.14401143</v>
      </c>
      <c r="M33" t="n">
        <v>1828276.72520211</v>
      </c>
      <c r="N33" t="n">
        <v>1783638.08323043</v>
      </c>
      <c r="O33" t="n">
        <v>1803241.83145327</v>
      </c>
      <c r="P33" t="n">
        <v>1785868.28904515</v>
      </c>
      <c r="Q33" t="n">
        <v>1831355.56526611</v>
      </c>
      <c r="R33" t="n">
        <v>1800345.06377226</v>
      </c>
      <c r="S33" t="n">
        <v>1657406.69347944</v>
      </c>
      <c r="T33" t="n">
        <v>1628183.88245864</v>
      </c>
      <c r="U33" t="n">
        <v>1553282.35591516</v>
      </c>
      <c r="V33" t="n">
        <v>1594403.90345443</v>
      </c>
      <c r="W33" t="n">
        <v>1545685.90738957</v>
      </c>
      <c r="X33" t="n">
        <v>1548553.73790973</v>
      </c>
      <c r="Y33" t="n">
        <v>1521120.47356515</v>
      </c>
      <c r="Z33" t="n">
        <v>1511490.2253409</v>
      </c>
      <c r="AA33" t="n">
        <v>1506819.24639175</v>
      </c>
      <c r="AB33" t="n">
        <v>1512041.53122994</v>
      </c>
      <c r="AC33" t="n">
        <v>1540589.76840437</v>
      </c>
      <c r="AD33" t="n">
        <v>1550736.73501593</v>
      </c>
      <c r="AE33" t="n">
        <v>1530571</v>
      </c>
      <c r="AF33" t="n">
        <v>1505214</v>
      </c>
    </row>
    <row r="34">
      <c r="A34" t="s">
        <v>172</v>
      </c>
      <c r="B34" t="s">
        <v>283</v>
      </c>
      <c r="C34" t="s">
        <v>173</v>
      </c>
      <c r="D34" t="s">
        <v>284</v>
      </c>
      <c r="E34" t="s">
        <v>8</v>
      </c>
      <c r="F34" t="n">
        <v>19760730.4767953</v>
      </c>
      <c r="G34" t="n">
        <v>20352970.996289</v>
      </c>
      <c r="H34" t="n">
        <v>20527818.6039008</v>
      </c>
      <c r="I34" t="n">
        <v>20406532.7912566</v>
      </c>
      <c r="J34" t="n">
        <v>19940247.8459592</v>
      </c>
      <c r="K34" t="n">
        <v>19151018.1710647</v>
      </c>
      <c r="L34" t="n">
        <v>19048731.5408523</v>
      </c>
      <c r="M34" t="n">
        <v>18722538.2417673</v>
      </c>
      <c r="N34" t="n">
        <v>18025774.3654796</v>
      </c>
      <c r="O34" t="n">
        <v>17362585.9535402</v>
      </c>
      <c r="P34" t="n">
        <v>16602263.8190804</v>
      </c>
      <c r="Q34" t="n">
        <v>16592947.7443847</v>
      </c>
      <c r="R34" t="n">
        <v>16777277.4998138</v>
      </c>
      <c r="S34" t="n">
        <v>15834620.6408962</v>
      </c>
      <c r="T34" t="n">
        <v>14534099.4791929</v>
      </c>
      <c r="U34" t="n">
        <v>14254416.7558338</v>
      </c>
      <c r="V34" t="n">
        <v>14062882.9478155</v>
      </c>
      <c r="W34" t="n">
        <v>13505147.7295849</v>
      </c>
      <c r="X34" t="n">
        <v>14525838.2937044</v>
      </c>
      <c r="Y34" t="n">
        <v>14713499.2641587</v>
      </c>
      <c r="Z34" t="n">
        <v>13865872.9730459</v>
      </c>
      <c r="AA34" t="n">
        <v>14420206.4395711</v>
      </c>
      <c r="AB34" t="n">
        <v>14848628.2185357</v>
      </c>
      <c r="AC34" t="n">
        <v>14845146.8623661</v>
      </c>
      <c r="AD34" t="n">
        <v>13919257.4368982</v>
      </c>
      <c r="AE34" t="n">
        <v>8949706</v>
      </c>
      <c r="AF34" t="n">
        <v>7956002</v>
      </c>
    </row>
    <row r="35">
      <c r="A35" t="s">
        <v>174</v>
      </c>
      <c r="B35" t="s">
        <v>283</v>
      </c>
      <c r="C35" t="s">
        <v>175</v>
      </c>
      <c r="D35" t="s">
        <v>284</v>
      </c>
      <c r="E35" t="s">
        <v>8</v>
      </c>
      <c r="F35" t="n">
        <v>11524367.6261045</v>
      </c>
      <c r="G35" t="n">
        <v>13675618.5614854</v>
      </c>
      <c r="H35" t="n">
        <v>15569451.5173998</v>
      </c>
      <c r="I35" t="n">
        <v>17539628.3660974</v>
      </c>
      <c r="J35" t="n">
        <v>18404723.1917392</v>
      </c>
      <c r="K35" t="n">
        <v>19924873.4292042</v>
      </c>
      <c r="L35" t="n">
        <v>21574246.1234527</v>
      </c>
      <c r="M35" t="n">
        <v>22514154.0039661</v>
      </c>
      <c r="N35" t="n">
        <v>23203463.5757318</v>
      </c>
      <c r="O35" t="n">
        <v>23013915.6454913</v>
      </c>
      <c r="P35" t="n">
        <v>23676656.2365203</v>
      </c>
      <c r="Q35" t="n">
        <v>24215889.3754867</v>
      </c>
      <c r="R35" t="n">
        <v>24633260.623615</v>
      </c>
      <c r="S35" t="n">
        <v>24939229.2972301</v>
      </c>
      <c r="T35" t="n">
        <v>24312843.5029536</v>
      </c>
      <c r="U35" t="n">
        <v>24205838.9175559</v>
      </c>
      <c r="V35" t="n">
        <v>23995386.3983832</v>
      </c>
      <c r="W35" t="n">
        <v>24100393.3543798</v>
      </c>
      <c r="X35" t="n">
        <v>24915497.3525309</v>
      </c>
      <c r="Y35" t="n">
        <v>25024938.6425589</v>
      </c>
      <c r="Z35" t="n">
        <v>25991169.72889</v>
      </c>
      <c r="AA35" t="n">
        <v>26224375.8524993</v>
      </c>
      <c r="AB35" t="n">
        <v>26378434.4850674</v>
      </c>
      <c r="AC35" t="n">
        <v>26962368.3086452</v>
      </c>
      <c r="AD35" t="n">
        <v>27235291.8826064</v>
      </c>
      <c r="AE35" t="n">
        <v>27412976</v>
      </c>
      <c r="AF35" t="n">
        <v>28248402</v>
      </c>
    </row>
    <row r="36">
      <c r="A36" t="s">
        <v>176</v>
      </c>
      <c r="B36" t="s">
        <v>283</v>
      </c>
      <c r="C36" t="s">
        <v>177</v>
      </c>
      <c r="D36" t="s">
        <v>284</v>
      </c>
      <c r="E36" t="s">
        <v>8</v>
      </c>
      <c r="F36" t="n">
        <v>5179689.61444768</v>
      </c>
      <c r="G36" t="n">
        <v>5560955.94539077</v>
      </c>
      <c r="H36" t="n">
        <v>5522826.71602658</v>
      </c>
      <c r="I36" t="n">
        <v>5533078.56760195</v>
      </c>
      <c r="J36" t="n">
        <v>5363619.0262015</v>
      </c>
      <c r="K36" t="n">
        <v>5470055.64334759</v>
      </c>
      <c r="L36" t="n">
        <v>5400018.0698811</v>
      </c>
      <c r="M36" t="n">
        <v>5415256.17320014</v>
      </c>
      <c r="N36" t="n">
        <v>5475059.71963697</v>
      </c>
      <c r="O36" t="n">
        <v>5388637.53003909</v>
      </c>
      <c r="P36" t="n">
        <v>5638240.05891322</v>
      </c>
      <c r="Q36" t="n">
        <v>5465790.94976786</v>
      </c>
      <c r="R36" t="n">
        <v>5341486.03456803</v>
      </c>
      <c r="S36" t="n">
        <v>5022394.47642015</v>
      </c>
      <c r="T36" t="n">
        <v>4834864.68644352</v>
      </c>
      <c r="U36" t="n">
        <v>4799979.04340032</v>
      </c>
      <c r="V36" t="n">
        <v>4457081.55566089</v>
      </c>
      <c r="W36" t="n">
        <v>4287751.49000402</v>
      </c>
      <c r="X36" t="n">
        <v>4480417.07051706</v>
      </c>
      <c r="Y36" t="n">
        <v>4632117.91660487</v>
      </c>
      <c r="Z36" t="n">
        <v>5004728.51721637</v>
      </c>
      <c r="AA36" t="n">
        <v>4827545.34847536</v>
      </c>
      <c r="AB36" t="n">
        <v>4663841.22782731</v>
      </c>
      <c r="AC36" t="n">
        <v>4713870.76335423</v>
      </c>
      <c r="AD36" t="n">
        <v>4690054.10895613</v>
      </c>
      <c r="AE36" t="n">
        <v>4576623</v>
      </c>
      <c r="AF36" t="n">
        <v>4528212</v>
      </c>
    </row>
    <row r="37">
      <c r="A37" t="s">
        <v>178</v>
      </c>
      <c r="B37" t="s">
        <v>283</v>
      </c>
      <c r="C37" t="s">
        <v>179</v>
      </c>
      <c r="D37" t="s">
        <v>284</v>
      </c>
      <c r="E37" t="s">
        <v>8</v>
      </c>
      <c r="F37" t="n">
        <v>2740432.67145202</v>
      </c>
      <c r="G37" t="n">
        <v>3444703.13314733</v>
      </c>
      <c r="H37" t="n">
        <v>4298457.30750997</v>
      </c>
      <c r="I37" t="n">
        <v>4850898.6821508</v>
      </c>
      <c r="J37" t="n">
        <v>5166103.42856954</v>
      </c>
      <c r="K37" t="n">
        <v>5690000.71118756</v>
      </c>
      <c r="L37" t="n">
        <v>6255169.28182826</v>
      </c>
      <c r="M37" t="n">
        <v>6470035.00197729</v>
      </c>
      <c r="N37" t="n">
        <v>6588678.72484311</v>
      </c>
      <c r="O37" t="n">
        <v>6332450.60319211</v>
      </c>
      <c r="P37" t="n">
        <v>6280320.54094223</v>
      </c>
      <c r="Q37" t="n">
        <v>6544842.25257738</v>
      </c>
      <c r="R37" t="n">
        <v>6836137.64507812</v>
      </c>
      <c r="S37" t="n">
        <v>7293199.6612918</v>
      </c>
      <c r="T37" t="n">
        <v>7355028.93043843</v>
      </c>
      <c r="U37" t="n">
        <v>7714115.33422256</v>
      </c>
      <c r="V37" t="n">
        <v>7891369.94914963</v>
      </c>
      <c r="W37" t="n">
        <v>7970873.4315544</v>
      </c>
      <c r="X37" t="n">
        <v>8301496.7983908</v>
      </c>
      <c r="Y37" t="n">
        <v>8370290.13927065</v>
      </c>
      <c r="Z37" t="n">
        <v>8711706.47591629</v>
      </c>
      <c r="AA37" t="n">
        <v>9134107.06568522</v>
      </c>
      <c r="AB37" t="n">
        <v>9203951.71883265</v>
      </c>
      <c r="AC37" t="n">
        <v>9513294.1882455</v>
      </c>
      <c r="AD37" t="n">
        <v>9453415.33450386</v>
      </c>
      <c r="AE37" t="n">
        <v>10300898</v>
      </c>
      <c r="AF37" t="n">
        <v>10390582</v>
      </c>
    </row>
    <row r="38">
      <c r="A38" t="s">
        <v>180</v>
      </c>
      <c r="B38" t="s">
        <v>283</v>
      </c>
      <c r="C38" t="s">
        <v>181</v>
      </c>
      <c r="D38" t="s">
        <v>284</v>
      </c>
      <c r="E38" t="s">
        <v>8</v>
      </c>
      <c r="F38" t="n">
        <v>4736229.62880024</v>
      </c>
      <c r="G38" t="n">
        <v>5632227.82024975</v>
      </c>
      <c r="H38" t="n">
        <v>6206991.0090264</v>
      </c>
      <c r="I38" t="n">
        <v>7598852.27431448</v>
      </c>
      <c r="J38" t="n">
        <v>8232307.56922665</v>
      </c>
      <c r="K38" t="n">
        <v>9051038.00173535</v>
      </c>
      <c r="L38" t="n">
        <v>10132045.4755613</v>
      </c>
      <c r="M38" t="n">
        <v>10871622.4089353</v>
      </c>
      <c r="N38" t="n">
        <v>11424361.0136161</v>
      </c>
      <c r="O38" t="n">
        <v>11682738.7069842</v>
      </c>
      <c r="P38" t="n">
        <v>12278034.4191843</v>
      </c>
      <c r="Q38" t="n">
        <v>12691967.5519469</v>
      </c>
      <c r="R38" t="n">
        <v>12893719.5164046</v>
      </c>
      <c r="S38" t="n">
        <v>12965365.1878295</v>
      </c>
      <c r="T38" t="n">
        <v>12388337.0584879</v>
      </c>
      <c r="U38" t="n">
        <v>11839203.0710767</v>
      </c>
      <c r="V38" t="n">
        <v>11736830.4048536</v>
      </c>
      <c r="W38" t="n">
        <v>11930574.625601</v>
      </c>
      <c r="X38" t="n">
        <v>12206310.7162293</v>
      </c>
      <c r="Y38" t="n">
        <v>12077239.5230023</v>
      </c>
      <c r="Z38" t="n">
        <v>12310060.8993029</v>
      </c>
      <c r="AA38" t="n">
        <v>12249907.5582339</v>
      </c>
      <c r="AB38" t="n">
        <v>12515404.6014437</v>
      </c>
      <c r="AC38" t="n">
        <v>12731756.2520879</v>
      </c>
      <c r="AD38" t="n">
        <v>13106961.3465413</v>
      </c>
      <c r="AE38" t="n">
        <v>12535455</v>
      </c>
      <c r="AF38" t="n">
        <v>13329608</v>
      </c>
    </row>
    <row r="39">
      <c r="A39" t="s">
        <v>182</v>
      </c>
      <c r="B39" t="s">
        <v>283</v>
      </c>
      <c r="C39" t="s">
        <v>183</v>
      </c>
      <c r="D39" t="s">
        <v>284</v>
      </c>
      <c r="E39" t="s">
        <v>8</v>
      </c>
      <c r="F39" t="n">
        <v>22337305.2202468</v>
      </c>
      <c r="G39" t="n">
        <v>22759087.8936755</v>
      </c>
      <c r="H39" t="n">
        <v>23161233.6253174</v>
      </c>
      <c r="I39" t="n">
        <v>22110307.4579092</v>
      </c>
      <c r="J39" t="n">
        <v>21671353.2711787</v>
      </c>
      <c r="K39" t="n">
        <v>21687834.3323772</v>
      </c>
      <c r="L39" t="n">
        <v>21178097.860786</v>
      </c>
      <c r="M39" t="n">
        <v>21081877.9616653</v>
      </c>
      <c r="N39" t="n">
        <v>21328161.4287011</v>
      </c>
      <c r="O39" t="n">
        <v>21260430.3737065</v>
      </c>
      <c r="P39" t="n">
        <v>21789089.4918581</v>
      </c>
      <c r="Q39" t="n">
        <v>21746395.6122134</v>
      </c>
      <c r="R39" t="n">
        <v>22589519.7070097</v>
      </c>
      <c r="S39" t="n">
        <v>19345288.6753336</v>
      </c>
      <c r="T39" t="n">
        <v>19395677.2055567</v>
      </c>
      <c r="U39" t="n">
        <v>19424287.4025072</v>
      </c>
      <c r="V39" t="n">
        <v>19119351.8117011</v>
      </c>
      <c r="W39" t="n">
        <v>19513483.7422331</v>
      </c>
      <c r="X39" t="n">
        <v>21183737.1707839</v>
      </c>
      <c r="Y39" t="n">
        <v>21115777.5049029</v>
      </c>
      <c r="Z39" t="n">
        <v>21812171.5384627</v>
      </c>
      <c r="AA39" t="n">
        <v>21422192.7305375</v>
      </c>
      <c r="AB39" t="n">
        <v>21849531.8952065</v>
      </c>
      <c r="AC39" t="n">
        <v>21927786.7807094</v>
      </c>
      <c r="AD39" t="n">
        <v>21617502.3080116</v>
      </c>
      <c r="AE39" t="n">
        <v>22661723</v>
      </c>
      <c r="AF39" t="n">
        <v>24488126</v>
      </c>
    </row>
    <row r="40">
      <c r="A40" t="s">
        <v>184</v>
      </c>
      <c r="B40" t="s">
        <v>283</v>
      </c>
      <c r="C40" t="s">
        <v>185</v>
      </c>
      <c r="D40" t="s">
        <v>284</v>
      </c>
      <c r="E40" t="s">
        <v>8</v>
      </c>
      <c r="F40" t="n">
        <v>51862563.6051624</v>
      </c>
      <c r="G40" t="n">
        <v>52577037.9803158</v>
      </c>
      <c r="H40" t="n">
        <v>52788247.538544</v>
      </c>
      <c r="I40" t="n">
        <v>52222371.900899</v>
      </c>
      <c r="J40" t="n">
        <v>52680937.5352743</v>
      </c>
      <c r="K40" t="n">
        <v>54128813.3970708</v>
      </c>
      <c r="L40" t="n">
        <v>54815020.9890719</v>
      </c>
      <c r="M40" t="n">
        <v>55488149.952967</v>
      </c>
      <c r="N40" t="n">
        <v>56316931.4049824</v>
      </c>
      <c r="O40" t="n">
        <v>57213185.2148521</v>
      </c>
      <c r="P40" t="n">
        <v>58335064.4481402</v>
      </c>
      <c r="Q40" t="n">
        <v>59570652.7420347</v>
      </c>
      <c r="R40" t="n">
        <v>59598455.5917603</v>
      </c>
      <c r="S40" t="n">
        <v>59932405.5705948</v>
      </c>
      <c r="T40" t="n">
        <v>59953053.7640258</v>
      </c>
      <c r="U40" t="n">
        <v>60816117.4922276</v>
      </c>
      <c r="V40" t="n">
        <v>61488158.4239386</v>
      </c>
      <c r="W40" t="n">
        <v>61934619.9794701</v>
      </c>
      <c r="X40" t="n">
        <v>63085869.91097</v>
      </c>
      <c r="Y40" t="n">
        <v>64062330.5816782</v>
      </c>
      <c r="Z40" t="n">
        <v>64689429.7455048</v>
      </c>
      <c r="AA40" t="n">
        <v>64915045.6070991</v>
      </c>
      <c r="AB40" t="n">
        <v>65359644.7115119</v>
      </c>
      <c r="AC40" t="n">
        <v>65517579.9328893</v>
      </c>
      <c r="AD40" t="n">
        <v>66181708.4580288</v>
      </c>
      <c r="AE40" t="n">
        <v>65782379</v>
      </c>
      <c r="AF40" t="n">
        <v>65202372</v>
      </c>
    </row>
    <row r="41">
      <c r="A41" t="s">
        <v>186</v>
      </c>
      <c r="B41" t="s">
        <v>283</v>
      </c>
      <c r="C41" t="s">
        <v>187</v>
      </c>
      <c r="D41" t="s">
        <v>284</v>
      </c>
      <c r="E41" t="s">
        <v>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283</v>
      </c>
      <c r="C42" t="s">
        <v>189</v>
      </c>
      <c r="D42" t="s">
        <v>284</v>
      </c>
      <c r="E42" t="s">
        <v>8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283</v>
      </c>
      <c r="C43" t="s">
        <v>191</v>
      </c>
      <c r="D43" t="s">
        <v>284</v>
      </c>
      <c r="E43" t="s">
        <v>8</v>
      </c>
      <c r="F43" t="n">
        <v>21709817.2758247</v>
      </c>
      <c r="G43" t="n">
        <v>23224168.633174</v>
      </c>
      <c r="H43" t="n">
        <v>23872988.729838</v>
      </c>
      <c r="I43" t="n">
        <v>24490714.0818327</v>
      </c>
      <c r="J43" t="n">
        <v>24428784.5269762</v>
      </c>
      <c r="K43" t="n">
        <v>27207645.2691741</v>
      </c>
      <c r="L43" t="n">
        <v>28469412.6248369</v>
      </c>
      <c r="M43" t="n">
        <v>29444351.8418919</v>
      </c>
      <c r="N43" t="n">
        <v>31036274.1017977</v>
      </c>
      <c r="O43" t="n">
        <v>32742520.1053905</v>
      </c>
      <c r="P43" t="n">
        <v>35406744.5369553</v>
      </c>
      <c r="Q43" t="n">
        <v>37844775.9754778</v>
      </c>
      <c r="R43" t="n">
        <v>40624606.974733</v>
      </c>
      <c r="S43" t="n">
        <v>42826354.4455526</v>
      </c>
      <c r="T43" t="n">
        <v>40621609.7570852</v>
      </c>
      <c r="U43" t="n">
        <v>40526440.3790212</v>
      </c>
      <c r="V43" t="n">
        <v>42197606.2779286</v>
      </c>
      <c r="W43" t="n">
        <v>42429291.5026972</v>
      </c>
      <c r="X43" t="n">
        <v>43695342.3754915</v>
      </c>
      <c r="Y43" t="n">
        <v>43665698.4047508</v>
      </c>
      <c r="Z43" t="n">
        <v>44887285.800578</v>
      </c>
      <c r="AA43" t="n">
        <v>46554019.0568473</v>
      </c>
      <c r="AB43" t="n">
        <v>46170358.9529697</v>
      </c>
      <c r="AC43" t="n">
        <v>46429745.2552469</v>
      </c>
      <c r="AD43" t="n">
        <v>47094030.4541013</v>
      </c>
      <c r="AE43" t="n">
        <v>46565432</v>
      </c>
      <c r="AF43" t="n">
        <v>47164370</v>
      </c>
    </row>
    <row r="44">
      <c r="A44" t="s">
        <v>192</v>
      </c>
      <c r="B44" t="s">
        <v>283</v>
      </c>
      <c r="C44" t="s">
        <v>193</v>
      </c>
      <c r="D44" t="s">
        <v>284</v>
      </c>
      <c r="E44" t="s">
        <v>8</v>
      </c>
      <c r="F44" t="n">
        <v>352935531.259141</v>
      </c>
      <c r="G44" t="n">
        <v>365678659.198953</v>
      </c>
      <c r="H44" t="n">
        <v>371153515.791844</v>
      </c>
      <c r="I44" t="n">
        <v>365291859.880456</v>
      </c>
      <c r="J44" t="n">
        <v>363769224.36573</v>
      </c>
      <c r="K44" t="n">
        <v>372999941.213863</v>
      </c>
      <c r="L44" t="n">
        <v>369860758.428108</v>
      </c>
      <c r="M44" t="n">
        <v>370764284.197121</v>
      </c>
      <c r="N44" t="n">
        <v>376262737.179804</v>
      </c>
      <c r="O44" t="n">
        <v>385313371.091712</v>
      </c>
      <c r="P44" t="n">
        <v>394966740.319211</v>
      </c>
      <c r="Q44" t="n">
        <v>399755219.898039</v>
      </c>
      <c r="R44" t="n">
        <v>406215028.701739</v>
      </c>
      <c r="S44" t="n">
        <v>398884531.558439</v>
      </c>
      <c r="T44" t="n">
        <v>362077333.292264</v>
      </c>
      <c r="U44" t="n">
        <v>379436747.060728</v>
      </c>
      <c r="V44" t="n">
        <v>376064406.188931</v>
      </c>
      <c r="W44" t="n">
        <v>379661322.653032</v>
      </c>
      <c r="X44" t="n">
        <v>388275578.68342</v>
      </c>
      <c r="Y44" t="n">
        <v>388796092.241325</v>
      </c>
      <c r="Z44" t="n">
        <v>394745471.869404</v>
      </c>
      <c r="AA44" t="n">
        <v>396067954.153128</v>
      </c>
      <c r="AB44" t="n">
        <v>406909362.520898</v>
      </c>
      <c r="AC44" t="n">
        <v>409098784.563991</v>
      </c>
      <c r="AD44" t="n">
        <v>403884351.000959</v>
      </c>
      <c r="AE44" t="n">
        <v>377001404</v>
      </c>
      <c r="AF44" t="n">
        <v>392361623</v>
      </c>
    </row>
    <row r="45">
      <c r="A45" t="s">
        <v>194</v>
      </c>
      <c r="B45" t="s">
        <v>283</v>
      </c>
      <c r="C45" t="s">
        <v>195</v>
      </c>
      <c r="D45" t="s">
        <v>284</v>
      </c>
      <c r="E45" t="s">
        <v>8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283</v>
      </c>
      <c r="C46" t="s">
        <v>197</v>
      </c>
      <c r="D46" t="s">
        <v>284</v>
      </c>
      <c r="E46" t="s">
        <v>8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283</v>
      </c>
      <c r="C47" t="s">
        <v>199</v>
      </c>
      <c r="D47" t="s">
        <v>284</v>
      </c>
      <c r="E47" t="s">
        <v>8</v>
      </c>
      <c r="F47" t="n">
        <v>18323337.9954172</v>
      </c>
      <c r="G47" t="n">
        <v>18936343.4328385</v>
      </c>
      <c r="H47" t="n">
        <v>19596449.2464689</v>
      </c>
      <c r="I47" t="n">
        <v>20061444.605472</v>
      </c>
      <c r="J47" t="n">
        <v>20450810.4012302</v>
      </c>
      <c r="K47" t="n">
        <v>21178865.7845238</v>
      </c>
      <c r="L47" t="n">
        <v>21129342.2115697</v>
      </c>
      <c r="M47" t="n">
        <v>21159266.7282808</v>
      </c>
      <c r="N47" t="n">
        <v>21602709.9601468</v>
      </c>
      <c r="O47" t="n">
        <v>21753404.3632286</v>
      </c>
      <c r="P47" t="n">
        <v>21805762.3204666</v>
      </c>
      <c r="Q47" t="n">
        <v>22231612.0843718</v>
      </c>
      <c r="R47" t="n">
        <v>22797333.3776375</v>
      </c>
      <c r="S47" t="n">
        <v>23154730.5396166</v>
      </c>
      <c r="T47" t="n">
        <v>23086126.8688436</v>
      </c>
      <c r="U47" t="n">
        <v>23081636.4975076</v>
      </c>
      <c r="V47" t="n">
        <v>23695976.0901382</v>
      </c>
      <c r="W47" t="n">
        <v>24032520.5089804</v>
      </c>
      <c r="X47" t="n">
        <v>24368152.0807093</v>
      </c>
      <c r="Y47" t="n">
        <v>24791916.3875494</v>
      </c>
      <c r="Z47" t="n">
        <v>25080825.4021901</v>
      </c>
      <c r="AA47" t="n">
        <v>25376735.0321646</v>
      </c>
      <c r="AB47" t="n">
        <v>26036646.8532322</v>
      </c>
      <c r="AC47" t="n">
        <v>26670738.1048765</v>
      </c>
      <c r="AD47" t="n">
        <v>27224951.8210631</v>
      </c>
      <c r="AE47" t="n">
        <v>27896887</v>
      </c>
      <c r="AF47" t="n">
        <v>28468697</v>
      </c>
    </row>
    <row r="48">
      <c r="A48" t="s">
        <v>200</v>
      </c>
      <c r="B48" t="s">
        <v>283</v>
      </c>
      <c r="C48" t="s">
        <v>201</v>
      </c>
      <c r="D48" t="s">
        <v>284</v>
      </c>
      <c r="E48" t="s">
        <v>8</v>
      </c>
      <c r="F48" t="n">
        <v>57675307.373333</v>
      </c>
      <c r="G48" t="n">
        <v>59375113.4697818</v>
      </c>
      <c r="H48" t="n">
        <v>61001356.1265193</v>
      </c>
      <c r="I48" t="n">
        <v>62283975.0709295</v>
      </c>
      <c r="J48" t="n">
        <v>63861239.8345909</v>
      </c>
      <c r="K48" t="n">
        <v>64432847.8509245</v>
      </c>
      <c r="L48" t="n">
        <v>65414947.2969644</v>
      </c>
      <c r="M48" t="n">
        <v>65945691.8061951</v>
      </c>
      <c r="N48" t="n">
        <v>67498432.8266792</v>
      </c>
      <c r="O48" t="n">
        <v>68585490.9782256</v>
      </c>
      <c r="P48" t="n">
        <v>69680746.0661883</v>
      </c>
      <c r="Q48" t="n">
        <v>70967252.9369927</v>
      </c>
      <c r="R48" t="n">
        <v>72710151.0873578</v>
      </c>
      <c r="S48" t="n">
        <v>73430079.1914136</v>
      </c>
      <c r="T48" t="n">
        <v>74261262.9594285</v>
      </c>
      <c r="U48" t="n">
        <v>75222100.5967934</v>
      </c>
      <c r="V48" t="n">
        <v>76763270.8581088</v>
      </c>
      <c r="W48" t="n">
        <v>79031757.6702267</v>
      </c>
      <c r="X48" t="n">
        <v>80570667.5547793</v>
      </c>
      <c r="Y48" t="n">
        <v>81517208.643323</v>
      </c>
      <c r="Z48" t="n">
        <v>84061171.4383961</v>
      </c>
      <c r="AA48" t="n">
        <v>86227226.4530609</v>
      </c>
      <c r="AB48" t="n">
        <v>86966225.2687021</v>
      </c>
      <c r="AC48" t="n">
        <v>88899029.3651152</v>
      </c>
      <c r="AD48" t="n">
        <v>90621712.3127586</v>
      </c>
      <c r="AE48" t="n">
        <v>91552950</v>
      </c>
      <c r="AF48" t="n">
        <v>94101402</v>
      </c>
    </row>
    <row r="49">
      <c r="A49" t="s">
        <v>202</v>
      </c>
      <c r="B49" t="s">
        <v>283</v>
      </c>
      <c r="C49" t="s">
        <v>203</v>
      </c>
      <c r="D49" t="s">
        <v>284</v>
      </c>
      <c r="E49" t="s">
        <v>8</v>
      </c>
      <c r="F49" t="n">
        <v>15628810.1786618</v>
      </c>
      <c r="G49" t="n">
        <v>15869370.5524119</v>
      </c>
      <c r="H49" t="n">
        <v>16015011.6147769</v>
      </c>
      <c r="I49" t="n">
        <v>16091242.1641121</v>
      </c>
      <c r="J49" t="n">
        <v>16292140.6590843</v>
      </c>
      <c r="K49" t="n">
        <v>16422691.8055814</v>
      </c>
      <c r="L49" t="n">
        <v>16516195.0665253</v>
      </c>
      <c r="M49" t="n">
        <v>16719915.7076348</v>
      </c>
      <c r="N49" t="n">
        <v>16928037.9914222</v>
      </c>
      <c r="O49" t="n">
        <v>17026716.9603779</v>
      </c>
      <c r="P49" t="n">
        <v>17207906.304716</v>
      </c>
      <c r="Q49" t="n">
        <v>17450546.4911554</v>
      </c>
      <c r="R49" t="n">
        <v>17696962.3904064</v>
      </c>
      <c r="S49" t="n">
        <v>17903096.3941121</v>
      </c>
      <c r="T49" t="n">
        <v>18097881.7113153</v>
      </c>
      <c r="U49" t="n">
        <v>18215624.0040868</v>
      </c>
      <c r="V49" t="n">
        <v>18717617.6545261</v>
      </c>
      <c r="W49" t="n">
        <v>18801722.2427549</v>
      </c>
      <c r="X49" t="n">
        <v>18716922.283576</v>
      </c>
      <c r="Y49" t="n">
        <v>18730344.086238</v>
      </c>
      <c r="Z49" t="n">
        <v>18724356.8081553</v>
      </c>
      <c r="AA49" t="n">
        <v>18864486.2500623</v>
      </c>
      <c r="AB49" t="n">
        <v>19038962.5738214</v>
      </c>
      <c r="AC49" t="n">
        <v>19168632.5815365</v>
      </c>
      <c r="AD49" t="n">
        <v>19431579.9060367</v>
      </c>
      <c r="AE49" t="n">
        <v>19562268</v>
      </c>
      <c r="AF49" t="n">
        <v>19647319</v>
      </c>
    </row>
    <row r="50">
      <c r="A50" t="s">
        <v>204</v>
      </c>
      <c r="B50" t="s">
        <v>283</v>
      </c>
      <c r="C50" t="s">
        <v>205</v>
      </c>
      <c r="D50" t="s">
        <v>284</v>
      </c>
      <c r="E50" t="s">
        <v>8</v>
      </c>
      <c r="F50" t="n">
        <v>23260514.3093195</v>
      </c>
      <c r="G50" t="n">
        <v>24127145.9236177</v>
      </c>
      <c r="H50" t="n">
        <v>24960512.3642904</v>
      </c>
      <c r="I50" t="n">
        <v>25745698.3624641</v>
      </c>
      <c r="J50" t="n">
        <v>26821494.0720624</v>
      </c>
      <c r="K50" t="n">
        <v>26348097.6127058</v>
      </c>
      <c r="L50" t="n">
        <v>27391465.0520684</v>
      </c>
      <c r="M50" t="n">
        <v>27707791.8680166</v>
      </c>
      <c r="N50" t="n">
        <v>28644962.6823708</v>
      </c>
      <c r="O50" t="n">
        <v>29547933.9820689</v>
      </c>
      <c r="P50" t="n">
        <v>30485864.6223557</v>
      </c>
      <c r="Q50" t="n">
        <v>31105382.7838691</v>
      </c>
      <c r="R50" t="n">
        <v>32052709.487748</v>
      </c>
      <c r="S50" t="n">
        <v>32175125.1368763</v>
      </c>
      <c r="T50" t="n">
        <v>32946219.5587146</v>
      </c>
      <c r="U50" t="n">
        <v>33848831.6182963</v>
      </c>
      <c r="V50" t="n">
        <v>34248620.2472629</v>
      </c>
      <c r="W50" t="n">
        <v>36146706.7912413</v>
      </c>
      <c r="X50" t="n">
        <v>37449435.9850849</v>
      </c>
      <c r="Y50" t="n">
        <v>37954055.5910641</v>
      </c>
      <c r="Z50" t="n">
        <v>40252809.5007098</v>
      </c>
      <c r="AA50" t="n">
        <v>42015175.8872615</v>
      </c>
      <c r="AB50" t="n">
        <v>41895204.9442887</v>
      </c>
      <c r="AC50" t="n">
        <v>43068523.4357221</v>
      </c>
      <c r="AD50" t="n">
        <v>43975298.8022365</v>
      </c>
      <c r="AE50" t="n">
        <v>44093795</v>
      </c>
      <c r="AF50" t="n">
        <v>45985386</v>
      </c>
    </row>
    <row r="51">
      <c r="A51" t="s">
        <v>206</v>
      </c>
      <c r="B51" t="s">
        <v>283</v>
      </c>
      <c r="C51" t="s">
        <v>207</v>
      </c>
      <c r="D51" t="s">
        <v>284</v>
      </c>
      <c r="E51" t="s">
        <v>8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283</v>
      </c>
      <c r="C52" t="s">
        <v>209</v>
      </c>
      <c r="D52" t="s">
        <v>284</v>
      </c>
      <c r="E52" t="s">
        <v>8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283</v>
      </c>
      <c r="C53" t="s">
        <v>211</v>
      </c>
      <c r="D53" t="s">
        <v>284</v>
      </c>
      <c r="E53" t="s">
        <v>8</v>
      </c>
      <c r="F53" t="n">
        <v>8453713.76291493</v>
      </c>
      <c r="G53" t="n">
        <v>8264748.4414513</v>
      </c>
      <c r="H53" t="n">
        <v>7955808.01923432</v>
      </c>
      <c r="I53" t="n">
        <v>7709651.9786603</v>
      </c>
      <c r="J53" t="n">
        <v>7377171.44146571</v>
      </c>
      <c r="K53" t="n">
        <v>7739397.84298127</v>
      </c>
      <c r="L53" t="n">
        <v>7343816.01920221</v>
      </c>
      <c r="M53" t="n">
        <v>7775105.53432948</v>
      </c>
      <c r="N53" t="n">
        <v>7621958.61384106</v>
      </c>
      <c r="O53" t="n">
        <v>7494932.49269436</v>
      </c>
      <c r="P53" t="n">
        <v>7731786.76122202</v>
      </c>
      <c r="Q53" t="n">
        <v>7896836.22198543</v>
      </c>
      <c r="R53" t="n">
        <v>7665524.06901263</v>
      </c>
      <c r="S53" t="n">
        <v>7502854.96780258</v>
      </c>
      <c r="T53" t="n">
        <v>7370971.58722807</v>
      </c>
      <c r="U53" t="n">
        <v>7141888.1590182</v>
      </c>
      <c r="V53" t="n">
        <v>7015400.53330366</v>
      </c>
      <c r="W53" t="n">
        <v>7458302.37919162</v>
      </c>
      <c r="X53" t="n">
        <v>7746540.66667193</v>
      </c>
      <c r="Y53" t="n">
        <v>7711958.45209101</v>
      </c>
      <c r="Z53" t="n">
        <v>7587454.82336901</v>
      </c>
      <c r="AA53" t="n">
        <v>7052526.67669254</v>
      </c>
      <c r="AB53" t="n">
        <v>6897145.99407492</v>
      </c>
      <c r="AC53" t="n">
        <v>6807505.3832956</v>
      </c>
      <c r="AD53" t="n">
        <v>6572729.94798064</v>
      </c>
      <c r="AE53" t="n">
        <v>5134091</v>
      </c>
      <c r="AF53" t="n">
        <v>5325852</v>
      </c>
    </row>
    <row r="54">
      <c r="A54" t="s">
        <v>212</v>
      </c>
      <c r="B54" t="s">
        <v>283</v>
      </c>
      <c r="C54" t="s">
        <v>213</v>
      </c>
      <c r="D54" t="s">
        <v>284</v>
      </c>
      <c r="E54" t="s">
        <v>8</v>
      </c>
      <c r="F54" t="n">
        <v>19778795.7837154</v>
      </c>
      <c r="G54" t="n">
        <v>19938805.789924</v>
      </c>
      <c r="H54" t="n">
        <v>19858022.4697543</v>
      </c>
      <c r="I54" t="n">
        <v>20009171.2797968</v>
      </c>
      <c r="J54" t="n">
        <v>19805793.9876138</v>
      </c>
      <c r="K54" t="n">
        <v>20952802.7489421</v>
      </c>
      <c r="L54" t="n">
        <v>20454195.3325173</v>
      </c>
      <c r="M54" t="n">
        <v>21301264.8667055</v>
      </c>
      <c r="N54" t="n">
        <v>21539824.5378425</v>
      </c>
      <c r="O54" t="n">
        <v>21381362.479795</v>
      </c>
      <c r="P54" t="n">
        <v>21895263.9951088</v>
      </c>
      <c r="Q54" t="n">
        <v>22119690.511941</v>
      </c>
      <c r="R54" t="n">
        <v>22192888.8176327</v>
      </c>
      <c r="S54" t="n">
        <v>21627006.3330704</v>
      </c>
      <c r="T54" t="n">
        <v>20754530.8988931</v>
      </c>
      <c r="U54" t="n">
        <v>20278089.0915146</v>
      </c>
      <c r="V54" t="n">
        <v>20241948.4361124</v>
      </c>
      <c r="W54" t="n">
        <v>20131469.626066</v>
      </c>
      <c r="X54" t="n">
        <v>19830598.1839228</v>
      </c>
      <c r="Y54" t="n">
        <v>19432789.9293511</v>
      </c>
      <c r="Z54" t="n">
        <v>18961870.4223731</v>
      </c>
      <c r="AA54" t="n">
        <v>18111126.0786842</v>
      </c>
      <c r="AB54" t="n">
        <v>18160872.0039832</v>
      </c>
      <c r="AC54" t="n">
        <v>17896608.8478407</v>
      </c>
      <c r="AD54" t="n">
        <v>17933671.5083991</v>
      </c>
      <c r="AE54" t="n">
        <v>15051072</v>
      </c>
      <c r="AF54" t="n">
        <v>15205906</v>
      </c>
    </row>
    <row r="55">
      <c r="A55" t="s">
        <v>214</v>
      </c>
      <c r="B55" t="s">
        <v>283</v>
      </c>
      <c r="C55" t="s">
        <v>215</v>
      </c>
      <c r="D55" t="s">
        <v>284</v>
      </c>
      <c r="E55" t="s">
        <v>8</v>
      </c>
      <c r="F55" t="n">
        <v>11222859.0720574</v>
      </c>
      <c r="G55" t="n">
        <v>11597408.3539267</v>
      </c>
      <c r="H55" t="n">
        <v>11849397.9350524</v>
      </c>
      <c r="I55" t="n">
        <v>12272157.1908016</v>
      </c>
      <c r="J55" t="n">
        <v>12422433.4908125</v>
      </c>
      <c r="K55" t="n">
        <v>13211445.4776503</v>
      </c>
      <c r="L55" t="n">
        <v>13117971.1481879</v>
      </c>
      <c r="M55" t="n">
        <v>13531789.2926067</v>
      </c>
      <c r="N55" t="n">
        <v>13925700.7920966</v>
      </c>
      <c r="O55" t="n">
        <v>13894827.3444562</v>
      </c>
      <c r="P55" t="n">
        <v>14171872.697252</v>
      </c>
      <c r="Q55" t="n">
        <v>14232442.185192</v>
      </c>
      <c r="R55" t="n">
        <v>14530973.4071529</v>
      </c>
      <c r="S55" t="n">
        <v>14128191.9498405</v>
      </c>
      <c r="T55" t="n">
        <v>13390269.989261</v>
      </c>
      <c r="U55" t="n">
        <v>13142187.7083701</v>
      </c>
      <c r="V55" t="n">
        <v>13231390.7909771</v>
      </c>
      <c r="W55" t="n">
        <v>12680343.835922</v>
      </c>
      <c r="X55" t="n">
        <v>12095829.1386444</v>
      </c>
      <c r="Y55" t="n">
        <v>11734939.2996017</v>
      </c>
      <c r="Z55" t="n">
        <v>11390495.9249905</v>
      </c>
      <c r="AA55" t="n">
        <v>11067508.0701723</v>
      </c>
      <c r="AB55" t="n">
        <v>11270041.6402611</v>
      </c>
      <c r="AC55" t="n">
        <v>11095431.318126</v>
      </c>
      <c r="AD55" t="n">
        <v>11364588.2400252</v>
      </c>
      <c r="AE55" t="n">
        <v>9916981</v>
      </c>
      <c r="AF55" t="n">
        <v>9880054</v>
      </c>
    </row>
    <row r="56">
      <c r="A56" t="s">
        <v>216</v>
      </c>
      <c r="B56" t="s">
        <v>283</v>
      </c>
      <c r="C56" t="s">
        <v>217</v>
      </c>
      <c r="D56" t="s">
        <v>284</v>
      </c>
      <c r="E56" t="s">
        <v>8</v>
      </c>
      <c r="F56" t="n">
        <v>2593541.810885</v>
      </c>
      <c r="G56" t="n">
        <v>2402157.62724284</v>
      </c>
      <c r="H56" t="n">
        <v>2202292.20895597</v>
      </c>
      <c r="I56" t="n">
        <v>1931791.53497743</v>
      </c>
      <c r="J56" t="n">
        <v>1797821.64600156</v>
      </c>
      <c r="K56" t="n">
        <v>1642906.35099805</v>
      </c>
      <c r="L56" t="n">
        <v>1501112.77567571</v>
      </c>
      <c r="M56" t="n">
        <v>1410186.55442801</v>
      </c>
      <c r="N56" t="n">
        <v>1371304.5933321</v>
      </c>
      <c r="O56" t="n">
        <v>1395695.46843049</v>
      </c>
      <c r="P56" t="n">
        <v>1213791.18264512</v>
      </c>
      <c r="Q56" t="n">
        <v>1254757.04969368</v>
      </c>
      <c r="R56" t="n">
        <v>1315820.93114284</v>
      </c>
      <c r="S56" t="n">
        <v>1618218.82492462</v>
      </c>
      <c r="T56" t="n">
        <v>1761868.34480699</v>
      </c>
      <c r="U56" t="n">
        <v>1979709.29762714</v>
      </c>
      <c r="V56" t="n">
        <v>2145843.160707</v>
      </c>
      <c r="W56" t="n">
        <v>2149039.72562677</v>
      </c>
      <c r="X56" t="n">
        <v>1715253.21869523</v>
      </c>
      <c r="Y56" t="n">
        <v>1611844.07682279</v>
      </c>
      <c r="Z56" t="n">
        <v>1504736.69255178</v>
      </c>
      <c r="AA56" t="n">
        <v>1819663.77812932</v>
      </c>
      <c r="AB56" t="n">
        <v>1688994.40100781</v>
      </c>
      <c r="AC56" t="n">
        <v>1716392.73254733</v>
      </c>
      <c r="AD56" t="n">
        <v>1900120.33238015</v>
      </c>
      <c r="AE56" t="n">
        <v>2045342</v>
      </c>
      <c r="AF56" t="n">
        <v>1930278</v>
      </c>
    </row>
    <row r="57">
      <c r="A57" t="s">
        <v>218</v>
      </c>
      <c r="B57" t="s">
        <v>283</v>
      </c>
      <c r="C57" t="s">
        <v>219</v>
      </c>
      <c r="D57" t="s">
        <v>284</v>
      </c>
      <c r="E57" t="s">
        <v>8</v>
      </c>
      <c r="F57" t="n">
        <v>463494911.524059</v>
      </c>
      <c r="G57" t="n">
        <v>478390847.63077</v>
      </c>
      <c r="H57" t="n">
        <v>485459088.588596</v>
      </c>
      <c r="I57" t="n">
        <v>480048823.842137</v>
      </c>
      <c r="J57" t="n">
        <v>480423458.941388</v>
      </c>
      <c r="K57" t="n">
        <v>491397891.36571</v>
      </c>
      <c r="L57" t="n">
        <v>489831060.07863</v>
      </c>
      <c r="M57" t="n">
        <v>491827811.070483</v>
      </c>
      <c r="N57" t="n">
        <v>499670515.620125</v>
      </c>
      <c r="O57" t="n">
        <v>510663887.028423</v>
      </c>
      <c r="P57" t="n">
        <v>522227849.632644</v>
      </c>
      <c r="Q57" t="n">
        <v>529586054.72098</v>
      </c>
      <c r="R57" t="n">
        <v>537901083.944331</v>
      </c>
      <c r="S57" t="n">
        <v>532263633.676207</v>
      </c>
      <c r="T57" t="n">
        <v>497448206.66842</v>
      </c>
      <c r="U57" t="n">
        <v>516597086.815894</v>
      </c>
      <c r="V57" t="n">
        <v>515836569.047269</v>
      </c>
      <c r="W57" t="n">
        <v>522261068.944237</v>
      </c>
      <c r="X57" t="n">
        <v>533078484.234956</v>
      </c>
      <c r="Y57" t="n">
        <v>535497731.798182</v>
      </c>
      <c r="Z57" t="n">
        <v>544526776.980321</v>
      </c>
      <c r="AA57" t="n">
        <v>548715386.380965</v>
      </c>
      <c r="AB57" t="n">
        <v>560522458.700532</v>
      </c>
      <c r="AC57" t="n">
        <v>564875247.495394</v>
      </c>
      <c r="AD57" t="n">
        <v>562385735.416344</v>
      </c>
      <c r="AE57" t="n">
        <v>536382075</v>
      </c>
      <c r="AF57" t="n">
        <v>553595675</v>
      </c>
    </row>
    <row r="58">
      <c r="A58" t="s">
        <v>220</v>
      </c>
      <c r="B58" t="s">
        <v>283</v>
      </c>
      <c r="C58" t="s">
        <v>221</v>
      </c>
      <c r="D58" t="s">
        <v>284</v>
      </c>
      <c r="E58" t="s">
        <v>8</v>
      </c>
      <c r="F58" t="n">
        <v>460727861.92206</v>
      </c>
      <c r="G58" t="n">
        <v>475899704.963403</v>
      </c>
      <c r="H58" t="n">
        <v>483244139.262313</v>
      </c>
      <c r="I58" t="n">
        <v>478186381.621694</v>
      </c>
      <c r="J58" t="n">
        <v>478738969.112673</v>
      </c>
      <c r="K58" t="n">
        <v>489919730.563498</v>
      </c>
      <c r="L58" t="n">
        <v>488526152.600363</v>
      </c>
      <c r="M58" t="n">
        <v>490640267.273014</v>
      </c>
      <c r="N58" t="n">
        <v>498540872.393643</v>
      </c>
      <c r="O58" t="n">
        <v>509516436.946203</v>
      </c>
      <c r="P58" t="n">
        <v>521314357.08961</v>
      </c>
      <c r="Q58" t="n">
        <v>528629314.800108</v>
      </c>
      <c r="R58" t="n">
        <v>536873425.335257</v>
      </c>
      <c r="S58" t="n">
        <v>530795818.283699</v>
      </c>
      <c r="T58" t="n">
        <v>495764204.053033</v>
      </c>
      <c r="U58" t="n">
        <v>514688736.822343</v>
      </c>
      <c r="V58" t="n">
        <v>513752403.528062</v>
      </c>
      <c r="W58" t="n">
        <v>520175322.819722</v>
      </c>
      <c r="X58" t="n">
        <v>531435019.836252</v>
      </c>
      <c r="Y58" t="n">
        <v>533986117.586514</v>
      </c>
      <c r="Z58" t="n">
        <v>543161801.675023</v>
      </c>
      <c r="AA58" t="n">
        <v>546942521.855928</v>
      </c>
      <c r="AB58" t="n">
        <v>558892793.770891</v>
      </c>
      <c r="AC58" t="n">
        <v>563215864.780399</v>
      </c>
      <c r="AD58" t="n">
        <v>560504470.538487</v>
      </c>
      <c r="AE58" t="n">
        <v>534336733</v>
      </c>
      <c r="AF58" t="n">
        <v>551665397</v>
      </c>
    </row>
    <row r="59">
      <c r="A59" t="s">
        <v>222</v>
      </c>
      <c r="B59" t="s">
        <v>283</v>
      </c>
      <c r="C59" t="s">
        <v>223</v>
      </c>
      <c r="D59" t="s">
        <v>284</v>
      </c>
      <c r="E59" t="s">
        <v>8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283</v>
      </c>
      <c r="C2" t="s">
        <v>108</v>
      </c>
      <c r="D2" t="s">
        <v>284</v>
      </c>
      <c r="E2" t="s">
        <v>10</v>
      </c>
      <c r="F2" t="n">
        <v>1526147.19175586</v>
      </c>
      <c r="G2" t="n">
        <v>1644529.85801953</v>
      </c>
      <c r="H2" t="n">
        <v>1685449.77696094</v>
      </c>
      <c r="I2" t="n">
        <v>1771859.2811875</v>
      </c>
      <c r="J2" t="n">
        <v>1767008.10550879</v>
      </c>
      <c r="K2" t="n">
        <v>1929085.10177246</v>
      </c>
      <c r="L2" t="n">
        <v>1835783.51029297</v>
      </c>
      <c r="M2" t="n">
        <v>1835613.04125098</v>
      </c>
      <c r="N2" t="n">
        <v>1932922.79383594</v>
      </c>
      <c r="O2" t="n">
        <v>1947741.40822656</v>
      </c>
      <c r="P2" t="n">
        <v>2130638.30271875</v>
      </c>
      <c r="Q2" t="n">
        <v>2283843.62834375</v>
      </c>
      <c r="R2" t="n">
        <v>2404576.68420313</v>
      </c>
      <c r="S2" t="n">
        <v>2419471.94128125</v>
      </c>
      <c r="T2" t="n">
        <v>2399465.58817188</v>
      </c>
      <c r="U2" t="n">
        <v>2427012.94807031</v>
      </c>
      <c r="V2" t="n">
        <v>2511136.42914063</v>
      </c>
      <c r="W2" t="n">
        <v>2719023.90189844</v>
      </c>
      <c r="X2" t="n">
        <v>2767614.05921875</v>
      </c>
      <c r="Y2" t="n">
        <v>2983218.00942187</v>
      </c>
      <c r="Z2" t="n">
        <v>3261013.63278125</v>
      </c>
      <c r="AA2" t="n">
        <v>3356553.29053125</v>
      </c>
      <c r="AB2" t="n">
        <v>3522670.202125</v>
      </c>
      <c r="AC2" t="n">
        <v>3691400.37165625</v>
      </c>
      <c r="AD2" t="n">
        <v>3670922.7611875</v>
      </c>
      <c r="AE2" t="n">
        <v>3538216.318375</v>
      </c>
      <c r="AF2" t="n">
        <v>3499838.20934375</v>
      </c>
    </row>
    <row r="3">
      <c r="A3" t="s">
        <v>110</v>
      </c>
      <c r="B3" t="s">
        <v>283</v>
      </c>
      <c r="C3" t="s">
        <v>111</v>
      </c>
      <c r="D3" t="s">
        <v>284</v>
      </c>
      <c r="E3" t="s">
        <v>10</v>
      </c>
      <c r="F3" t="n">
        <v>421132.415453125</v>
      </c>
      <c r="G3" t="n">
        <v>417829.470578125</v>
      </c>
      <c r="H3" t="n">
        <v>465174.29696875</v>
      </c>
      <c r="I3" t="n">
        <v>412250.40753125</v>
      </c>
      <c r="J3" t="n">
        <v>401927.923</v>
      </c>
      <c r="K3" t="n">
        <v>413398.205859375</v>
      </c>
      <c r="L3" t="n">
        <v>416074.76178125</v>
      </c>
      <c r="M3" t="n">
        <v>328509.469453125</v>
      </c>
      <c r="N3" t="n">
        <v>322895.3144375</v>
      </c>
      <c r="O3" t="n">
        <v>261439.11265625</v>
      </c>
      <c r="P3" t="n">
        <v>274387.216546875</v>
      </c>
      <c r="Q3" t="n">
        <v>255573.759453125</v>
      </c>
      <c r="R3" t="n">
        <v>241632.202367188</v>
      </c>
      <c r="S3" t="n">
        <v>185483.074976562</v>
      </c>
      <c r="T3" t="n">
        <v>219936.492671875</v>
      </c>
      <c r="U3" t="n">
        <v>223540.262039063</v>
      </c>
      <c r="V3" t="n">
        <v>185365.651679687</v>
      </c>
      <c r="W3" t="n">
        <v>186232.342992188</v>
      </c>
      <c r="X3" t="n">
        <v>180437.772121094</v>
      </c>
      <c r="Y3" t="n">
        <v>242127.80703125</v>
      </c>
      <c r="Z3" t="n">
        <v>248065.28353125</v>
      </c>
      <c r="AA3" t="n">
        <v>200315.298371094</v>
      </c>
      <c r="AB3" t="n">
        <v>247130.401621094</v>
      </c>
      <c r="AC3" t="n">
        <v>209546.043445313</v>
      </c>
      <c r="AD3" t="n">
        <v>216042.904003906</v>
      </c>
      <c r="AE3" t="n">
        <v>208160.579898438</v>
      </c>
      <c r="AF3" t="n">
        <v>222576.9994375</v>
      </c>
    </row>
    <row r="4">
      <c r="A4" t="s">
        <v>112</v>
      </c>
      <c r="B4" t="s">
        <v>283</v>
      </c>
      <c r="C4" t="s">
        <v>113</v>
      </c>
      <c r="D4" t="s">
        <v>284</v>
      </c>
      <c r="E4" t="s">
        <v>10</v>
      </c>
      <c r="F4" t="n">
        <v>64920200.1382161</v>
      </c>
      <c r="G4" t="n">
        <v>65732783.3479824</v>
      </c>
      <c r="H4" t="n">
        <v>67826247.5810283</v>
      </c>
      <c r="I4" t="n">
        <v>65381237.6230327</v>
      </c>
      <c r="J4" t="n">
        <v>63972206.5300251</v>
      </c>
      <c r="K4" t="n">
        <v>65113424.0427676</v>
      </c>
      <c r="L4" t="n">
        <v>61531067.0453071</v>
      </c>
      <c r="M4" t="n">
        <v>57603881.5508154</v>
      </c>
      <c r="N4" t="n">
        <v>56750832.1480781</v>
      </c>
      <c r="O4" t="n">
        <v>57004555.800523</v>
      </c>
      <c r="P4" t="n">
        <v>57620580.7656179</v>
      </c>
      <c r="Q4" t="n">
        <v>59239988.7421089</v>
      </c>
      <c r="R4" t="n">
        <v>59284078.3675391</v>
      </c>
      <c r="S4" t="n">
        <v>58173593.3106611</v>
      </c>
      <c r="T4" t="n">
        <v>49959351.6271116</v>
      </c>
      <c r="U4" t="n">
        <v>51211856.0296853</v>
      </c>
      <c r="V4" t="n">
        <v>51888492.7317068</v>
      </c>
      <c r="W4" t="n">
        <v>51039379.4879713</v>
      </c>
      <c r="X4" t="n">
        <v>48908298.4553096</v>
      </c>
      <c r="Y4" t="n">
        <v>49087756.0332297</v>
      </c>
      <c r="Z4" t="n">
        <v>49441018.3098994</v>
      </c>
      <c r="AA4" t="n">
        <v>49974324.859875</v>
      </c>
      <c r="AB4" t="n">
        <v>51697301.8345852</v>
      </c>
      <c r="AC4" t="n">
        <v>51696038.622114</v>
      </c>
      <c r="AD4" t="n">
        <v>51880455.0677061</v>
      </c>
      <c r="AE4" t="n">
        <v>48268844.2388667</v>
      </c>
      <c r="AF4" t="n">
        <v>49374662.7478169</v>
      </c>
    </row>
    <row r="5">
      <c r="A5" t="s">
        <v>114</v>
      </c>
      <c r="B5" t="s">
        <v>283</v>
      </c>
      <c r="C5" t="s">
        <v>115</v>
      </c>
      <c r="D5" t="s">
        <v>284</v>
      </c>
      <c r="E5" t="s">
        <v>10</v>
      </c>
      <c r="F5" t="n">
        <v>5798414.11761133</v>
      </c>
      <c r="G5" t="n">
        <v>5892120.22848535</v>
      </c>
      <c r="H5" t="n">
        <v>5928802.53522168</v>
      </c>
      <c r="I5" t="n">
        <v>6024861.89477441</v>
      </c>
      <c r="J5" t="n">
        <v>5988520.02096875</v>
      </c>
      <c r="K5" t="n">
        <v>6185391.17270312</v>
      </c>
      <c r="L5" t="n">
        <v>5843361.17355371</v>
      </c>
      <c r="M5" t="n">
        <v>5575345.86037891</v>
      </c>
      <c r="N5" t="n">
        <v>5477047.47200586</v>
      </c>
      <c r="O5" t="n">
        <v>5391628.13112109</v>
      </c>
      <c r="P5" t="n">
        <v>5272160.10260352</v>
      </c>
      <c r="Q5" t="n">
        <v>5499801.03054297</v>
      </c>
      <c r="R5" t="n">
        <v>5394577.17308008</v>
      </c>
      <c r="S5" t="n">
        <v>5232720.96233984</v>
      </c>
      <c r="T5" t="n">
        <v>4763264.61645117</v>
      </c>
      <c r="U5" t="n">
        <v>5253716.89571191</v>
      </c>
      <c r="V5" t="n">
        <v>5108059.09921191</v>
      </c>
      <c r="W5" t="n">
        <v>5339690.11018311</v>
      </c>
      <c r="X5" t="n">
        <v>5201490.96604883</v>
      </c>
      <c r="Y5" t="n">
        <v>5362683.04345313</v>
      </c>
      <c r="Z5" t="n">
        <v>5353934.99438965</v>
      </c>
      <c r="AA5" t="n">
        <v>5440288.91299048</v>
      </c>
      <c r="AB5" t="n">
        <v>5691567.27748926</v>
      </c>
      <c r="AC5" t="n">
        <v>5640439.69677734</v>
      </c>
      <c r="AD5" t="n">
        <v>5631581.6193623</v>
      </c>
      <c r="AE5" t="n">
        <v>5297998.41286328</v>
      </c>
      <c r="AF5" t="n">
        <v>5667228.64267822</v>
      </c>
    </row>
    <row r="6">
      <c r="A6" t="s">
        <v>116</v>
      </c>
      <c r="B6" t="s">
        <v>283</v>
      </c>
      <c r="C6" t="s">
        <v>117</v>
      </c>
      <c r="D6" t="s">
        <v>284</v>
      </c>
      <c r="E6" t="s">
        <v>10</v>
      </c>
      <c r="F6" t="n">
        <v>3499633.7684375</v>
      </c>
      <c r="G6" t="n">
        <v>3431743.3893125</v>
      </c>
      <c r="H6" t="n">
        <v>3359301.9509375</v>
      </c>
      <c r="I6" t="n">
        <v>3102468.005</v>
      </c>
      <c r="J6" t="n">
        <v>2836668.1819375</v>
      </c>
      <c r="K6" t="n">
        <v>2642027.899</v>
      </c>
      <c r="L6" t="n">
        <v>2389486.4268125</v>
      </c>
      <c r="M6" t="n">
        <v>2070512.80853125</v>
      </c>
      <c r="N6" t="n">
        <v>2019545.33103125</v>
      </c>
      <c r="O6" t="n">
        <v>1957777.12103125</v>
      </c>
      <c r="P6" t="n">
        <v>1894588.5786875</v>
      </c>
      <c r="Q6" t="n">
        <v>1891534.890125</v>
      </c>
      <c r="R6" t="n">
        <v>1859153.4170625</v>
      </c>
      <c r="S6" t="n">
        <v>1884886.79565625</v>
      </c>
      <c r="T6" t="n">
        <v>1715531.14090625</v>
      </c>
      <c r="U6" t="n">
        <v>1733617.17967187</v>
      </c>
      <c r="V6" t="n">
        <v>1704471.3291875</v>
      </c>
      <c r="W6" t="n">
        <v>1616250.94771875</v>
      </c>
      <c r="X6" t="n">
        <v>1408702.3928125</v>
      </c>
      <c r="Y6" t="n">
        <v>1251817.96440625</v>
      </c>
      <c r="Z6" t="n">
        <v>1105617.28429687</v>
      </c>
      <c r="AA6" t="n">
        <v>1101917.57354688</v>
      </c>
      <c r="AB6" t="n">
        <v>1091918.27867187</v>
      </c>
      <c r="AC6" t="n">
        <v>1062182.50096875</v>
      </c>
      <c r="AD6" t="n">
        <v>1033022.3696875</v>
      </c>
      <c r="AE6" t="n">
        <v>895418.114921875</v>
      </c>
      <c r="AF6" t="n">
        <v>826462.094554688</v>
      </c>
    </row>
    <row r="7">
      <c r="A7" t="s">
        <v>118</v>
      </c>
      <c r="B7" t="s">
        <v>283</v>
      </c>
      <c r="C7" t="s">
        <v>119</v>
      </c>
      <c r="D7" t="s">
        <v>284</v>
      </c>
      <c r="E7" t="s">
        <v>10</v>
      </c>
      <c r="F7" t="n">
        <v>5758079.7138125</v>
      </c>
      <c r="G7" t="n">
        <v>5849933.1355</v>
      </c>
      <c r="H7" t="n">
        <v>5869926.114625</v>
      </c>
      <c r="I7" t="n">
        <v>5744467.3460625</v>
      </c>
      <c r="J7" t="n">
        <v>5607481.69</v>
      </c>
      <c r="K7" t="n">
        <v>5510775.60125</v>
      </c>
      <c r="L7" t="n">
        <v>5170024.4351875</v>
      </c>
      <c r="M7" t="n">
        <v>4885814.636</v>
      </c>
      <c r="N7" t="n">
        <v>4779815.17825</v>
      </c>
      <c r="O7" t="n">
        <v>4892634.10325</v>
      </c>
      <c r="P7" t="n">
        <v>4636108.4825</v>
      </c>
      <c r="Q7" t="n">
        <v>4497862.652</v>
      </c>
      <c r="R7" t="n">
        <v>4461920.504625</v>
      </c>
      <c r="S7" t="n">
        <v>4051953.48090625</v>
      </c>
      <c r="T7" t="n">
        <v>3493340.38390625</v>
      </c>
      <c r="U7" t="n">
        <v>3380941.30571875</v>
      </c>
      <c r="V7" t="n">
        <v>3391096.71825</v>
      </c>
      <c r="W7" t="n">
        <v>3304566.24540625</v>
      </c>
      <c r="X7" t="n">
        <v>3081133.0935625</v>
      </c>
      <c r="Y7" t="n">
        <v>3130312.57128125</v>
      </c>
      <c r="Z7" t="n">
        <v>3210232.79301562</v>
      </c>
      <c r="AA7" t="n">
        <v>2922020.52067969</v>
      </c>
      <c r="AB7" t="n">
        <v>3024125.82989063</v>
      </c>
      <c r="AC7" t="n">
        <v>2961769.64832031</v>
      </c>
      <c r="AD7" t="n">
        <v>2970776.29509375</v>
      </c>
      <c r="AE7" t="n">
        <v>2779166.51823437</v>
      </c>
      <c r="AF7" t="n">
        <v>2769260.72478125</v>
      </c>
    </row>
    <row r="8">
      <c r="A8" t="s">
        <v>120</v>
      </c>
      <c r="B8" t="s">
        <v>283</v>
      </c>
      <c r="C8" t="s">
        <v>121</v>
      </c>
      <c r="D8" t="s">
        <v>284</v>
      </c>
      <c r="E8" t="s">
        <v>10</v>
      </c>
      <c r="F8" t="n">
        <v>425736.954212891</v>
      </c>
      <c r="G8" t="n">
        <v>435675.7665625</v>
      </c>
      <c r="H8" t="n">
        <v>429125.810701172</v>
      </c>
      <c r="I8" t="n">
        <v>414702.677207031</v>
      </c>
      <c r="J8" t="n">
        <v>394640.109445313</v>
      </c>
      <c r="K8" t="n">
        <v>383089.237460938</v>
      </c>
      <c r="L8" t="n">
        <v>372046.044787109</v>
      </c>
      <c r="M8" t="n">
        <v>358877.219585938</v>
      </c>
      <c r="N8" t="n">
        <v>355022.015361328</v>
      </c>
      <c r="O8" t="n">
        <v>349503.117037109</v>
      </c>
      <c r="P8" t="n">
        <v>339013.685047852</v>
      </c>
      <c r="Q8" t="n">
        <v>350927.235101563</v>
      </c>
      <c r="R8" t="n">
        <v>357508.516666016</v>
      </c>
      <c r="S8" t="n">
        <v>318104.294066406</v>
      </c>
      <c r="T8" t="n">
        <v>303306.813238281</v>
      </c>
      <c r="U8" t="n">
        <v>316406.603678711</v>
      </c>
      <c r="V8" t="n">
        <v>329107.843319336</v>
      </c>
      <c r="W8" t="n">
        <v>333009.930415039</v>
      </c>
      <c r="X8" t="n">
        <v>305671.905015625</v>
      </c>
      <c r="Y8" t="n">
        <v>311992.635755371</v>
      </c>
      <c r="Z8" t="n">
        <v>316329.495350586</v>
      </c>
      <c r="AA8" t="n">
        <v>327818.440178711</v>
      </c>
      <c r="AB8" t="n">
        <v>327853.987930664</v>
      </c>
      <c r="AC8" t="n">
        <v>329249.802141113</v>
      </c>
      <c r="AD8" t="n">
        <v>350102.814890625</v>
      </c>
      <c r="AE8" t="n">
        <v>351292.220075195</v>
      </c>
      <c r="AF8" t="n">
        <v>378550.068482422</v>
      </c>
    </row>
    <row r="9">
      <c r="A9" t="s">
        <v>122</v>
      </c>
      <c r="B9" t="s">
        <v>283</v>
      </c>
      <c r="C9" t="s">
        <v>123</v>
      </c>
      <c r="D9" t="s">
        <v>284</v>
      </c>
      <c r="E9" t="s">
        <v>10</v>
      </c>
      <c r="F9" t="n">
        <v>2902226.96489966</v>
      </c>
      <c r="G9" t="n">
        <v>2960630.57554395</v>
      </c>
      <c r="H9" t="n">
        <v>3011725.17806152</v>
      </c>
      <c r="I9" t="n">
        <v>2952423.86885205</v>
      </c>
      <c r="J9" t="n">
        <v>2930379.12288257</v>
      </c>
      <c r="K9" t="n">
        <v>2954690.27647266</v>
      </c>
      <c r="L9" t="n">
        <v>2900444.86928564</v>
      </c>
      <c r="M9" t="n">
        <v>2779929.08552637</v>
      </c>
      <c r="N9" t="n">
        <v>2700631.81198193</v>
      </c>
      <c r="O9" t="n">
        <v>2745016.89384521</v>
      </c>
      <c r="P9" t="n">
        <v>2851885.12543335</v>
      </c>
      <c r="Q9" t="n">
        <v>2895867.76043604</v>
      </c>
      <c r="R9" t="n">
        <v>2965729.15566211</v>
      </c>
      <c r="S9" t="n">
        <v>2702757.93413281</v>
      </c>
      <c r="T9" t="n">
        <v>2433802.66244751</v>
      </c>
      <c r="U9" t="n">
        <v>2408911.2725144</v>
      </c>
      <c r="V9" t="n">
        <v>2563414.75478686</v>
      </c>
      <c r="W9" t="n">
        <v>2576779.16502942</v>
      </c>
      <c r="X9" t="n">
        <v>2414797.55704394</v>
      </c>
      <c r="Y9" t="n">
        <v>2389630.91991968</v>
      </c>
      <c r="Z9" t="n">
        <v>2441078.43405176</v>
      </c>
      <c r="AA9" t="n">
        <v>2574859.53454175</v>
      </c>
      <c r="AB9" t="n">
        <v>2565139.59423657</v>
      </c>
      <c r="AC9" t="n">
        <v>2638346.58511157</v>
      </c>
      <c r="AD9" t="n">
        <v>2731583.46749414</v>
      </c>
      <c r="AE9" t="n">
        <v>2624717.07140869</v>
      </c>
      <c r="AF9" t="n">
        <v>2677533.65106152</v>
      </c>
    </row>
    <row r="10">
      <c r="A10" t="s">
        <v>124</v>
      </c>
      <c r="B10" t="s">
        <v>283</v>
      </c>
      <c r="C10" t="s">
        <v>125</v>
      </c>
      <c r="D10" t="s">
        <v>284</v>
      </c>
      <c r="E10" t="s">
        <v>10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283</v>
      </c>
      <c r="C11" t="s">
        <v>127</v>
      </c>
      <c r="D11" t="s">
        <v>284</v>
      </c>
      <c r="E11" t="s">
        <v>10</v>
      </c>
      <c r="F11" t="n">
        <v>975511.4615625</v>
      </c>
      <c r="G11" t="n">
        <v>1031064.2354375</v>
      </c>
      <c r="H11" t="n">
        <v>1055228.6533125</v>
      </c>
      <c r="I11" t="n">
        <v>1043373.068375</v>
      </c>
      <c r="J11" t="n">
        <v>1084191.9998125</v>
      </c>
      <c r="K11" t="n">
        <v>1122756.8943125</v>
      </c>
      <c r="L11" t="n">
        <v>1133822.4806875</v>
      </c>
      <c r="M11" t="n">
        <v>1115955.8749375</v>
      </c>
      <c r="N11" t="n">
        <v>1058313.801375</v>
      </c>
      <c r="O11" t="n">
        <v>1093111.150375</v>
      </c>
      <c r="P11" t="n">
        <v>1110904.1794375</v>
      </c>
      <c r="Q11" t="n">
        <v>1138197.595</v>
      </c>
      <c r="R11" t="n">
        <v>1117524.7913125</v>
      </c>
      <c r="S11" t="n">
        <v>1011116.1165625</v>
      </c>
      <c r="T11" t="n">
        <v>935411.1181875</v>
      </c>
      <c r="U11" t="n">
        <v>966423.536875</v>
      </c>
      <c r="V11" t="n">
        <v>1003494.0045</v>
      </c>
      <c r="W11" t="n">
        <v>1044388.251</v>
      </c>
      <c r="X11" t="n">
        <v>968402.23059375</v>
      </c>
      <c r="Y11" t="n">
        <v>965487.08778125</v>
      </c>
      <c r="Z11" t="n">
        <v>937824.67146875</v>
      </c>
      <c r="AA11" t="n">
        <v>990001.73875</v>
      </c>
      <c r="AB11" t="n">
        <v>951529.17840625</v>
      </c>
      <c r="AC11" t="n">
        <v>955188.09925</v>
      </c>
      <c r="AD11" t="n">
        <v>996222.14421875</v>
      </c>
      <c r="AE11" t="n">
        <v>959668.6278125</v>
      </c>
      <c r="AF11" t="n">
        <v>969650.6985</v>
      </c>
    </row>
    <row r="12">
      <c r="A12" t="s">
        <v>128</v>
      </c>
      <c r="B12" t="s">
        <v>283</v>
      </c>
      <c r="C12" t="s">
        <v>129</v>
      </c>
      <c r="D12" t="s">
        <v>284</v>
      </c>
      <c r="E12" t="s">
        <v>10</v>
      </c>
      <c r="F12" t="n">
        <v>6041197.01303125</v>
      </c>
      <c r="G12" t="n">
        <v>6083863.929125</v>
      </c>
      <c r="H12" t="n">
        <v>6199632.99425</v>
      </c>
      <c r="I12" t="n">
        <v>5848229.2090625</v>
      </c>
      <c r="J12" t="n">
        <v>5707214.61046875</v>
      </c>
      <c r="K12" t="n">
        <v>5804255.1198125</v>
      </c>
      <c r="L12" t="n">
        <v>5484318.36085938</v>
      </c>
      <c r="M12" t="n">
        <v>5057738.569</v>
      </c>
      <c r="N12" t="n">
        <v>5053225.83701563</v>
      </c>
      <c r="O12" t="n">
        <v>4974443.69523438</v>
      </c>
      <c r="P12" t="n">
        <v>4949209.4703125</v>
      </c>
      <c r="Q12" t="n">
        <v>4993962.43859375</v>
      </c>
      <c r="R12" t="n">
        <v>5096284.65203125</v>
      </c>
      <c r="S12" t="n">
        <v>4896752.05328125</v>
      </c>
      <c r="T12" t="n">
        <v>4172269.76034375</v>
      </c>
      <c r="U12" t="n">
        <v>4337524.39788281</v>
      </c>
      <c r="V12" t="n">
        <v>4534897.3048125</v>
      </c>
      <c r="W12" t="n">
        <v>4503977.42971875</v>
      </c>
      <c r="X12" t="n">
        <v>4348696.53963281</v>
      </c>
      <c r="Y12" t="n">
        <v>4440144.14020312</v>
      </c>
      <c r="Z12" t="n">
        <v>4487060.20974219</v>
      </c>
      <c r="AA12" t="n">
        <v>4529741.83833594</v>
      </c>
      <c r="AB12" t="n">
        <v>4795805.0225</v>
      </c>
      <c r="AC12" t="n">
        <v>4765778.89982812</v>
      </c>
      <c r="AD12" t="n">
        <v>4817509.46075</v>
      </c>
      <c r="AE12" t="n">
        <v>4547704.77734375</v>
      </c>
      <c r="AF12" t="n">
        <v>4713417.2923125</v>
      </c>
    </row>
    <row r="13">
      <c r="A13" t="s">
        <v>130</v>
      </c>
      <c r="B13" t="s">
        <v>283</v>
      </c>
      <c r="C13" t="s">
        <v>131</v>
      </c>
      <c r="D13" t="s">
        <v>284</v>
      </c>
      <c r="E13" t="s">
        <v>10</v>
      </c>
      <c r="F13" t="n">
        <v>9300467.73830469</v>
      </c>
      <c r="G13" t="n">
        <v>9137902.22685938</v>
      </c>
      <c r="H13" t="n">
        <v>9392732.3907002</v>
      </c>
      <c r="I13" t="n">
        <v>8732841.08932422</v>
      </c>
      <c r="J13" t="n">
        <v>8363665.95747852</v>
      </c>
      <c r="K13" t="n">
        <v>8518654.96647461</v>
      </c>
      <c r="L13" t="n">
        <v>7850430.76450879</v>
      </c>
      <c r="M13" t="n">
        <v>7443630.71375391</v>
      </c>
      <c r="N13" t="n">
        <v>7264878.51817432</v>
      </c>
      <c r="O13" t="n">
        <v>7230945.36356641</v>
      </c>
      <c r="P13" t="n">
        <v>7445296.43108008</v>
      </c>
      <c r="Q13" t="n">
        <v>7496935.63880176</v>
      </c>
      <c r="R13" t="n">
        <v>7547069.33473242</v>
      </c>
      <c r="S13" t="n">
        <v>7440657.5191377</v>
      </c>
      <c r="T13" t="n">
        <v>6183718.91129883</v>
      </c>
      <c r="U13" t="n">
        <v>6420666.44162793</v>
      </c>
      <c r="V13" t="n">
        <v>6350724.60657617</v>
      </c>
      <c r="W13" t="n">
        <v>6380715.39125</v>
      </c>
      <c r="X13" t="n">
        <v>6294822.81810352</v>
      </c>
      <c r="Y13" t="n">
        <v>6272856.74545508</v>
      </c>
      <c r="Z13" t="n">
        <v>6180149.47188477</v>
      </c>
      <c r="AA13" t="n">
        <v>6377653.91676562</v>
      </c>
      <c r="AB13" t="n">
        <v>6578160.6715459</v>
      </c>
      <c r="AC13" t="n">
        <v>6522218.62351367</v>
      </c>
      <c r="AD13" t="n">
        <v>6731285.57525586</v>
      </c>
      <c r="AE13" t="n">
        <v>6202853.80473047</v>
      </c>
      <c r="AF13" t="n">
        <v>6396611.15150879</v>
      </c>
    </row>
    <row r="14">
      <c r="A14" t="s">
        <v>132</v>
      </c>
      <c r="B14" t="s">
        <v>283</v>
      </c>
      <c r="C14" t="s">
        <v>133</v>
      </c>
      <c r="D14" t="s">
        <v>284</v>
      </c>
      <c r="E14" t="s">
        <v>10</v>
      </c>
      <c r="F14" t="n">
        <v>7919349.4540625</v>
      </c>
      <c r="G14" t="n">
        <v>8174714.37328125</v>
      </c>
      <c r="H14" t="n">
        <v>8788279.53734375</v>
      </c>
      <c r="I14" t="n">
        <v>8790535.97425</v>
      </c>
      <c r="J14" t="n">
        <v>8911320.07121875</v>
      </c>
      <c r="K14" t="n">
        <v>9240533.17846875</v>
      </c>
      <c r="L14" t="n">
        <v>8595174.8806875</v>
      </c>
      <c r="M14" t="n">
        <v>7820769.11603906</v>
      </c>
      <c r="N14" t="n">
        <v>7728119.16763281</v>
      </c>
      <c r="O14" t="n">
        <v>7728714.66303125</v>
      </c>
      <c r="P14" t="n">
        <v>7602441.33010937</v>
      </c>
      <c r="Q14" t="n">
        <v>7695336.71638281</v>
      </c>
      <c r="R14" t="n">
        <v>7897543.20642969</v>
      </c>
      <c r="S14" t="n">
        <v>7775949.95776562</v>
      </c>
      <c r="T14" t="n">
        <v>6449441.42264453</v>
      </c>
      <c r="U14" t="n">
        <v>6461478.35859766</v>
      </c>
      <c r="V14" t="n">
        <v>6490882.78</v>
      </c>
      <c r="W14" t="n">
        <v>5858009.2976875</v>
      </c>
      <c r="X14" t="n">
        <v>5520976.09652734</v>
      </c>
      <c r="Y14" t="n">
        <v>5565400.04549023</v>
      </c>
      <c r="Z14" t="n">
        <v>5596630.84969922</v>
      </c>
      <c r="AA14" t="n">
        <v>5608341.18030469</v>
      </c>
      <c r="AB14" t="n">
        <v>5716982.74435156</v>
      </c>
      <c r="AC14" t="n">
        <v>5809745.86514063</v>
      </c>
      <c r="AD14" t="n">
        <v>5810059.76734375</v>
      </c>
      <c r="AE14" t="n">
        <v>5490017.52060156</v>
      </c>
      <c r="AF14" t="n">
        <v>5500988.51509375</v>
      </c>
    </row>
    <row r="15">
      <c r="A15" t="s">
        <v>134</v>
      </c>
      <c r="B15" t="s">
        <v>283</v>
      </c>
      <c r="C15" t="s">
        <v>135</v>
      </c>
      <c r="D15" t="s">
        <v>284</v>
      </c>
      <c r="E15" t="s">
        <v>10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283</v>
      </c>
      <c r="C16" t="s">
        <v>137</v>
      </c>
      <c r="D16" t="s">
        <v>284</v>
      </c>
      <c r="E16" t="s">
        <v>10</v>
      </c>
      <c r="F16" t="n">
        <v>4360912.593875</v>
      </c>
      <c r="G16" t="n">
        <v>4416825.791625</v>
      </c>
      <c r="H16" t="n">
        <v>4649981.2336875</v>
      </c>
      <c r="I16" t="n">
        <v>4324248.9221875</v>
      </c>
      <c r="J16" t="n">
        <v>4369399.0865625</v>
      </c>
      <c r="K16" t="n">
        <v>4464595.14625</v>
      </c>
      <c r="L16" t="n">
        <v>4244664.57675</v>
      </c>
      <c r="M16" t="n">
        <v>3979901.37875</v>
      </c>
      <c r="N16" t="n">
        <v>3722898.3121875</v>
      </c>
      <c r="O16" t="n">
        <v>3867888.986</v>
      </c>
      <c r="P16" t="n">
        <v>4084094.752875</v>
      </c>
      <c r="Q16" t="n">
        <v>4650902.3995625</v>
      </c>
      <c r="R16" t="n">
        <v>4243250.583125</v>
      </c>
      <c r="S16" t="n">
        <v>4197105.640625</v>
      </c>
      <c r="T16" t="n">
        <v>3635853.41909375</v>
      </c>
      <c r="U16" t="n">
        <v>3585516.0163125</v>
      </c>
      <c r="V16" t="n">
        <v>3719807.25640625</v>
      </c>
      <c r="W16" t="n">
        <v>3521702.56690625</v>
      </c>
      <c r="X16" t="n">
        <v>3391176.7891875</v>
      </c>
      <c r="Y16" t="n">
        <v>3364428.71690625</v>
      </c>
      <c r="Z16" t="n">
        <v>3407655.16159375</v>
      </c>
      <c r="AA16" t="n">
        <v>3378105.26509375</v>
      </c>
      <c r="AB16" t="n">
        <v>3439940.94539062</v>
      </c>
      <c r="AC16" t="n">
        <v>3611569.10328125</v>
      </c>
      <c r="AD16" t="n">
        <v>3552937.54240625</v>
      </c>
      <c r="AE16" t="n">
        <v>3404796.61084375</v>
      </c>
      <c r="AF16" t="n">
        <v>3407643.76275</v>
      </c>
    </row>
    <row r="17">
      <c r="A17" t="s">
        <v>138</v>
      </c>
      <c r="B17" t="s">
        <v>283</v>
      </c>
      <c r="C17" t="s">
        <v>139</v>
      </c>
      <c r="D17" t="s">
        <v>284</v>
      </c>
      <c r="E17" t="s">
        <v>10</v>
      </c>
      <c r="F17" t="n">
        <v>7947603.6960625</v>
      </c>
      <c r="G17" t="n">
        <v>8115127.31575</v>
      </c>
      <c r="H17" t="n">
        <v>8498746.2630625</v>
      </c>
      <c r="I17" t="n">
        <v>8172468.01225</v>
      </c>
      <c r="J17" t="n">
        <v>7802313.2128125</v>
      </c>
      <c r="K17" t="n">
        <v>8044642.954875</v>
      </c>
      <c r="L17" t="n">
        <v>7706614.4025625</v>
      </c>
      <c r="M17" t="n">
        <v>6975393.12075</v>
      </c>
      <c r="N17" t="n">
        <v>6941016.3675625</v>
      </c>
      <c r="O17" t="n">
        <v>7115914.7718125</v>
      </c>
      <c r="P17" t="n">
        <v>7533162.5084375</v>
      </c>
      <c r="Q17" t="n">
        <v>7754604.729875</v>
      </c>
      <c r="R17" t="n">
        <v>7973543.14525</v>
      </c>
      <c r="S17" t="n">
        <v>8394838.5403125</v>
      </c>
      <c r="T17" t="n">
        <v>6997582.157125</v>
      </c>
      <c r="U17" t="n">
        <v>7221323.356375</v>
      </c>
      <c r="V17" t="n">
        <v>7454481.476625</v>
      </c>
      <c r="W17" t="n">
        <v>7356736.02771875</v>
      </c>
      <c r="X17" t="n">
        <v>7033765.2411875</v>
      </c>
      <c r="Y17" t="n">
        <v>6913818.69823437</v>
      </c>
      <c r="Z17" t="n">
        <v>6826339.61803125</v>
      </c>
      <c r="AA17" t="n">
        <v>6849906.30457812</v>
      </c>
      <c r="AB17" t="n">
        <v>7268680.28676562</v>
      </c>
      <c r="AC17" t="n">
        <v>7270625.40165625</v>
      </c>
      <c r="AD17" t="n">
        <v>7403862.74507813</v>
      </c>
      <c r="AE17" t="n">
        <v>6802037.39546875</v>
      </c>
      <c r="AF17" t="n">
        <v>6999750.2613125</v>
      </c>
    </row>
    <row r="18">
      <c r="A18" t="s">
        <v>140</v>
      </c>
      <c r="B18" t="s">
        <v>283</v>
      </c>
      <c r="C18" t="s">
        <v>141</v>
      </c>
      <c r="D18" t="s">
        <v>284</v>
      </c>
      <c r="E18" t="s">
        <v>10</v>
      </c>
      <c r="F18" t="n">
        <v>7491054.56546875</v>
      </c>
      <c r="G18" t="n">
        <v>7723120.57125</v>
      </c>
      <c r="H18" t="n">
        <v>8105657.97975</v>
      </c>
      <c r="I18" t="n">
        <v>7760525.8883125</v>
      </c>
      <c r="J18" t="n">
        <v>7673148.6415625</v>
      </c>
      <c r="K18" t="n">
        <v>7927503.5559375</v>
      </c>
      <c r="L18" t="n">
        <v>7680519.151375</v>
      </c>
      <c r="M18" t="n">
        <v>7588469.6085</v>
      </c>
      <c r="N18" t="n">
        <v>7755687.003875</v>
      </c>
      <c r="O18" t="n">
        <v>7881307.54853125</v>
      </c>
      <c r="P18" t="n">
        <v>8078487.17409375</v>
      </c>
      <c r="Q18" t="n">
        <v>8490461.908875</v>
      </c>
      <c r="R18" t="n">
        <v>8565974.8781875</v>
      </c>
      <c r="S18" t="n">
        <v>8524879.8505625</v>
      </c>
      <c r="T18" t="n">
        <v>7280671.70421875</v>
      </c>
      <c r="U18" t="n">
        <v>7566679.92109375</v>
      </c>
      <c r="V18" t="n">
        <v>7728886.7353125</v>
      </c>
      <c r="W18" t="n">
        <v>7687231.7279375</v>
      </c>
      <c r="X18" t="n">
        <v>7523420.61340625</v>
      </c>
      <c r="Y18" t="n">
        <v>7672741.372125</v>
      </c>
      <c r="Z18" t="n">
        <v>8189620.4870625</v>
      </c>
      <c r="AA18" t="n">
        <v>8465062.91803125</v>
      </c>
      <c r="AB18" t="n">
        <v>8779180.83690625</v>
      </c>
      <c r="AC18" t="n">
        <v>8714270.53996875</v>
      </c>
      <c r="AD18" t="n">
        <v>8474678.809625</v>
      </c>
      <c r="AE18" t="n">
        <v>7711514.117875</v>
      </c>
      <c r="AF18" t="n">
        <v>7874523.17990625</v>
      </c>
    </row>
    <row r="19">
      <c r="A19" t="s">
        <v>142</v>
      </c>
      <c r="B19" t="s">
        <v>283</v>
      </c>
      <c r="C19" t="s">
        <v>143</v>
      </c>
      <c r="D19" t="s">
        <v>284</v>
      </c>
      <c r="E19" t="s">
        <v>10</v>
      </c>
      <c r="F19" t="n">
        <v>2500012.096875</v>
      </c>
      <c r="G19" t="n">
        <v>2480061.80925</v>
      </c>
      <c r="H19" t="n">
        <v>2537106.939375</v>
      </c>
      <c r="I19" t="n">
        <v>2470091.667375</v>
      </c>
      <c r="J19" t="n">
        <v>2303263.824875</v>
      </c>
      <c r="K19" t="n">
        <v>2314508.03975</v>
      </c>
      <c r="L19" t="n">
        <v>2160159.47825</v>
      </c>
      <c r="M19" t="n">
        <v>1951543.5590625</v>
      </c>
      <c r="N19" t="n">
        <v>1894631.331625</v>
      </c>
      <c r="O19" t="n">
        <v>1775670.2556875</v>
      </c>
      <c r="P19" t="n">
        <v>1823228.945</v>
      </c>
      <c r="Q19" t="n">
        <v>1883593.7468125</v>
      </c>
      <c r="R19" t="n">
        <v>1803999.009375</v>
      </c>
      <c r="S19" t="n">
        <v>1741870.1653125</v>
      </c>
      <c r="T19" t="n">
        <v>1595157.51725</v>
      </c>
      <c r="U19" t="n">
        <v>1558650.743625</v>
      </c>
      <c r="V19" t="n">
        <v>1509168.82271875</v>
      </c>
      <c r="W19" t="n">
        <v>1516322.397</v>
      </c>
      <c r="X19" t="n">
        <v>1415242.2121875</v>
      </c>
      <c r="Y19" t="n">
        <v>1446442.09221875</v>
      </c>
      <c r="Z19" t="n">
        <v>1388544.8393125</v>
      </c>
      <c r="AA19" t="n">
        <v>1408606.71607812</v>
      </c>
      <c r="AB19" t="n">
        <v>1466417.1805</v>
      </c>
      <c r="AC19" t="n">
        <v>1414653.85615625</v>
      </c>
      <c r="AD19" t="n">
        <v>1376832.4565</v>
      </c>
      <c r="AE19" t="n">
        <v>1201659.0466875</v>
      </c>
      <c r="AF19" t="n">
        <v>1193042.704875</v>
      </c>
    </row>
    <row r="20">
      <c r="A20" t="s">
        <v>144</v>
      </c>
      <c r="B20" t="s">
        <v>283</v>
      </c>
      <c r="C20" t="s">
        <v>145</v>
      </c>
      <c r="D20" t="s">
        <v>284</v>
      </c>
      <c r="E20" t="s">
        <v>10</v>
      </c>
      <c r="F20" t="n">
        <v>2479166.16011719</v>
      </c>
      <c r="G20" t="n">
        <v>2228242.64110937</v>
      </c>
      <c r="H20" t="n">
        <v>2100275.19630469</v>
      </c>
      <c r="I20" t="n">
        <v>2153110.19482422</v>
      </c>
      <c r="J20" t="n">
        <v>2109189.9005625</v>
      </c>
      <c r="K20" t="n">
        <v>1926032.10210156</v>
      </c>
      <c r="L20" t="n">
        <v>1946592.03878125</v>
      </c>
      <c r="M20" t="n">
        <v>1929627.88166016</v>
      </c>
      <c r="N20" t="n">
        <v>1828608.34227344</v>
      </c>
      <c r="O20" t="n">
        <v>1803841.23530127</v>
      </c>
      <c r="P20" t="n">
        <v>2068839.54469531</v>
      </c>
      <c r="Q20" t="n">
        <v>2111813.24311914</v>
      </c>
      <c r="R20" t="n">
        <v>1909094.95286914</v>
      </c>
      <c r="S20" t="n">
        <v>1860535.87408789</v>
      </c>
      <c r="T20" t="n">
        <v>1950875.76063184</v>
      </c>
      <c r="U20" t="n">
        <v>1895647.17263281</v>
      </c>
      <c r="V20" t="n">
        <v>1794777.56252832</v>
      </c>
      <c r="W20" t="n">
        <v>1783292.8165625</v>
      </c>
      <c r="X20" t="n">
        <v>1621804.24647559</v>
      </c>
      <c r="Y20" t="n">
        <v>1598387.86593115</v>
      </c>
      <c r="Z20" t="n">
        <v>1576870.22084863</v>
      </c>
      <c r="AA20" t="n">
        <v>1658818.71880957</v>
      </c>
      <c r="AB20" t="n">
        <v>1573966.66793018</v>
      </c>
      <c r="AC20" t="n">
        <v>1582903.44632959</v>
      </c>
      <c r="AD20" t="n">
        <v>1556335.23678906</v>
      </c>
      <c r="AE20" t="n">
        <v>1776642.51501709</v>
      </c>
      <c r="AF20" t="n">
        <v>1892245.50364062</v>
      </c>
    </row>
    <row r="21">
      <c r="A21" t="s">
        <v>146</v>
      </c>
      <c r="B21" t="s">
        <v>283</v>
      </c>
      <c r="C21" t="s">
        <v>147</v>
      </c>
      <c r="D21" t="s">
        <v>284</v>
      </c>
      <c r="E21" t="s">
        <v>10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283</v>
      </c>
      <c r="C22" t="s">
        <v>149</v>
      </c>
      <c r="D22" t="s">
        <v>284</v>
      </c>
      <c r="E22" t="s">
        <v>10</v>
      </c>
      <c r="F22" t="n">
        <v>2447727.84791687</v>
      </c>
      <c r="G22" t="n">
        <v>2360069.99649536</v>
      </c>
      <c r="H22" t="n">
        <v>2460376.44396265</v>
      </c>
      <c r="I22" t="n">
        <v>2581772.70348462</v>
      </c>
      <c r="J22" t="n">
        <v>2717267.08019946</v>
      </c>
      <c r="K22" t="n">
        <v>2753298.39032593</v>
      </c>
      <c r="L22" t="n">
        <v>2811704.37801977</v>
      </c>
      <c r="M22" t="n">
        <v>2695459.22847437</v>
      </c>
      <c r="N22" t="n">
        <v>2680759.14906335</v>
      </c>
      <c r="O22" t="n">
        <v>2799121.83051599</v>
      </c>
      <c r="P22" t="n">
        <v>2911006.72232327</v>
      </c>
      <c r="Q22" t="n">
        <v>3011433.75454651</v>
      </c>
      <c r="R22" t="n">
        <v>2859517.56317993</v>
      </c>
      <c r="S22" t="n">
        <v>2837824.96335791</v>
      </c>
      <c r="T22" t="n">
        <v>2930282.03596948</v>
      </c>
      <c r="U22" t="n">
        <v>2892627.87329175</v>
      </c>
      <c r="V22" t="n">
        <v>2746525.54631293</v>
      </c>
      <c r="W22" t="n">
        <v>2601525.93323376</v>
      </c>
      <c r="X22" t="n">
        <v>2479473.67948169</v>
      </c>
      <c r="Y22" t="n">
        <v>2519356.10777823</v>
      </c>
      <c r="Z22" t="n">
        <v>2472691.19286438</v>
      </c>
      <c r="AA22" t="n">
        <v>2556596.27887012</v>
      </c>
      <c r="AB22" t="n">
        <v>2496272.29011352</v>
      </c>
      <c r="AC22" t="n">
        <v>2550202.3894639</v>
      </c>
      <c r="AD22" t="n">
        <v>2594487.86921787</v>
      </c>
      <c r="AE22" t="n">
        <v>2712640.92614795</v>
      </c>
      <c r="AF22" t="n">
        <v>2803402.39281479</v>
      </c>
    </row>
    <row r="23">
      <c r="A23" t="s">
        <v>150</v>
      </c>
      <c r="B23" t="s">
        <v>283</v>
      </c>
      <c r="C23" t="s">
        <v>151</v>
      </c>
      <c r="D23" t="s">
        <v>284</v>
      </c>
      <c r="E23" t="s">
        <v>10</v>
      </c>
      <c r="F23" t="n">
        <v>32859105.4985</v>
      </c>
      <c r="G23" t="n">
        <v>33353968.7195</v>
      </c>
      <c r="H23" t="n">
        <v>33980422.71</v>
      </c>
      <c r="I23" t="n">
        <v>31934736.196</v>
      </c>
      <c r="J23" t="n">
        <v>30749529.241</v>
      </c>
      <c r="K23" t="n">
        <v>31180317.82125</v>
      </c>
      <c r="L23" t="n">
        <v>29068209.147</v>
      </c>
      <c r="M23" t="n">
        <v>28056920.98775</v>
      </c>
      <c r="N23" t="n">
        <v>27724769.088</v>
      </c>
      <c r="O23" t="n">
        <v>27758723.1625</v>
      </c>
      <c r="P23" t="n">
        <v>27057707.7295</v>
      </c>
      <c r="Q23" t="n">
        <v>25813911.7555</v>
      </c>
      <c r="R23" t="n">
        <v>24237110.3405</v>
      </c>
      <c r="S23" t="n">
        <v>22342962.63175</v>
      </c>
      <c r="T23" t="n">
        <v>19854579.4425</v>
      </c>
      <c r="U23" t="n">
        <v>17770543.08625</v>
      </c>
      <c r="V23" t="n">
        <v>16386495.46575</v>
      </c>
      <c r="W23" t="n">
        <v>17947123.054</v>
      </c>
      <c r="X23" t="n">
        <v>19331284.908</v>
      </c>
      <c r="Y23" t="n">
        <v>21484416.66425</v>
      </c>
      <c r="Z23" t="n">
        <v>23316476.159625</v>
      </c>
      <c r="AA23" t="n">
        <v>23089665.091125</v>
      </c>
      <c r="AB23" t="n">
        <v>24069217.03425</v>
      </c>
      <c r="AC23" t="n">
        <v>24678768.41325</v>
      </c>
      <c r="AD23" t="n">
        <v>24786313.145</v>
      </c>
      <c r="AE23" t="n">
        <v>23947203.10675</v>
      </c>
      <c r="AF23" t="n">
        <v>23575760.33575</v>
      </c>
    </row>
    <row r="24">
      <c r="A24" t="s">
        <v>152</v>
      </c>
      <c r="B24" t="s">
        <v>283</v>
      </c>
      <c r="C24" t="s">
        <v>153</v>
      </c>
      <c r="D24" t="s">
        <v>284</v>
      </c>
      <c r="E24" t="s">
        <v>10</v>
      </c>
      <c r="F24" t="n">
        <v>45116665.582125</v>
      </c>
      <c r="G24" t="n">
        <v>44987798.216625</v>
      </c>
      <c r="H24" t="n">
        <v>45305299.929</v>
      </c>
      <c r="I24" t="n">
        <v>44076258.6158125</v>
      </c>
      <c r="J24" t="n">
        <v>44036173.51025</v>
      </c>
      <c r="K24" t="n">
        <v>42078983.2531563</v>
      </c>
      <c r="L24" t="n">
        <v>40747904.89</v>
      </c>
      <c r="M24" t="n">
        <v>38479099.416</v>
      </c>
      <c r="N24" t="n">
        <v>38815328.1223125</v>
      </c>
      <c r="O24" t="n">
        <v>39941182.7789688</v>
      </c>
      <c r="P24" t="n">
        <v>40352252.0892188</v>
      </c>
      <c r="Q24" t="n">
        <v>40463454.1129688</v>
      </c>
      <c r="R24" t="n">
        <v>40039403.1855937</v>
      </c>
      <c r="S24" t="n">
        <v>38689338.3103125</v>
      </c>
      <c r="T24" t="n">
        <v>36760990.390125</v>
      </c>
      <c r="U24" t="n">
        <v>37794649.96</v>
      </c>
      <c r="V24" t="n">
        <v>37579460.4450625</v>
      </c>
      <c r="W24" t="n">
        <v>38121394.2463125</v>
      </c>
      <c r="X24" t="n">
        <v>38113679.867875</v>
      </c>
      <c r="Y24" t="n">
        <v>38296931.9020938</v>
      </c>
      <c r="Z24" t="n">
        <v>40004515.4614375</v>
      </c>
      <c r="AA24" t="n">
        <v>41054397.3297812</v>
      </c>
      <c r="AB24" t="n">
        <v>42662728.3281875</v>
      </c>
      <c r="AC24" t="n">
        <v>42806408.1540937</v>
      </c>
      <c r="AD24" t="n">
        <v>41715032.8730625</v>
      </c>
      <c r="AE24" t="n">
        <v>39894467.1717187</v>
      </c>
      <c r="AF24" t="n">
        <v>40754516.1184063</v>
      </c>
    </row>
    <row r="25">
      <c r="A25" t="s">
        <v>154</v>
      </c>
      <c r="B25" t="s">
        <v>283</v>
      </c>
      <c r="C25" t="s">
        <v>155</v>
      </c>
      <c r="D25" t="s">
        <v>284</v>
      </c>
      <c r="E25" t="s">
        <v>10</v>
      </c>
      <c r="F25" t="n">
        <v>2508013.943125</v>
      </c>
      <c r="G25" t="n">
        <v>2600547.523625</v>
      </c>
      <c r="H25" t="n">
        <v>2699891.337</v>
      </c>
      <c r="I25" t="n">
        <v>2788866.4248125</v>
      </c>
      <c r="J25" t="n">
        <v>2748723.13875</v>
      </c>
      <c r="K25" t="n">
        <v>2657869.07765625</v>
      </c>
      <c r="L25" t="n">
        <v>2626572.84925</v>
      </c>
      <c r="M25" t="n">
        <v>2696315.526</v>
      </c>
      <c r="N25" t="n">
        <v>2771201.2150625</v>
      </c>
      <c r="O25" t="n">
        <v>2911957.79796875</v>
      </c>
      <c r="P25" t="n">
        <v>2747405.75321875</v>
      </c>
      <c r="Q25" t="n">
        <v>2833122.97296875</v>
      </c>
      <c r="R25" t="n">
        <v>2703853.18809375</v>
      </c>
      <c r="S25" t="n">
        <v>2535146.0068125</v>
      </c>
      <c r="T25" t="n">
        <v>2358743.157875</v>
      </c>
      <c r="U25" t="n">
        <v>2260247.812</v>
      </c>
      <c r="V25" t="n">
        <v>2132959.2568125</v>
      </c>
      <c r="W25" t="n">
        <v>2085331.1433125</v>
      </c>
      <c r="X25" t="n">
        <v>2249320.625125</v>
      </c>
      <c r="Y25" t="n">
        <v>2254991.98009375</v>
      </c>
      <c r="Z25" t="n">
        <v>2191810.4504375</v>
      </c>
      <c r="AA25" t="n">
        <v>2241216.57003125</v>
      </c>
      <c r="AB25" t="n">
        <v>2206001.0886875</v>
      </c>
      <c r="AC25" t="n">
        <v>2210128.49809375</v>
      </c>
      <c r="AD25" t="n">
        <v>2298956.2230625</v>
      </c>
      <c r="AE25" t="n">
        <v>2267233.17421875</v>
      </c>
      <c r="AF25" t="n">
        <v>2224087.69890625</v>
      </c>
    </row>
    <row r="26">
      <c r="A26" t="s">
        <v>156</v>
      </c>
      <c r="B26" t="s">
        <v>283</v>
      </c>
      <c r="C26" t="s">
        <v>157</v>
      </c>
      <c r="D26" t="s">
        <v>284</v>
      </c>
      <c r="E26" t="s">
        <v>10</v>
      </c>
      <c r="F26" t="n">
        <v>25072702.199</v>
      </c>
      <c r="G26" t="n">
        <v>24939266.749</v>
      </c>
      <c r="H26" t="n">
        <v>24960385.496</v>
      </c>
      <c r="I26" t="n">
        <v>24323143.407</v>
      </c>
      <c r="J26" t="n">
        <v>23806026.7235</v>
      </c>
      <c r="K26" t="n">
        <v>22319777.0155</v>
      </c>
      <c r="L26" t="n">
        <v>21252998.53675</v>
      </c>
      <c r="M26" t="n">
        <v>19443044.59</v>
      </c>
      <c r="N26" t="n">
        <v>18963484.99525</v>
      </c>
      <c r="O26" t="n">
        <v>19548294.565</v>
      </c>
      <c r="P26" t="n">
        <v>20469901.524</v>
      </c>
      <c r="Q26" t="n">
        <v>19745544.46</v>
      </c>
      <c r="R26" t="n">
        <v>19440692.1015</v>
      </c>
      <c r="S26" t="n">
        <v>18985444.8835</v>
      </c>
      <c r="T26" t="n">
        <v>17623208.50825</v>
      </c>
      <c r="U26" t="n">
        <v>17596966.192</v>
      </c>
      <c r="V26" t="n">
        <v>17358654.67225</v>
      </c>
      <c r="W26" t="n">
        <v>17678153.543</v>
      </c>
      <c r="X26" t="n">
        <v>17739951.75475</v>
      </c>
      <c r="Y26" t="n">
        <v>18633754.694</v>
      </c>
      <c r="Z26" t="n">
        <v>19661601.523</v>
      </c>
      <c r="AA26" t="n">
        <v>20336474.58375</v>
      </c>
      <c r="AB26" t="n">
        <v>20775523.8195</v>
      </c>
      <c r="AC26" t="n">
        <v>21463784.928</v>
      </c>
      <c r="AD26" t="n">
        <v>20778563.342</v>
      </c>
      <c r="AE26" t="n">
        <v>20176777.2015</v>
      </c>
      <c r="AF26" t="n">
        <v>20145491.9995</v>
      </c>
    </row>
    <row r="27">
      <c r="A27" t="s">
        <v>158</v>
      </c>
      <c r="B27" t="s">
        <v>283</v>
      </c>
      <c r="C27" t="s">
        <v>159</v>
      </c>
      <c r="D27" t="s">
        <v>284</v>
      </c>
      <c r="E27" t="s">
        <v>10</v>
      </c>
      <c r="F27" t="n">
        <v>17535949.44</v>
      </c>
      <c r="G27" t="n">
        <v>17447983.944</v>
      </c>
      <c r="H27" t="n">
        <v>17645023.096</v>
      </c>
      <c r="I27" t="n">
        <v>16964248.784</v>
      </c>
      <c r="J27" t="n">
        <v>17481423.648</v>
      </c>
      <c r="K27" t="n">
        <v>17101337.16</v>
      </c>
      <c r="L27" t="n">
        <v>16868333.504</v>
      </c>
      <c r="M27" t="n">
        <v>16339739.3</v>
      </c>
      <c r="N27" t="n">
        <v>17080641.912</v>
      </c>
      <c r="O27" t="n">
        <v>17480930.416</v>
      </c>
      <c r="P27" t="n">
        <v>17134944.812</v>
      </c>
      <c r="Q27" t="n">
        <v>17884786.68</v>
      </c>
      <c r="R27" t="n">
        <v>17894857.896</v>
      </c>
      <c r="S27" t="n">
        <v>17168747.42</v>
      </c>
      <c r="T27" t="n">
        <v>16779038.724</v>
      </c>
      <c r="U27" t="n">
        <v>17937435.956</v>
      </c>
      <c r="V27" t="n">
        <v>18087846.516</v>
      </c>
      <c r="W27" t="n">
        <v>18357909.56</v>
      </c>
      <c r="X27" t="n">
        <v>18124407.488</v>
      </c>
      <c r="Y27" t="n">
        <v>17408185.228</v>
      </c>
      <c r="Z27" t="n">
        <v>18151103.488</v>
      </c>
      <c r="AA27" t="n">
        <v>18476706.176</v>
      </c>
      <c r="AB27" t="n">
        <v>19681203.42</v>
      </c>
      <c r="AC27" t="n">
        <v>19132494.728</v>
      </c>
      <c r="AD27" t="n">
        <v>18637513.308</v>
      </c>
      <c r="AE27" t="n">
        <v>17450456.796</v>
      </c>
      <c r="AF27" t="n">
        <v>18384936.42</v>
      </c>
    </row>
    <row r="28">
      <c r="A28" t="s">
        <v>160</v>
      </c>
      <c r="B28" t="s">
        <v>283</v>
      </c>
      <c r="C28" t="s">
        <v>161</v>
      </c>
      <c r="D28" t="s">
        <v>284</v>
      </c>
      <c r="E28" t="s">
        <v>10</v>
      </c>
      <c r="F28" t="n">
        <v>21144933.9564375</v>
      </c>
      <c r="G28" t="n">
        <v>21182913.0992187</v>
      </c>
      <c r="H28" t="n">
        <v>20919632.7176719</v>
      </c>
      <c r="I28" t="n">
        <v>20049010.3407812</v>
      </c>
      <c r="J28" t="n">
        <v>19367798.3147656</v>
      </c>
      <c r="K28" t="n">
        <v>19531544.1317813</v>
      </c>
      <c r="L28" t="n">
        <v>18618894.9865469</v>
      </c>
      <c r="M28" t="n">
        <v>17904748.3495781</v>
      </c>
      <c r="N28" t="n">
        <v>17577565.0539531</v>
      </c>
      <c r="O28" t="n">
        <v>17643436.8870703</v>
      </c>
      <c r="P28" t="n">
        <v>17115429.4041953</v>
      </c>
      <c r="Q28" t="n">
        <v>17884178.8039687</v>
      </c>
      <c r="R28" t="n">
        <v>17407387.4226094</v>
      </c>
      <c r="S28" t="n">
        <v>17318382.9601172</v>
      </c>
      <c r="T28" t="n">
        <v>16929239.8522891</v>
      </c>
      <c r="U28" t="n">
        <v>17121090.2722422</v>
      </c>
      <c r="V28" t="n">
        <v>16110806.5611328</v>
      </c>
      <c r="W28" t="n">
        <v>16442305.4689375</v>
      </c>
      <c r="X28" t="n">
        <v>16991346.2540078</v>
      </c>
      <c r="Y28" t="n">
        <v>16971681.6728828</v>
      </c>
      <c r="Z28" t="n">
        <v>17167158.6821094</v>
      </c>
      <c r="AA28" t="n">
        <v>17183187.8646211</v>
      </c>
      <c r="AB28" t="n">
        <v>17331180.9405039</v>
      </c>
      <c r="AC28" t="n">
        <v>17718010.1590156</v>
      </c>
      <c r="AD28" t="n">
        <v>17914509.6417266</v>
      </c>
      <c r="AE28" t="n">
        <v>16833481.045625</v>
      </c>
      <c r="AF28" t="n">
        <v>16907997.064</v>
      </c>
    </row>
    <row r="29">
      <c r="A29" t="s">
        <v>162</v>
      </c>
      <c r="B29" t="s">
        <v>283</v>
      </c>
      <c r="C29" t="s">
        <v>163</v>
      </c>
      <c r="D29" t="s">
        <v>284</v>
      </c>
      <c r="E29" t="s">
        <v>10</v>
      </c>
      <c r="F29" t="n">
        <v>14486841.3898281</v>
      </c>
      <c r="G29" t="n">
        <v>14661670.0760313</v>
      </c>
      <c r="H29" t="n">
        <v>14703033.8944375</v>
      </c>
      <c r="I29" t="n">
        <v>14197380.41725</v>
      </c>
      <c r="J29" t="n">
        <v>13749344.9646563</v>
      </c>
      <c r="K29" t="n">
        <v>13853918.2711875</v>
      </c>
      <c r="L29" t="n">
        <v>13131304.4570469</v>
      </c>
      <c r="M29" t="n">
        <v>12567472.2483594</v>
      </c>
      <c r="N29" t="n">
        <v>12422855.8248906</v>
      </c>
      <c r="O29" t="n">
        <v>12516225.542125</v>
      </c>
      <c r="P29" t="n">
        <v>12132400.6704219</v>
      </c>
      <c r="Q29" t="n">
        <v>12643053.0640313</v>
      </c>
      <c r="R29" t="n">
        <v>12250588.7370625</v>
      </c>
      <c r="S29" t="n">
        <v>12291976.195125</v>
      </c>
      <c r="T29" t="n">
        <v>11660906.4574219</v>
      </c>
      <c r="U29" t="n">
        <v>11724110.7717656</v>
      </c>
      <c r="V29" t="n">
        <v>11244070.9885</v>
      </c>
      <c r="W29" t="n">
        <v>11452493.4893125</v>
      </c>
      <c r="X29" t="n">
        <v>12100468.6257812</v>
      </c>
      <c r="Y29" t="n">
        <v>11898951.1628281</v>
      </c>
      <c r="Z29" t="n">
        <v>12186829.1715781</v>
      </c>
      <c r="AA29" t="n">
        <v>12209777.5268125</v>
      </c>
      <c r="AB29" t="n">
        <v>12280218.9640469</v>
      </c>
      <c r="AC29" t="n">
        <v>12509904.7417969</v>
      </c>
      <c r="AD29" t="n">
        <v>12615073.4533438</v>
      </c>
      <c r="AE29" t="n">
        <v>11902850.6381094</v>
      </c>
      <c r="AF29" t="n">
        <v>12261201.4856406</v>
      </c>
    </row>
    <row r="30">
      <c r="A30" t="s">
        <v>164</v>
      </c>
      <c r="B30" t="s">
        <v>283</v>
      </c>
      <c r="C30" t="s">
        <v>165</v>
      </c>
      <c r="D30" t="s">
        <v>284</v>
      </c>
      <c r="E30" t="s">
        <v>10</v>
      </c>
      <c r="F30" t="n">
        <v>1252674.26676562</v>
      </c>
      <c r="G30" t="n">
        <v>1251449.07440625</v>
      </c>
      <c r="H30" t="n">
        <v>1177186.93057812</v>
      </c>
      <c r="I30" t="n">
        <v>1065310.50346875</v>
      </c>
      <c r="J30" t="n">
        <v>991625.933546875</v>
      </c>
      <c r="K30" t="n">
        <v>994605.38003125</v>
      </c>
      <c r="L30" t="n">
        <v>942372.52134375</v>
      </c>
      <c r="M30" t="n">
        <v>899615.29325</v>
      </c>
      <c r="N30" t="n">
        <v>843779.8713125</v>
      </c>
      <c r="O30" t="n">
        <v>846154.743601562</v>
      </c>
      <c r="P30" t="n">
        <v>858861.263867188</v>
      </c>
      <c r="Q30" t="n">
        <v>932028.599</v>
      </c>
      <c r="R30" t="n">
        <v>995234.382109375</v>
      </c>
      <c r="S30" t="n">
        <v>913410.250875</v>
      </c>
      <c r="T30" t="n">
        <v>1056280.39821875</v>
      </c>
      <c r="U30" t="n">
        <v>1069165.57375</v>
      </c>
      <c r="V30" t="n">
        <v>836105.274984375</v>
      </c>
      <c r="W30" t="n">
        <v>1016480.19909375</v>
      </c>
      <c r="X30" t="n">
        <v>888376.818320313</v>
      </c>
      <c r="Y30" t="n">
        <v>964294.235828125</v>
      </c>
      <c r="Z30" t="n">
        <v>881044.485960937</v>
      </c>
      <c r="AA30" t="n">
        <v>835633.340980469</v>
      </c>
      <c r="AB30" t="n">
        <v>912672.381199219</v>
      </c>
      <c r="AC30" t="n">
        <v>971269.405765625</v>
      </c>
      <c r="AD30" t="n">
        <v>855274.53571875</v>
      </c>
      <c r="AE30" t="n">
        <v>744027.896359375</v>
      </c>
      <c r="AF30" t="n">
        <v>830451.9375</v>
      </c>
    </row>
    <row r="31">
      <c r="A31" t="s">
        <v>166</v>
      </c>
      <c r="B31" t="s">
        <v>283</v>
      </c>
      <c r="C31" t="s">
        <v>167</v>
      </c>
      <c r="D31" t="s">
        <v>284</v>
      </c>
      <c r="E31" t="s">
        <v>10</v>
      </c>
      <c r="F31" t="n">
        <v>996108.92346875</v>
      </c>
      <c r="G31" t="n">
        <v>996418.49428125</v>
      </c>
      <c r="H31" t="n">
        <v>937161.55840625</v>
      </c>
      <c r="I31" t="n">
        <v>877768.5743125</v>
      </c>
      <c r="J31" t="n">
        <v>824890.9438125</v>
      </c>
      <c r="K31" t="n">
        <v>867413.3153125</v>
      </c>
      <c r="L31" t="n">
        <v>805021.78778125</v>
      </c>
      <c r="M31" t="n">
        <v>746474.06221875</v>
      </c>
      <c r="N31" t="n">
        <v>692247.02825</v>
      </c>
      <c r="O31" t="n">
        <v>661625.86984375</v>
      </c>
      <c r="P31" t="n">
        <v>623516.92665625</v>
      </c>
      <c r="Q31" t="n">
        <v>638304.3875625</v>
      </c>
      <c r="R31" t="n">
        <v>708658.446875</v>
      </c>
      <c r="S31" t="n">
        <v>691101.281804687</v>
      </c>
      <c r="T31" t="n">
        <v>760716.393710937</v>
      </c>
      <c r="U31" t="n">
        <v>810751.979976563</v>
      </c>
      <c r="V31" t="n">
        <v>731887.404273437</v>
      </c>
      <c r="W31" t="n">
        <v>823304.54878125</v>
      </c>
      <c r="X31" t="n">
        <v>747342.72565625</v>
      </c>
      <c r="Y31" t="n">
        <v>851365.682851563</v>
      </c>
      <c r="Z31" t="n">
        <v>708358.561070313</v>
      </c>
      <c r="AA31" t="n">
        <v>785599.793453125</v>
      </c>
      <c r="AB31" t="n">
        <v>641257.138070312</v>
      </c>
      <c r="AC31" t="n">
        <v>762247.277703125</v>
      </c>
      <c r="AD31" t="n">
        <v>809290.792539062</v>
      </c>
      <c r="AE31" t="n">
        <v>702021.44478125</v>
      </c>
      <c r="AF31" t="n">
        <v>553681.056609375</v>
      </c>
    </row>
    <row r="32">
      <c r="A32" t="s">
        <v>168</v>
      </c>
      <c r="B32" t="s">
        <v>283</v>
      </c>
      <c r="C32" t="s">
        <v>169</v>
      </c>
      <c r="D32" t="s">
        <v>284</v>
      </c>
      <c r="E32" t="s">
        <v>10</v>
      </c>
      <c r="F32" t="n">
        <v>1911569.203875</v>
      </c>
      <c r="G32" t="n">
        <v>1887479.6445</v>
      </c>
      <c r="H32" t="n">
        <v>1805573.52175</v>
      </c>
      <c r="I32" t="n">
        <v>1717528.7405</v>
      </c>
      <c r="J32" t="n">
        <v>1673177.85575</v>
      </c>
      <c r="K32" t="n">
        <v>1708954.34775</v>
      </c>
      <c r="L32" t="n">
        <v>1687694.715</v>
      </c>
      <c r="M32" t="n">
        <v>1689717.1175</v>
      </c>
      <c r="N32" t="n">
        <v>1662122.99325</v>
      </c>
      <c r="O32" t="n">
        <v>1711979.56</v>
      </c>
      <c r="P32" t="n">
        <v>1632237.67525</v>
      </c>
      <c r="Q32" t="n">
        <v>1781076.26</v>
      </c>
      <c r="R32" t="n">
        <v>1747869.06325</v>
      </c>
      <c r="S32" t="n">
        <v>1738626.5965</v>
      </c>
      <c r="T32" t="n">
        <v>1781683.183375</v>
      </c>
      <c r="U32" t="n">
        <v>1822728.714</v>
      </c>
      <c r="V32" t="n">
        <v>1682557.301125</v>
      </c>
      <c r="W32" t="n">
        <v>1689026.01625</v>
      </c>
      <c r="X32" t="n">
        <v>1768887.8145</v>
      </c>
      <c r="Y32" t="n">
        <v>1784008.9905</v>
      </c>
      <c r="Z32" t="n">
        <v>1871322.082875</v>
      </c>
      <c r="AA32" t="n">
        <v>1817992.21</v>
      </c>
      <c r="AB32" t="n">
        <v>1923766.818</v>
      </c>
      <c r="AC32" t="n">
        <v>1931843.07125</v>
      </c>
      <c r="AD32" t="n">
        <v>2085164.59575</v>
      </c>
      <c r="AE32" t="n">
        <v>2069199.082625</v>
      </c>
      <c r="AF32" t="n">
        <v>1914847.316</v>
      </c>
    </row>
    <row r="33">
      <c r="A33" t="s">
        <v>170</v>
      </c>
      <c r="B33" t="s">
        <v>283</v>
      </c>
      <c r="C33" t="s">
        <v>171</v>
      </c>
      <c r="D33" t="s">
        <v>284</v>
      </c>
      <c r="E33" t="s">
        <v>10</v>
      </c>
      <c r="F33" t="n">
        <v>2497740.1725</v>
      </c>
      <c r="G33" t="n">
        <v>2385895.81</v>
      </c>
      <c r="H33" t="n">
        <v>2296676.8125</v>
      </c>
      <c r="I33" t="n">
        <v>2191022.10525</v>
      </c>
      <c r="J33" t="n">
        <v>2128758.617</v>
      </c>
      <c r="K33" t="n">
        <v>2106652.8175</v>
      </c>
      <c r="L33" t="n">
        <v>2052501.505375</v>
      </c>
      <c r="M33" t="n">
        <v>2001469.62825</v>
      </c>
      <c r="N33" t="n">
        <v>1956559.33625</v>
      </c>
      <c r="O33" t="n">
        <v>1907451.1715</v>
      </c>
      <c r="P33" t="n">
        <v>1868412.868</v>
      </c>
      <c r="Q33" t="n">
        <v>1889716.493375</v>
      </c>
      <c r="R33" t="n">
        <v>1705036.7933125</v>
      </c>
      <c r="S33" t="n">
        <v>1683268.6358125</v>
      </c>
      <c r="T33" t="n">
        <v>1669653.4195625</v>
      </c>
      <c r="U33" t="n">
        <v>1694333.23275</v>
      </c>
      <c r="V33" t="n">
        <v>1616185.59225</v>
      </c>
      <c r="W33" t="n">
        <v>1461001.2155</v>
      </c>
      <c r="X33" t="n">
        <v>1486270.26975</v>
      </c>
      <c r="Y33" t="n">
        <v>1473061.600875</v>
      </c>
      <c r="Z33" t="n">
        <v>1519604.380625</v>
      </c>
      <c r="AA33" t="n">
        <v>1534184.993375</v>
      </c>
      <c r="AB33" t="n">
        <v>1573265.6391875</v>
      </c>
      <c r="AC33" t="n">
        <v>1542745.6625</v>
      </c>
      <c r="AD33" t="n">
        <v>1549706.264375</v>
      </c>
      <c r="AE33" t="n">
        <v>1415381.98375</v>
      </c>
      <c r="AF33" t="n">
        <v>1347815.26825</v>
      </c>
    </row>
    <row r="34">
      <c r="A34" t="s">
        <v>172</v>
      </c>
      <c r="B34" t="s">
        <v>283</v>
      </c>
      <c r="C34" t="s">
        <v>173</v>
      </c>
      <c r="D34" t="s">
        <v>284</v>
      </c>
      <c r="E34" t="s">
        <v>10</v>
      </c>
      <c r="F34" t="n">
        <v>10881014.317</v>
      </c>
      <c r="G34" t="n">
        <v>11020473.4195</v>
      </c>
      <c r="H34" t="n">
        <v>11058353.9775</v>
      </c>
      <c r="I34" t="n">
        <v>10416230.594</v>
      </c>
      <c r="J34" t="n">
        <v>10427279.016</v>
      </c>
      <c r="K34" t="n">
        <v>10234334.89425</v>
      </c>
      <c r="L34" t="n">
        <v>9823574.238</v>
      </c>
      <c r="M34" t="n">
        <v>9142135.3105</v>
      </c>
      <c r="N34" t="n">
        <v>8809551.5675</v>
      </c>
      <c r="O34" t="n">
        <v>8851959.6205</v>
      </c>
      <c r="P34" t="n">
        <v>8619915.0215</v>
      </c>
      <c r="Q34" t="n">
        <v>9010028.3705</v>
      </c>
      <c r="R34" t="n">
        <v>8887284.486</v>
      </c>
      <c r="S34" t="n">
        <v>8608312.979</v>
      </c>
      <c r="T34" t="n">
        <v>8464022.95025</v>
      </c>
      <c r="U34" t="n">
        <v>8657534.78</v>
      </c>
      <c r="V34" t="n">
        <v>8441033.2635</v>
      </c>
      <c r="W34" t="n">
        <v>8378134.77725</v>
      </c>
      <c r="X34" t="n">
        <v>8367378.00075</v>
      </c>
      <c r="Y34" t="n">
        <v>8482733.46775</v>
      </c>
      <c r="Z34" t="n">
        <v>8333477.96225</v>
      </c>
      <c r="AA34" t="n">
        <v>8593605.704</v>
      </c>
      <c r="AB34" t="n">
        <v>8524047.2045</v>
      </c>
      <c r="AC34" t="n">
        <v>8741429.04575</v>
      </c>
      <c r="AD34" t="n">
        <v>8935890.91675</v>
      </c>
      <c r="AE34" t="n">
        <v>7988603.833</v>
      </c>
      <c r="AF34" t="n">
        <v>7545920.47325</v>
      </c>
    </row>
    <row r="35">
      <c r="A35" t="s">
        <v>174</v>
      </c>
      <c r="B35" t="s">
        <v>283</v>
      </c>
      <c r="C35" t="s">
        <v>175</v>
      </c>
      <c r="D35" t="s">
        <v>284</v>
      </c>
      <c r="E35" t="s">
        <v>10</v>
      </c>
      <c r="F35" t="n">
        <v>8036659.12871875</v>
      </c>
      <c r="G35" t="n">
        <v>8647176.80710937</v>
      </c>
      <c r="H35" t="n">
        <v>9038852.7928125</v>
      </c>
      <c r="I35" t="n">
        <v>9904994.2751875</v>
      </c>
      <c r="J35" t="n">
        <v>9757415.12264062</v>
      </c>
      <c r="K35" t="n">
        <v>10639253.0775469</v>
      </c>
      <c r="L35" t="n">
        <v>10693968.6552812</v>
      </c>
      <c r="M35" t="n">
        <v>10425335.66225</v>
      </c>
      <c r="N35" t="n">
        <v>10621251.3225</v>
      </c>
      <c r="O35" t="n">
        <v>10717202.28925</v>
      </c>
      <c r="P35" t="n">
        <v>11149078.3689063</v>
      </c>
      <c r="Q35" t="n">
        <v>12028332.1049219</v>
      </c>
      <c r="R35" t="n">
        <v>11871249.9182188</v>
      </c>
      <c r="S35" t="n">
        <v>11406230.4815156</v>
      </c>
      <c r="T35" t="n">
        <v>11819476.7545</v>
      </c>
      <c r="U35" t="n">
        <v>11275943.3728437</v>
      </c>
      <c r="V35" t="n">
        <v>11304659.3865625</v>
      </c>
      <c r="W35" t="n">
        <v>10354488.3003828</v>
      </c>
      <c r="X35" t="n">
        <v>10498085.733375</v>
      </c>
      <c r="Y35" t="n">
        <v>10315437.9815469</v>
      </c>
      <c r="Z35" t="n">
        <v>10830794.008125</v>
      </c>
      <c r="AA35" t="n">
        <v>10926186.6593906</v>
      </c>
      <c r="AB35" t="n">
        <v>11307505.5776172</v>
      </c>
      <c r="AC35" t="n">
        <v>11553168.7405938</v>
      </c>
      <c r="AD35" t="n">
        <v>11514349.6525</v>
      </c>
      <c r="AE35" t="n">
        <v>12018024.9145</v>
      </c>
      <c r="AF35" t="n">
        <v>12223102.5971875</v>
      </c>
    </row>
    <row r="36">
      <c r="A36" t="s">
        <v>176</v>
      </c>
      <c r="B36" t="s">
        <v>283</v>
      </c>
      <c r="C36" t="s">
        <v>177</v>
      </c>
      <c r="D36" t="s">
        <v>284</v>
      </c>
      <c r="E36" t="s">
        <v>10</v>
      </c>
      <c r="F36" t="n">
        <v>2384136.48028125</v>
      </c>
      <c r="G36" t="n">
        <v>2415049.63010937</v>
      </c>
      <c r="H36" t="n">
        <v>2503773.727625</v>
      </c>
      <c r="I36" t="n">
        <v>2809101.247875</v>
      </c>
      <c r="J36" t="n">
        <v>2594261.32726562</v>
      </c>
      <c r="K36" t="n">
        <v>2608978.19729688</v>
      </c>
      <c r="L36" t="n">
        <v>2490612.05253125</v>
      </c>
      <c r="M36" t="n">
        <v>2508689.698375</v>
      </c>
      <c r="N36" t="n">
        <v>2445577.798</v>
      </c>
      <c r="O36" t="n">
        <v>2691947.61325</v>
      </c>
      <c r="P36" t="n">
        <v>2435365.17365625</v>
      </c>
      <c r="Q36" t="n">
        <v>2728939.41229687</v>
      </c>
      <c r="R36" t="n">
        <v>2758361.04021875</v>
      </c>
      <c r="S36" t="n">
        <v>2836174.72601563</v>
      </c>
      <c r="T36" t="n">
        <v>2759309.4200625</v>
      </c>
      <c r="U36" t="n">
        <v>2815225.75653125</v>
      </c>
      <c r="V36" t="n">
        <v>2693275.1535625</v>
      </c>
      <c r="W36" t="n">
        <v>2015403.73457031</v>
      </c>
      <c r="X36" t="n">
        <v>2083811.6743125</v>
      </c>
      <c r="Y36" t="n">
        <v>2113459.34298438</v>
      </c>
      <c r="Z36" t="n">
        <v>2115790.2291875</v>
      </c>
      <c r="AA36" t="n">
        <v>1902343.85757813</v>
      </c>
      <c r="AB36" t="n">
        <v>2097707.64267969</v>
      </c>
      <c r="AC36" t="n">
        <v>2045251.45953125</v>
      </c>
      <c r="AD36" t="n">
        <v>2069396.9920625</v>
      </c>
      <c r="AE36" t="n">
        <v>2051126.9638125</v>
      </c>
      <c r="AF36" t="n">
        <v>2202937.4776875</v>
      </c>
    </row>
    <row r="37">
      <c r="A37" t="s">
        <v>178</v>
      </c>
      <c r="B37" t="s">
        <v>283</v>
      </c>
      <c r="C37" t="s">
        <v>179</v>
      </c>
      <c r="D37" t="s">
        <v>284</v>
      </c>
      <c r="E37" t="s">
        <v>10</v>
      </c>
      <c r="F37" t="n">
        <v>1679397.6220625</v>
      </c>
      <c r="G37" t="n">
        <v>2027004.9735</v>
      </c>
      <c r="H37" t="n">
        <v>1936378.5333125</v>
      </c>
      <c r="I37" t="n">
        <v>1916011.6825625</v>
      </c>
      <c r="J37" t="n">
        <v>1934618.5385</v>
      </c>
      <c r="K37" t="n">
        <v>2393740.864</v>
      </c>
      <c r="L37" t="n">
        <v>2341639.06175</v>
      </c>
      <c r="M37" t="n">
        <v>2006343.3485</v>
      </c>
      <c r="N37" t="n">
        <v>1827676.418</v>
      </c>
      <c r="O37" t="n">
        <v>1620391.249375</v>
      </c>
      <c r="P37" t="n">
        <v>1818068.976125</v>
      </c>
      <c r="Q37" t="n">
        <v>2073654.678625</v>
      </c>
      <c r="R37" t="n">
        <v>1991153.811125</v>
      </c>
      <c r="S37" t="n">
        <v>1607324.058875</v>
      </c>
      <c r="T37" t="n">
        <v>1684675.7588125</v>
      </c>
      <c r="U37" t="n">
        <v>1701710.1020625</v>
      </c>
      <c r="V37" t="n">
        <v>1576111.583</v>
      </c>
      <c r="W37" t="n">
        <v>1461193.9315625</v>
      </c>
      <c r="X37" t="n">
        <v>1624733.021125</v>
      </c>
      <c r="Y37" t="n">
        <v>1531165.1195625</v>
      </c>
      <c r="Z37" t="n">
        <v>1486841.7753125</v>
      </c>
      <c r="AA37" t="n">
        <v>1682289.626625</v>
      </c>
      <c r="AB37" t="n">
        <v>1721304.90675</v>
      </c>
      <c r="AC37" t="n">
        <v>2023614.8986875</v>
      </c>
      <c r="AD37" t="n">
        <v>2004861.7271875</v>
      </c>
      <c r="AE37" t="n">
        <v>2189859.2373125</v>
      </c>
      <c r="AF37" t="n">
        <v>2164986.74925</v>
      </c>
    </row>
    <row r="38">
      <c r="A38" t="s">
        <v>180</v>
      </c>
      <c r="B38" t="s">
        <v>283</v>
      </c>
      <c r="C38" t="s">
        <v>181</v>
      </c>
      <c r="D38" t="s">
        <v>284</v>
      </c>
      <c r="E38" t="s">
        <v>10</v>
      </c>
      <c r="F38" t="n">
        <v>3973125.026375</v>
      </c>
      <c r="G38" t="n">
        <v>4205122.2035</v>
      </c>
      <c r="H38" t="n">
        <v>4598700.531875</v>
      </c>
      <c r="I38" t="n">
        <v>5179881.34475</v>
      </c>
      <c r="J38" t="n">
        <v>5228535.256875</v>
      </c>
      <c r="K38" t="n">
        <v>5636534.01625</v>
      </c>
      <c r="L38" t="n">
        <v>5861717.541</v>
      </c>
      <c r="M38" t="n">
        <v>5910302.615375</v>
      </c>
      <c r="N38" t="n">
        <v>6347997.1065</v>
      </c>
      <c r="O38" t="n">
        <v>6404863.426625</v>
      </c>
      <c r="P38" t="n">
        <v>6895644.219125</v>
      </c>
      <c r="Q38" t="n">
        <v>7225738.014</v>
      </c>
      <c r="R38" t="n">
        <v>7121735.066875</v>
      </c>
      <c r="S38" t="n">
        <v>6962731.696625</v>
      </c>
      <c r="T38" t="n">
        <v>7375491.575625</v>
      </c>
      <c r="U38" t="n">
        <v>6759007.51425</v>
      </c>
      <c r="V38" t="n">
        <v>7035272.65</v>
      </c>
      <c r="W38" t="n">
        <v>6877890.63425</v>
      </c>
      <c r="X38" t="n">
        <v>6789541.0379375</v>
      </c>
      <c r="Y38" t="n">
        <v>6670813.519</v>
      </c>
      <c r="Z38" t="n">
        <v>7228162.003625</v>
      </c>
      <c r="AA38" t="n">
        <v>7341553.1751875</v>
      </c>
      <c r="AB38" t="n">
        <v>7488493.0281875</v>
      </c>
      <c r="AC38" t="n">
        <v>7484302.382375</v>
      </c>
      <c r="AD38" t="n">
        <v>7440090.93325</v>
      </c>
      <c r="AE38" t="n">
        <v>7777038.713375</v>
      </c>
      <c r="AF38" t="n">
        <v>7855178.37025</v>
      </c>
    </row>
    <row r="39">
      <c r="A39" t="s">
        <v>182</v>
      </c>
      <c r="B39" t="s">
        <v>283</v>
      </c>
      <c r="C39" t="s">
        <v>183</v>
      </c>
      <c r="D39" t="s">
        <v>284</v>
      </c>
      <c r="E39" t="s">
        <v>10</v>
      </c>
      <c r="F39" t="n">
        <v>13656045.9205156</v>
      </c>
      <c r="G39" t="n">
        <v>13562564.8087148</v>
      </c>
      <c r="H39" t="n">
        <v>13309182.1528984</v>
      </c>
      <c r="I39" t="n">
        <v>13051570.4162812</v>
      </c>
      <c r="J39" t="n">
        <v>12378411.2539219</v>
      </c>
      <c r="K39" t="n">
        <v>12576047.9506563</v>
      </c>
      <c r="L39" t="n">
        <v>11429619.8189688</v>
      </c>
      <c r="M39" t="n">
        <v>11532732.8525625</v>
      </c>
      <c r="N39" t="n">
        <v>11171482.8694375</v>
      </c>
      <c r="O39" t="n">
        <v>11201121.2414375</v>
      </c>
      <c r="P39" t="n">
        <v>11556781.1188125</v>
      </c>
      <c r="Q39" t="n">
        <v>11914508.3329375</v>
      </c>
      <c r="R39" t="n">
        <v>11554988.8929375</v>
      </c>
      <c r="S39" t="n">
        <v>11411479.4182812</v>
      </c>
      <c r="T39" t="n">
        <v>10919555.2448437</v>
      </c>
      <c r="U39" t="n">
        <v>10889084.9042812</v>
      </c>
      <c r="V39" t="n">
        <v>9988650.79053125</v>
      </c>
      <c r="W39" t="n">
        <v>10228735.7502813</v>
      </c>
      <c r="X39" t="n">
        <v>9786337.86015625</v>
      </c>
      <c r="Y39" t="n">
        <v>9358305.01646875</v>
      </c>
      <c r="Z39" t="n">
        <v>9521589.601375</v>
      </c>
      <c r="AA39" t="n">
        <v>9703838.143</v>
      </c>
      <c r="AB39" t="n">
        <v>10178307.4990312</v>
      </c>
      <c r="AC39" t="n">
        <v>9820217.30703125</v>
      </c>
      <c r="AD39" t="n">
        <v>9765165.275375</v>
      </c>
      <c r="AE39" t="n">
        <v>9680326.0239375</v>
      </c>
      <c r="AF39" t="n">
        <v>9732620.68760937</v>
      </c>
    </row>
    <row r="40">
      <c r="A40" t="s">
        <v>184</v>
      </c>
      <c r="B40" t="s">
        <v>283</v>
      </c>
      <c r="C40" t="s">
        <v>185</v>
      </c>
      <c r="D40" t="s">
        <v>284</v>
      </c>
      <c r="E40" t="s">
        <v>10</v>
      </c>
      <c r="F40" t="n">
        <v>4527473.24934375</v>
      </c>
      <c r="G40" t="n">
        <v>4688151.965375</v>
      </c>
      <c r="H40" t="n">
        <v>4677308.74925</v>
      </c>
      <c r="I40" t="n">
        <v>4852845.33325</v>
      </c>
      <c r="J40" t="n">
        <v>4720313.5515</v>
      </c>
      <c r="K40" t="n">
        <v>5113940.891</v>
      </c>
      <c r="L40" t="n">
        <v>4763192.3303125</v>
      </c>
      <c r="M40" t="n">
        <v>5036310.2718125</v>
      </c>
      <c r="N40" t="n">
        <v>5284465.1105625</v>
      </c>
      <c r="O40" t="n">
        <v>5564841.174375</v>
      </c>
      <c r="P40" t="n">
        <v>5511919.8558125</v>
      </c>
      <c r="Q40" t="n">
        <v>6032018.947125</v>
      </c>
      <c r="R40" t="n">
        <v>6327629.44225</v>
      </c>
      <c r="S40" t="n">
        <v>6449666.8658125</v>
      </c>
      <c r="T40" t="n">
        <v>6583335.40275</v>
      </c>
      <c r="U40" t="n">
        <v>6687362.75375</v>
      </c>
      <c r="V40" t="n">
        <v>6338750.411375</v>
      </c>
      <c r="W40" t="n">
        <v>6645845.299125</v>
      </c>
      <c r="X40" t="n">
        <v>6504618.9195</v>
      </c>
      <c r="Y40" t="n">
        <v>5868024.46325</v>
      </c>
      <c r="Z40" t="n">
        <v>5949781.82925</v>
      </c>
      <c r="AA40" t="n">
        <v>6320826.703875</v>
      </c>
      <c r="AB40" t="n">
        <v>7049545.50475</v>
      </c>
      <c r="AC40" t="n">
        <v>7378419.74225</v>
      </c>
      <c r="AD40" t="n">
        <v>7166147.36425</v>
      </c>
      <c r="AE40" t="n">
        <v>7630438.29875</v>
      </c>
      <c r="AF40" t="n">
        <v>7635195.1535</v>
      </c>
    </row>
    <row r="41">
      <c r="A41" t="s">
        <v>186</v>
      </c>
      <c r="B41" t="s">
        <v>283</v>
      </c>
      <c r="C41" t="s">
        <v>187</v>
      </c>
      <c r="D41" t="s">
        <v>284</v>
      </c>
      <c r="E41" t="s">
        <v>10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283</v>
      </c>
      <c r="C42" t="s">
        <v>189</v>
      </c>
      <c r="D42" t="s">
        <v>284</v>
      </c>
      <c r="E42" t="s">
        <v>10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283</v>
      </c>
      <c r="C43" t="s">
        <v>191</v>
      </c>
      <c r="D43" t="s">
        <v>284</v>
      </c>
      <c r="E43" t="s">
        <v>10</v>
      </c>
      <c r="F43" t="n">
        <v>17037977.9850625</v>
      </c>
      <c r="G43" t="n">
        <v>17189537.587</v>
      </c>
      <c r="H43" t="n">
        <v>17696847.0475</v>
      </c>
      <c r="I43" t="n">
        <v>18083356.1085938</v>
      </c>
      <c r="J43" t="n">
        <v>17547079.980875</v>
      </c>
      <c r="K43" t="n">
        <v>17526948.4206875</v>
      </c>
      <c r="L43" t="n">
        <v>17750637.2859688</v>
      </c>
      <c r="M43" t="n">
        <v>17176084.9397187</v>
      </c>
      <c r="N43" t="n">
        <v>17757541.8590625</v>
      </c>
      <c r="O43" t="n">
        <v>19041569.6640938</v>
      </c>
      <c r="P43" t="n">
        <v>19127005.0410938</v>
      </c>
      <c r="Q43" t="n">
        <v>21210105.0705312</v>
      </c>
      <c r="R43" t="n">
        <v>21686361.6254375</v>
      </c>
      <c r="S43" t="n">
        <v>21863027.5623125</v>
      </c>
      <c r="T43" t="n">
        <v>21274651.5770938</v>
      </c>
      <c r="U43" t="n">
        <v>20847974.3724375</v>
      </c>
      <c r="V43" t="n">
        <v>22066361.4400625</v>
      </c>
      <c r="W43" t="n">
        <v>22671722.654</v>
      </c>
      <c r="X43" t="n">
        <v>23300861.4956094</v>
      </c>
      <c r="Y43" t="n">
        <v>23793418.3492813</v>
      </c>
      <c r="Z43" t="n">
        <v>24657586.0960625</v>
      </c>
      <c r="AA43" t="n">
        <v>26281508.0760469</v>
      </c>
      <c r="AB43" t="n">
        <v>27082300.1921875</v>
      </c>
      <c r="AC43" t="n">
        <v>27311139.5930625</v>
      </c>
      <c r="AD43" t="n">
        <v>28479706.0783281</v>
      </c>
      <c r="AE43" t="n">
        <v>27752257.322125</v>
      </c>
      <c r="AF43" t="n">
        <v>28776622.9830937</v>
      </c>
    </row>
    <row r="44">
      <c r="A44" t="s">
        <v>192</v>
      </c>
      <c r="B44" t="s">
        <v>283</v>
      </c>
      <c r="C44" t="s">
        <v>193</v>
      </c>
      <c r="D44" t="s">
        <v>284</v>
      </c>
      <c r="E44" t="s">
        <v>10</v>
      </c>
      <c r="F44" t="n">
        <v>235117236.845569</v>
      </c>
      <c r="G44" t="n">
        <v>236692838.070728</v>
      </c>
      <c r="H44" t="n">
        <v>240022780.969858</v>
      </c>
      <c r="I44" t="n">
        <v>233801041.444092</v>
      </c>
      <c r="J44" t="n">
        <v>228677728.629124</v>
      </c>
      <c r="K44" t="n">
        <v>229484600.818405</v>
      </c>
      <c r="L44" t="n">
        <v>220391226.244198</v>
      </c>
      <c r="M44" t="n">
        <v>210749683.449013</v>
      </c>
      <c r="N44" t="n">
        <v>209441094.440204</v>
      </c>
      <c r="O44" t="n">
        <v>213135207.402043</v>
      </c>
      <c r="P44" t="n">
        <v>213693364.727254</v>
      </c>
      <c r="Q44" t="n">
        <v>219864677.895025</v>
      </c>
      <c r="R44" t="n">
        <v>216938620.064205</v>
      </c>
      <c r="S44" t="n">
        <v>211710021.136279</v>
      </c>
      <c r="T44" t="n">
        <v>198506628.213283</v>
      </c>
      <c r="U44" t="n">
        <v>198017780.024024</v>
      </c>
      <c r="V44" t="n">
        <v>195430295.68297</v>
      </c>
      <c r="W44" t="n">
        <v>196151739.569072</v>
      </c>
      <c r="X44" t="n">
        <v>195133913.890255</v>
      </c>
      <c r="Y44" t="n">
        <v>197151455.909728</v>
      </c>
      <c r="Z44" t="n">
        <v>202297288.532409</v>
      </c>
      <c r="AA44" t="n">
        <v>206279618.192672</v>
      </c>
      <c r="AB44" t="n">
        <v>212952671.47634</v>
      </c>
      <c r="AC44" t="n">
        <v>214658074.878306</v>
      </c>
      <c r="AD44" t="n">
        <v>215598531.072084</v>
      </c>
      <c r="AE44" t="n">
        <v>206952380.922961</v>
      </c>
      <c r="AF44" t="n">
        <v>209502799.273038</v>
      </c>
    </row>
    <row r="45">
      <c r="A45" t="s">
        <v>194</v>
      </c>
      <c r="B45" t="s">
        <v>283</v>
      </c>
      <c r="C45" t="s">
        <v>195</v>
      </c>
      <c r="D45" t="s">
        <v>284</v>
      </c>
      <c r="E45" t="s">
        <v>10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283</v>
      </c>
      <c r="C46" t="s">
        <v>197</v>
      </c>
      <c r="D46" t="s">
        <v>284</v>
      </c>
      <c r="E46" t="s">
        <v>10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283</v>
      </c>
      <c r="C47" t="s">
        <v>199</v>
      </c>
      <c r="D47" t="s">
        <v>284</v>
      </c>
      <c r="E47" t="s">
        <v>10</v>
      </c>
      <c r="F47" t="n">
        <v>16566662.34325</v>
      </c>
      <c r="G47" t="n">
        <v>16016742.14525</v>
      </c>
      <c r="H47" t="n">
        <v>16231187.21625</v>
      </c>
      <c r="I47" t="n">
        <v>16822375.4055</v>
      </c>
      <c r="J47" t="n">
        <v>17174252.1425</v>
      </c>
      <c r="K47" t="n">
        <v>16908957.84175</v>
      </c>
      <c r="L47" t="n">
        <v>16696245.1665</v>
      </c>
      <c r="M47" t="n">
        <v>17634530.443</v>
      </c>
      <c r="N47" t="n">
        <v>18406784.049125</v>
      </c>
      <c r="O47" t="n">
        <v>19026897.565375</v>
      </c>
      <c r="P47" t="n">
        <v>19104786.063625</v>
      </c>
      <c r="Q47" t="n">
        <v>19061440.600875</v>
      </c>
      <c r="R47" t="n">
        <v>18900688.818625</v>
      </c>
      <c r="S47" t="n">
        <v>18019539.156</v>
      </c>
      <c r="T47" t="n">
        <v>18331520.488</v>
      </c>
      <c r="U47" t="n">
        <v>17710230.1005</v>
      </c>
      <c r="V47" t="n">
        <v>17543648.0525</v>
      </c>
      <c r="W47" t="n">
        <v>17222645.939</v>
      </c>
      <c r="X47" t="n">
        <v>16732062.7505</v>
      </c>
      <c r="Y47" t="n">
        <v>16539757.2885</v>
      </c>
      <c r="Z47" t="n">
        <v>16726930.29275</v>
      </c>
      <c r="AA47" t="n">
        <v>16666402.152</v>
      </c>
      <c r="AB47" t="n">
        <v>17037987.31325</v>
      </c>
      <c r="AC47" t="n">
        <v>16616374.495375</v>
      </c>
      <c r="AD47" t="n">
        <v>17709394.928375</v>
      </c>
      <c r="AE47" t="n">
        <v>17586217.794375</v>
      </c>
      <c r="AF47" t="n">
        <v>17569790.82075</v>
      </c>
    </row>
    <row r="48">
      <c r="A48" t="s">
        <v>200</v>
      </c>
      <c r="B48" t="s">
        <v>283</v>
      </c>
      <c r="C48" t="s">
        <v>201</v>
      </c>
      <c r="D48" t="s">
        <v>284</v>
      </c>
      <c r="E48" t="s">
        <v>10</v>
      </c>
      <c r="F48" t="n">
        <v>49136579.1522188</v>
      </c>
      <c r="G48" t="n">
        <v>49598408.909</v>
      </c>
      <c r="H48" t="n">
        <v>52411090.336</v>
      </c>
      <c r="I48" t="n">
        <v>55124554.791125</v>
      </c>
      <c r="J48" t="n">
        <v>56750773.606875</v>
      </c>
      <c r="K48" t="n">
        <v>56558186.5645</v>
      </c>
      <c r="L48" t="n">
        <v>55054973.358875</v>
      </c>
      <c r="M48" t="n">
        <v>56157019.6700312</v>
      </c>
      <c r="N48" t="n">
        <v>58006535.4293125</v>
      </c>
      <c r="O48" t="n">
        <v>61069108.636</v>
      </c>
      <c r="P48" t="n">
        <v>61543033.3700625</v>
      </c>
      <c r="Q48" t="n">
        <v>63290639.7098125</v>
      </c>
      <c r="R48" t="n">
        <v>63442552.1491563</v>
      </c>
      <c r="S48" t="n">
        <v>64695030.420625</v>
      </c>
      <c r="T48" t="n">
        <v>67111152.337</v>
      </c>
      <c r="U48" t="n">
        <v>67942140.1796719</v>
      </c>
      <c r="V48" t="n">
        <v>69195169.1225625</v>
      </c>
      <c r="W48" t="n">
        <v>67843808.1047187</v>
      </c>
      <c r="X48" t="n">
        <v>68220068.9632187</v>
      </c>
      <c r="Y48" t="n">
        <v>67896815.3833125</v>
      </c>
      <c r="Z48" t="n">
        <v>69390841.3214375</v>
      </c>
      <c r="AA48" t="n">
        <v>70827216.6099688</v>
      </c>
      <c r="AB48" t="n">
        <v>73951347.003125</v>
      </c>
      <c r="AC48" t="n">
        <v>73152109.7495625</v>
      </c>
      <c r="AD48" t="n">
        <v>75344666.7044844</v>
      </c>
      <c r="AE48" t="n">
        <v>73914282.67375</v>
      </c>
      <c r="AF48" t="n">
        <v>74548242.555125</v>
      </c>
    </row>
    <row r="49">
      <c r="A49" t="s">
        <v>202</v>
      </c>
      <c r="B49" t="s">
        <v>283</v>
      </c>
      <c r="C49" t="s">
        <v>203</v>
      </c>
      <c r="D49" t="s">
        <v>284</v>
      </c>
      <c r="E49" t="s">
        <v>10</v>
      </c>
      <c r="F49" t="n">
        <v>14053139.6062187</v>
      </c>
      <c r="G49" t="n">
        <v>14455138.2709375</v>
      </c>
      <c r="H49" t="n">
        <v>15493263.2480625</v>
      </c>
      <c r="I49" t="n">
        <v>16665685.3025</v>
      </c>
      <c r="J49" t="n">
        <v>17216313.782375</v>
      </c>
      <c r="K49" t="n">
        <v>17024197.73775</v>
      </c>
      <c r="L49" t="n">
        <v>16047895.971</v>
      </c>
      <c r="M49" t="n">
        <v>16130610.7516562</v>
      </c>
      <c r="N49" t="n">
        <v>16288433.8611875</v>
      </c>
      <c r="O49" t="n">
        <v>17378342.894625</v>
      </c>
      <c r="P49" t="n">
        <v>17221767.9589375</v>
      </c>
      <c r="Q49" t="n">
        <v>17189126.5928125</v>
      </c>
      <c r="R49" t="n">
        <v>17332846.7677813</v>
      </c>
      <c r="S49" t="n">
        <v>17583772.967875</v>
      </c>
      <c r="T49" t="n">
        <v>18458042.2495</v>
      </c>
      <c r="U49" t="n">
        <v>18503742.0794219</v>
      </c>
      <c r="V49" t="n">
        <v>18516356.5958125</v>
      </c>
      <c r="W49" t="n">
        <v>17231211.4559687</v>
      </c>
      <c r="X49" t="n">
        <v>16606847.5087187</v>
      </c>
      <c r="Y49" t="n">
        <v>16089333.5213125</v>
      </c>
      <c r="Z49" t="n">
        <v>15961027.6271875</v>
      </c>
      <c r="AA49" t="n">
        <v>15830465.3744687</v>
      </c>
      <c r="AB49" t="n">
        <v>16523735.602875</v>
      </c>
      <c r="AC49" t="n">
        <v>16360950.3189375</v>
      </c>
      <c r="AD49" t="n">
        <v>16476768.8568594</v>
      </c>
      <c r="AE49" t="n">
        <v>13984676.623375</v>
      </c>
      <c r="AF49" t="n">
        <v>14269121.883875</v>
      </c>
    </row>
    <row r="50">
      <c r="A50" t="s">
        <v>204</v>
      </c>
      <c r="B50" t="s">
        <v>283</v>
      </c>
      <c r="C50" t="s">
        <v>205</v>
      </c>
      <c r="D50" t="s">
        <v>284</v>
      </c>
      <c r="E50" t="s">
        <v>10</v>
      </c>
      <c r="F50" t="n">
        <v>18516777.20275</v>
      </c>
      <c r="G50" t="n">
        <v>19126528.4928125</v>
      </c>
      <c r="H50" t="n">
        <v>20686639.8716875</v>
      </c>
      <c r="I50" t="n">
        <v>21636494.083125</v>
      </c>
      <c r="J50" t="n">
        <v>22360207.682</v>
      </c>
      <c r="K50" t="n">
        <v>22625030.985</v>
      </c>
      <c r="L50" t="n">
        <v>22310832.221375</v>
      </c>
      <c r="M50" t="n">
        <v>22391878.475375</v>
      </c>
      <c r="N50" t="n">
        <v>23311317.519</v>
      </c>
      <c r="O50" t="n">
        <v>24663868.176</v>
      </c>
      <c r="P50" t="n">
        <v>25216479.3475</v>
      </c>
      <c r="Q50" t="n">
        <v>27040072.516125</v>
      </c>
      <c r="R50" t="n">
        <v>27209016.56275</v>
      </c>
      <c r="S50" t="n">
        <v>29091718.29675</v>
      </c>
      <c r="T50" t="n">
        <v>30321589.5995</v>
      </c>
      <c r="U50" t="n">
        <v>31728167.99975</v>
      </c>
      <c r="V50" t="n">
        <v>33135164.47425</v>
      </c>
      <c r="W50" t="n">
        <v>33389950.70975</v>
      </c>
      <c r="X50" t="n">
        <v>34881158.704</v>
      </c>
      <c r="Y50" t="n">
        <v>35267724.5735</v>
      </c>
      <c r="Z50" t="n">
        <v>36702883.4015</v>
      </c>
      <c r="AA50" t="n">
        <v>38330349.0835</v>
      </c>
      <c r="AB50" t="n">
        <v>40389624.087</v>
      </c>
      <c r="AC50" t="n">
        <v>40174784.93525</v>
      </c>
      <c r="AD50" t="n">
        <v>41158502.91925</v>
      </c>
      <c r="AE50" t="n">
        <v>42343388.256</v>
      </c>
      <c r="AF50" t="n">
        <v>42709329.8505</v>
      </c>
    </row>
    <row r="51">
      <c r="A51" t="s">
        <v>206</v>
      </c>
      <c r="B51" t="s">
        <v>283</v>
      </c>
      <c r="C51" t="s">
        <v>207</v>
      </c>
      <c r="D51" t="s">
        <v>284</v>
      </c>
      <c r="E51" t="s">
        <v>10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283</v>
      </c>
      <c r="C52" t="s">
        <v>209</v>
      </c>
      <c r="D52" t="s">
        <v>284</v>
      </c>
      <c r="E52" t="s">
        <v>10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283</v>
      </c>
      <c r="C53" t="s">
        <v>211</v>
      </c>
      <c r="D53" t="s">
        <v>284</v>
      </c>
      <c r="E53" t="s">
        <v>10</v>
      </c>
      <c r="F53" t="n">
        <v>3581162.856</v>
      </c>
      <c r="G53" t="n">
        <v>3576523.942</v>
      </c>
      <c r="H53" t="n">
        <v>3472441.346</v>
      </c>
      <c r="I53" t="n">
        <v>3329997.386</v>
      </c>
      <c r="J53" t="n">
        <v>3196931.156</v>
      </c>
      <c r="K53" t="n">
        <v>3123718.1</v>
      </c>
      <c r="L53" t="n">
        <v>3023968.811</v>
      </c>
      <c r="M53" t="n">
        <v>2944848.058</v>
      </c>
      <c r="N53" t="n">
        <v>2941863.288</v>
      </c>
      <c r="O53" t="n">
        <v>3019056.793</v>
      </c>
      <c r="P53" t="n">
        <v>2738284.893</v>
      </c>
      <c r="Q53" t="n">
        <v>2849314.196</v>
      </c>
      <c r="R53" t="n">
        <v>2793144.613</v>
      </c>
      <c r="S53" t="n">
        <v>2814389.997</v>
      </c>
      <c r="T53" t="n">
        <v>3107102.87</v>
      </c>
      <c r="U53" t="n">
        <v>3052362.699</v>
      </c>
      <c r="V53" t="n">
        <v>2962048.812</v>
      </c>
      <c r="W53" t="n">
        <v>2888272.749</v>
      </c>
      <c r="X53" t="n">
        <v>2800157.655</v>
      </c>
      <c r="Y53" t="n">
        <v>2767272.898</v>
      </c>
      <c r="Z53" t="n">
        <v>2795092.439</v>
      </c>
      <c r="AA53" t="n">
        <v>2933992.973</v>
      </c>
      <c r="AB53" t="n">
        <v>3152067.212</v>
      </c>
      <c r="AC53" t="n">
        <v>3181710.814</v>
      </c>
      <c r="AD53" t="n">
        <v>3183365.208</v>
      </c>
      <c r="AE53" t="n">
        <v>3156072.581</v>
      </c>
      <c r="AF53" t="n">
        <v>3041707.728</v>
      </c>
    </row>
    <row r="54">
      <c r="A54" t="s">
        <v>212</v>
      </c>
      <c r="B54" t="s">
        <v>283</v>
      </c>
      <c r="C54" t="s">
        <v>213</v>
      </c>
      <c r="D54" t="s">
        <v>284</v>
      </c>
      <c r="E54" t="s">
        <v>10</v>
      </c>
      <c r="F54" t="n">
        <v>14590460.70375</v>
      </c>
      <c r="G54" t="n">
        <v>14364950.098875</v>
      </c>
      <c r="H54" t="n">
        <v>14176666.34725</v>
      </c>
      <c r="I54" t="n">
        <v>13984654.687375</v>
      </c>
      <c r="J54" t="n">
        <v>13446442.650375</v>
      </c>
      <c r="K54" t="n">
        <v>13581933.42625</v>
      </c>
      <c r="L54" t="n">
        <v>13717195.48825</v>
      </c>
      <c r="M54" t="n">
        <v>13639534.759</v>
      </c>
      <c r="N54" t="n">
        <v>13447586.80975</v>
      </c>
      <c r="O54" t="n">
        <v>14163312.371</v>
      </c>
      <c r="P54" t="n">
        <v>13709743.402125</v>
      </c>
      <c r="Q54" t="n">
        <v>14637506.216125</v>
      </c>
      <c r="R54" t="n">
        <v>14555934.42275</v>
      </c>
      <c r="S54" t="n">
        <v>14593377.628625</v>
      </c>
      <c r="T54" t="n">
        <v>15024200.497125</v>
      </c>
      <c r="U54" t="n">
        <v>15010274.99025</v>
      </c>
      <c r="V54" t="n">
        <v>14426530.409</v>
      </c>
      <c r="W54" t="n">
        <v>13678380.83525</v>
      </c>
      <c r="X54" t="n">
        <v>12787311.557875</v>
      </c>
      <c r="Y54" t="n">
        <v>12017685.0320625</v>
      </c>
      <c r="Z54" t="n">
        <v>11466031.9215</v>
      </c>
      <c r="AA54" t="n">
        <v>11700620.87825</v>
      </c>
      <c r="AB54" t="n">
        <v>12260043.3036875</v>
      </c>
      <c r="AC54" t="n">
        <v>12298842.5925</v>
      </c>
      <c r="AD54" t="n">
        <v>12569319.6504375</v>
      </c>
      <c r="AE54" t="n">
        <v>12333512.927</v>
      </c>
      <c r="AF54" t="n">
        <v>12193533.1606875</v>
      </c>
    </row>
    <row r="55">
      <c r="A55" t="s">
        <v>214</v>
      </c>
      <c r="B55" t="s">
        <v>283</v>
      </c>
      <c r="C55" t="s">
        <v>215</v>
      </c>
      <c r="D55" t="s">
        <v>284</v>
      </c>
      <c r="E55" t="s">
        <v>10</v>
      </c>
      <c r="F55" t="n">
        <v>11009297.84775</v>
      </c>
      <c r="G55" t="n">
        <v>10788426.156875</v>
      </c>
      <c r="H55" t="n">
        <v>10704225.00125</v>
      </c>
      <c r="I55" t="n">
        <v>10654657.301375</v>
      </c>
      <c r="J55" t="n">
        <v>10249511.494375</v>
      </c>
      <c r="K55" t="n">
        <v>10458215.32625</v>
      </c>
      <c r="L55" t="n">
        <v>10693226.67725</v>
      </c>
      <c r="M55" t="n">
        <v>10694686.701</v>
      </c>
      <c r="N55" t="n">
        <v>10505723.52175</v>
      </c>
      <c r="O55" t="n">
        <v>11144255.578</v>
      </c>
      <c r="P55" t="n">
        <v>10971458.509125</v>
      </c>
      <c r="Q55" t="n">
        <v>11788192.020125</v>
      </c>
      <c r="R55" t="n">
        <v>11762789.80975</v>
      </c>
      <c r="S55" t="n">
        <v>11778987.631625</v>
      </c>
      <c r="T55" t="n">
        <v>11917097.627125</v>
      </c>
      <c r="U55" t="n">
        <v>11957912.29125</v>
      </c>
      <c r="V55" t="n">
        <v>11464481.597</v>
      </c>
      <c r="W55" t="n">
        <v>10790108.08625</v>
      </c>
      <c r="X55" t="n">
        <v>9987153.902875</v>
      </c>
      <c r="Y55" t="n">
        <v>9250412.1340625</v>
      </c>
      <c r="Z55" t="n">
        <v>8670939.4825</v>
      </c>
      <c r="AA55" t="n">
        <v>8766627.90525</v>
      </c>
      <c r="AB55" t="n">
        <v>9107976.0916875</v>
      </c>
      <c r="AC55" t="n">
        <v>9117131.7785</v>
      </c>
      <c r="AD55" t="n">
        <v>9385954.4424375</v>
      </c>
      <c r="AE55" t="n">
        <v>9177440.346</v>
      </c>
      <c r="AF55" t="n">
        <v>9151825.4326875</v>
      </c>
    </row>
    <row r="56">
      <c r="A56" t="s">
        <v>216</v>
      </c>
      <c r="B56" t="s">
        <v>283</v>
      </c>
      <c r="C56" t="s">
        <v>217</v>
      </c>
      <c r="D56" t="s">
        <v>284</v>
      </c>
      <c r="E56" t="s">
        <v>10</v>
      </c>
      <c r="F56" t="n">
        <v>57130.0604921875</v>
      </c>
      <c r="G56" t="n">
        <v>55206.6981503906</v>
      </c>
      <c r="H56" t="n">
        <v>54467.9534921875</v>
      </c>
      <c r="I56" t="n">
        <v>52942.2358759766</v>
      </c>
      <c r="J56" t="n">
        <v>50356.7198183594</v>
      </c>
      <c r="K56" t="n">
        <v>46773.1206591797</v>
      </c>
      <c r="L56" t="n">
        <v>45673.1660712891</v>
      </c>
      <c r="M56" t="n">
        <v>41267.2029418945</v>
      </c>
      <c r="N56" t="n">
        <v>38295.3116020508</v>
      </c>
      <c r="O56" t="n">
        <v>36579.5980751953</v>
      </c>
      <c r="P56" t="n">
        <v>36864.3882568359</v>
      </c>
      <c r="Q56" t="n">
        <v>39455.1877114258</v>
      </c>
      <c r="R56" t="n">
        <v>39678.0278876953</v>
      </c>
      <c r="S56" t="n">
        <v>40080.0684599609</v>
      </c>
      <c r="T56" t="n">
        <v>41436.7736152344</v>
      </c>
      <c r="U56" t="n">
        <v>42574.0500585937</v>
      </c>
      <c r="V56" t="n">
        <v>44685.5382851563</v>
      </c>
      <c r="W56" t="n">
        <v>47926.0826796875</v>
      </c>
      <c r="X56" t="n">
        <v>54078.6164863281</v>
      </c>
      <c r="Y56" t="n">
        <v>60681.8203183594</v>
      </c>
      <c r="Z56" t="n">
        <v>62300.8767421875</v>
      </c>
      <c r="AA56" t="n">
        <v>58667.7229628906</v>
      </c>
      <c r="AB56" t="n">
        <v>59513.1461152344</v>
      </c>
      <c r="AC56" t="n">
        <v>58631.1066582031</v>
      </c>
      <c r="AD56" t="n">
        <v>58379.8190664062</v>
      </c>
      <c r="AE56" t="n">
        <v>55513.3490859375</v>
      </c>
      <c r="AF56" t="n">
        <v>56041.0596953125</v>
      </c>
    </row>
    <row r="57">
      <c r="A57" t="s">
        <v>218</v>
      </c>
      <c r="B57" t="s">
        <v>283</v>
      </c>
      <c r="C57" t="s">
        <v>219</v>
      </c>
      <c r="D57" t="s">
        <v>284</v>
      </c>
      <c r="E57" t="s">
        <v>10</v>
      </c>
      <c r="F57" t="n">
        <v>288838419.307623</v>
      </c>
      <c r="G57" t="n">
        <v>291034605.643253</v>
      </c>
      <c r="H57" t="n">
        <v>297165648.0086</v>
      </c>
      <c r="I57" t="n">
        <v>293831383.804343</v>
      </c>
      <c r="J57" t="n">
        <v>290199172.507317</v>
      </c>
      <c r="K57" t="n">
        <v>291203501.394564</v>
      </c>
      <c r="L57" t="n">
        <v>280255065.099457</v>
      </c>
      <c r="M57" t="n">
        <v>271984280.593799</v>
      </c>
      <c r="N57" t="n">
        <v>272770390.291681</v>
      </c>
      <c r="O57" t="n">
        <v>279805736.810494</v>
      </c>
      <c r="P57" t="n">
        <v>280785182.341385</v>
      </c>
      <c r="Q57" t="n">
        <v>289226791.739673</v>
      </c>
      <c r="R57" t="n">
        <v>286748479.683499</v>
      </c>
      <c r="S57" t="n">
        <v>282894798.491176</v>
      </c>
      <c r="T57" t="n">
        <v>272242552.726648</v>
      </c>
      <c r="U57" t="n">
        <v>272689857.007504</v>
      </c>
      <c r="V57" t="n">
        <v>271008900.755193</v>
      </c>
      <c r="W57" t="n">
        <v>270689319.055596</v>
      </c>
      <c r="X57" t="n">
        <v>269912680.38946</v>
      </c>
      <c r="Y57" t="n">
        <v>270976977.576609</v>
      </c>
      <c r="Z57" t="n">
        <v>277700212.559839</v>
      </c>
      <c r="AA57" t="n">
        <v>283486329.229478</v>
      </c>
      <c r="AB57" t="n">
        <v>294013077.13033</v>
      </c>
      <c r="AC57" t="n">
        <v>295247235.476777</v>
      </c>
      <c r="AD57" t="n">
        <v>298167724.959885</v>
      </c>
      <c r="AE57" t="n">
        <v>288552615.244547</v>
      </c>
      <c r="AF57" t="n">
        <v>291742278.041358</v>
      </c>
    </row>
    <row r="58">
      <c r="A58" t="s">
        <v>220</v>
      </c>
      <c r="B58" t="s">
        <v>283</v>
      </c>
      <c r="C58" t="s">
        <v>221</v>
      </c>
      <c r="D58" t="s">
        <v>284</v>
      </c>
      <c r="E58" t="s">
        <v>10</v>
      </c>
      <c r="F58" t="n">
        <v>288781289.247131</v>
      </c>
      <c r="G58" t="n">
        <v>290979398.945103</v>
      </c>
      <c r="H58" t="n">
        <v>297111180.055108</v>
      </c>
      <c r="I58" t="n">
        <v>293778441.568466</v>
      </c>
      <c r="J58" t="n">
        <v>290148815.787499</v>
      </c>
      <c r="K58" t="n">
        <v>291156728.273905</v>
      </c>
      <c r="L58" t="n">
        <v>280209391.933385</v>
      </c>
      <c r="M58" t="n">
        <v>271943013.390857</v>
      </c>
      <c r="N58" t="n">
        <v>272732094.980079</v>
      </c>
      <c r="O58" t="n">
        <v>279769157.212418</v>
      </c>
      <c r="P58" t="n">
        <v>280748317.953129</v>
      </c>
      <c r="Q58" t="n">
        <v>289187336.551962</v>
      </c>
      <c r="R58" t="n">
        <v>286708801.655612</v>
      </c>
      <c r="S58" t="n">
        <v>282854718.422716</v>
      </c>
      <c r="T58" t="n">
        <v>272201115.953033</v>
      </c>
      <c r="U58" t="n">
        <v>272647282.957446</v>
      </c>
      <c r="V58" t="n">
        <v>270964215.216907</v>
      </c>
      <c r="W58" t="n">
        <v>270641392.972916</v>
      </c>
      <c r="X58" t="n">
        <v>269858601.772974</v>
      </c>
      <c r="Y58" t="n">
        <v>270916295.756291</v>
      </c>
      <c r="Z58" t="n">
        <v>277637911.683097</v>
      </c>
      <c r="AA58" t="n">
        <v>283427661.506516</v>
      </c>
      <c r="AB58" t="n">
        <v>293953563.984215</v>
      </c>
      <c r="AC58" t="n">
        <v>295188604.370118</v>
      </c>
      <c r="AD58" t="n">
        <v>298109345.140818</v>
      </c>
      <c r="AE58" t="n">
        <v>288497101.895461</v>
      </c>
      <c r="AF58" t="n">
        <v>291686236.981663</v>
      </c>
    </row>
    <row r="59">
      <c r="A59" t="s">
        <v>222</v>
      </c>
      <c r="B59" t="s">
        <v>283</v>
      </c>
      <c r="C59" t="s">
        <v>223</v>
      </c>
      <c r="D59" t="s">
        <v>284</v>
      </c>
      <c r="E59" t="s">
        <v>10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283</v>
      </c>
      <c r="C2" t="s">
        <v>108</v>
      </c>
      <c r="D2" t="s">
        <v>284</v>
      </c>
      <c r="E2" t="s">
        <v>12</v>
      </c>
      <c r="F2" t="n">
        <v>5592095.40367174</v>
      </c>
      <c r="G2" t="n">
        <v>5400768.65598053</v>
      </c>
      <c r="H2" t="n">
        <v>5064488.55327606</v>
      </c>
      <c r="I2" t="n">
        <v>4788846.4308877</v>
      </c>
      <c r="J2" t="n">
        <v>4701900.82238257</v>
      </c>
      <c r="K2" t="n">
        <v>4456354.31805968</v>
      </c>
      <c r="L2" t="n">
        <v>4115505.94671464</v>
      </c>
      <c r="M2" t="n">
        <v>3822545.45053029</v>
      </c>
      <c r="N2" t="n">
        <v>3526579.85925496</v>
      </c>
      <c r="O2" t="n">
        <v>3355244.10257053</v>
      </c>
      <c r="P2" t="n">
        <v>3180557.44069469</v>
      </c>
      <c r="Q2" t="n">
        <v>3048455.68924379</v>
      </c>
      <c r="R2" t="n">
        <v>2896427.9516232</v>
      </c>
      <c r="S2" t="n">
        <v>2772825.18175077</v>
      </c>
      <c r="T2" t="n">
        <v>2589122.82368326</v>
      </c>
      <c r="U2" t="n">
        <v>2398971.76184058</v>
      </c>
      <c r="V2" t="n">
        <v>2221557.48353076</v>
      </c>
      <c r="W2" t="n">
        <v>2078744.95462823</v>
      </c>
      <c r="X2" t="n">
        <v>1987992.18199229</v>
      </c>
      <c r="Y2" t="n">
        <v>1917060.68742669</v>
      </c>
      <c r="Z2" t="n">
        <v>1902871.52815115</v>
      </c>
      <c r="AA2" t="n">
        <v>1853326.27651238</v>
      </c>
      <c r="AB2" t="n">
        <v>1943951.39051598</v>
      </c>
      <c r="AC2" t="n">
        <v>1913441.01090091</v>
      </c>
      <c r="AD2" t="n">
        <v>1853743.48861986</v>
      </c>
      <c r="AE2" t="n">
        <v>1827117.62454647</v>
      </c>
      <c r="AF2"/>
    </row>
    <row r="3">
      <c r="A3" t="s">
        <v>110</v>
      </c>
      <c r="B3" t="s">
        <v>283</v>
      </c>
      <c r="C3" t="s">
        <v>111</v>
      </c>
      <c r="D3" t="s">
        <v>284</v>
      </c>
      <c r="E3" t="s">
        <v>12</v>
      </c>
      <c r="F3" t="n">
        <v>385694.745147705</v>
      </c>
      <c r="G3" t="n">
        <v>365359.357055664</v>
      </c>
      <c r="H3" t="n">
        <v>331892.026123047</v>
      </c>
      <c r="I3" t="n">
        <v>302071.044311523</v>
      </c>
      <c r="J3" t="n">
        <v>292573.951965332</v>
      </c>
      <c r="K3" t="n">
        <v>285694.145263672</v>
      </c>
      <c r="L3" t="n">
        <v>262620.260925293</v>
      </c>
      <c r="M3" t="n">
        <v>252801.677734375</v>
      </c>
      <c r="N3" t="n">
        <v>227660.365478516</v>
      </c>
      <c r="O3" t="n">
        <v>219667.712036133</v>
      </c>
      <c r="P3" t="n">
        <v>201799.354492188</v>
      </c>
      <c r="Q3" t="n">
        <v>202041.036499023</v>
      </c>
      <c r="R3" t="n">
        <v>201389.995605469</v>
      </c>
      <c r="S3" t="n">
        <v>201677.049804688</v>
      </c>
      <c r="T3" t="n">
        <v>193179.840576172</v>
      </c>
      <c r="U3" t="n">
        <v>181031.215087891</v>
      </c>
      <c r="V3" t="n">
        <v>169177.713745117</v>
      </c>
      <c r="W3" t="n">
        <v>158774.985473633</v>
      </c>
      <c r="X3" t="n">
        <v>160214.454833984</v>
      </c>
      <c r="Y3" t="n">
        <v>163200.997924805</v>
      </c>
      <c r="Z3" t="n">
        <v>162161.708740234</v>
      </c>
      <c r="AA3" t="n">
        <v>153814.587768555</v>
      </c>
      <c r="AB3" t="n">
        <v>163276.898803711</v>
      </c>
      <c r="AC3" t="n">
        <v>155630.657409668</v>
      </c>
      <c r="AD3" t="n">
        <v>145314.573425293</v>
      </c>
      <c r="AE3" t="n">
        <v>139541.462646484</v>
      </c>
      <c r="AF3"/>
    </row>
    <row r="4">
      <c r="A4" t="s">
        <v>112</v>
      </c>
      <c r="B4" t="s">
        <v>283</v>
      </c>
      <c r="C4" t="s">
        <v>113</v>
      </c>
      <c r="D4" t="s">
        <v>284</v>
      </c>
      <c r="E4" t="s">
        <v>12</v>
      </c>
      <c r="F4" t="n">
        <v>37762350.6799049</v>
      </c>
      <c r="G4" t="n">
        <v>38467578.3488846</v>
      </c>
      <c r="H4" t="n">
        <v>37883491.2305145</v>
      </c>
      <c r="I4" t="n">
        <v>37677745.4353943</v>
      </c>
      <c r="J4" t="n">
        <v>38275412.7667694</v>
      </c>
      <c r="K4" t="n">
        <v>38449495.12677</v>
      </c>
      <c r="L4" t="n">
        <v>37922276.5907745</v>
      </c>
      <c r="M4" t="n">
        <v>36859580.263855</v>
      </c>
      <c r="N4" t="n">
        <v>35265936.0683136</v>
      </c>
      <c r="O4" t="n">
        <v>35291926.156723</v>
      </c>
      <c r="P4" t="n">
        <v>35319465.6932831</v>
      </c>
      <c r="Q4" t="n">
        <v>37442411.095398</v>
      </c>
      <c r="R4" t="n">
        <v>38615634.1002197</v>
      </c>
      <c r="S4" t="n">
        <v>39740032.5532227</v>
      </c>
      <c r="T4" t="n">
        <v>38360319.2132568</v>
      </c>
      <c r="U4" t="n">
        <v>37006365.1021118</v>
      </c>
      <c r="V4" t="n">
        <v>34321028.0587311</v>
      </c>
      <c r="W4" t="n">
        <v>33403919.8019104</v>
      </c>
      <c r="X4" t="n">
        <v>32992005.619339</v>
      </c>
      <c r="Y4" t="n">
        <v>32341752.4688568</v>
      </c>
      <c r="Z4" t="n">
        <v>32123446.6258545</v>
      </c>
      <c r="AA4" t="n">
        <v>32401734.1263885</v>
      </c>
      <c r="AB4" t="n">
        <v>33124621.6163788</v>
      </c>
      <c r="AC4" t="n">
        <v>32522066.3804474</v>
      </c>
      <c r="AD4" t="n">
        <v>32415158.6076355</v>
      </c>
      <c r="AE4" t="n">
        <v>32616932.4432831</v>
      </c>
      <c r="AF4"/>
    </row>
    <row r="5">
      <c r="A5" t="s">
        <v>114</v>
      </c>
      <c r="B5" t="s">
        <v>283</v>
      </c>
      <c r="C5" t="s">
        <v>115</v>
      </c>
      <c r="D5" t="s">
        <v>284</v>
      </c>
      <c r="E5" t="s">
        <v>12</v>
      </c>
      <c r="F5" t="n">
        <v>2565022.92960358</v>
      </c>
      <c r="G5" t="n">
        <v>2598806.64584351</v>
      </c>
      <c r="H5" t="n">
        <v>2534743.99508667</v>
      </c>
      <c r="I5" t="n">
        <v>2478564.08616638</v>
      </c>
      <c r="J5" t="n">
        <v>2526580.32946777</v>
      </c>
      <c r="K5" t="n">
        <v>2528817.47996521</v>
      </c>
      <c r="L5" t="n">
        <v>2477354.03614807</v>
      </c>
      <c r="M5" t="n">
        <v>2447446.59442139</v>
      </c>
      <c r="N5" t="n">
        <v>2334455.56057739</v>
      </c>
      <c r="O5" t="n">
        <v>2348988.30560303</v>
      </c>
      <c r="P5" t="n">
        <v>2345966.55700684</v>
      </c>
      <c r="Q5" t="n">
        <v>2440385.27966309</v>
      </c>
      <c r="R5" t="n">
        <v>2491350.49938965</v>
      </c>
      <c r="S5" t="n">
        <v>2482841.12493896</v>
      </c>
      <c r="T5" t="n">
        <v>2398009.81793213</v>
      </c>
      <c r="U5" t="n">
        <v>2312525.3348999</v>
      </c>
      <c r="V5" t="n">
        <v>2223428.94659424</v>
      </c>
      <c r="W5" t="n">
        <v>2148708.52215576</v>
      </c>
      <c r="X5" t="n">
        <v>2092893.37585449</v>
      </c>
      <c r="Y5" t="n">
        <v>2047989.24038696</v>
      </c>
      <c r="Z5" t="n">
        <v>2009855.5390625</v>
      </c>
      <c r="AA5" t="n">
        <v>1997051.43490601</v>
      </c>
      <c r="AB5" t="n">
        <v>2075511.50442505</v>
      </c>
      <c r="AC5" t="n">
        <v>2073665.58477783</v>
      </c>
      <c r="AD5" t="n">
        <v>2067968.10617065</v>
      </c>
      <c r="AE5" t="n">
        <v>2064426.94299316</v>
      </c>
      <c r="AF5"/>
    </row>
    <row r="6">
      <c r="A6" t="s">
        <v>116</v>
      </c>
      <c r="B6" t="s">
        <v>283</v>
      </c>
      <c r="C6" t="s">
        <v>117</v>
      </c>
      <c r="D6" t="s">
        <v>284</v>
      </c>
      <c r="E6" t="s">
        <v>12</v>
      </c>
      <c r="F6" t="n">
        <v>1305392.51693726</v>
      </c>
      <c r="G6" t="n">
        <v>1220749.92526245</v>
      </c>
      <c r="H6" t="n">
        <v>1117522.74380493</v>
      </c>
      <c r="I6" t="n">
        <v>1031964.9092102</v>
      </c>
      <c r="J6" t="n">
        <v>973844.348571777</v>
      </c>
      <c r="K6" t="n">
        <v>907263.952850342</v>
      </c>
      <c r="L6" t="n">
        <v>826112.425048828</v>
      </c>
      <c r="M6" t="n">
        <v>754425.489257812</v>
      </c>
      <c r="N6" t="n">
        <v>666731.682067871</v>
      </c>
      <c r="O6" t="n">
        <v>623239.423583984</v>
      </c>
      <c r="P6" t="n">
        <v>584684.600830078</v>
      </c>
      <c r="Q6" t="n">
        <v>569796.494445801</v>
      </c>
      <c r="R6" t="n">
        <v>557803.122436523</v>
      </c>
      <c r="S6" t="n">
        <v>546845.257446289</v>
      </c>
      <c r="T6" t="n">
        <v>500476.11340332</v>
      </c>
      <c r="U6" t="n">
        <v>463283.63671875</v>
      </c>
      <c r="V6" t="n">
        <v>427781.390625</v>
      </c>
      <c r="W6" t="n">
        <v>391129.367553711</v>
      </c>
      <c r="X6" t="n">
        <v>372397.433044434</v>
      </c>
      <c r="Y6" t="n">
        <v>354476.234436035</v>
      </c>
      <c r="Z6" t="n">
        <v>343694.932250977</v>
      </c>
      <c r="AA6" t="n">
        <v>331146.387268066</v>
      </c>
      <c r="AB6" t="n">
        <v>329237.064575195</v>
      </c>
      <c r="AC6" t="n">
        <v>313390.630340576</v>
      </c>
      <c r="AD6" t="n">
        <v>307042.592132568</v>
      </c>
      <c r="AE6" t="n">
        <v>296691.428771973</v>
      </c>
      <c r="AF6"/>
    </row>
    <row r="7">
      <c r="A7" t="s">
        <v>118</v>
      </c>
      <c r="B7" t="s">
        <v>283</v>
      </c>
      <c r="C7" t="s">
        <v>119</v>
      </c>
      <c r="D7" t="s">
        <v>284</v>
      </c>
      <c r="E7" t="s">
        <v>12</v>
      </c>
      <c r="F7" t="n">
        <v>1913691.60443115</v>
      </c>
      <c r="G7" t="n">
        <v>1932936.59924316</v>
      </c>
      <c r="H7" t="n">
        <v>1896100.85559082</v>
      </c>
      <c r="I7" t="n">
        <v>1842835.17956543</v>
      </c>
      <c r="J7" t="n">
        <v>1828721.4309082</v>
      </c>
      <c r="K7" t="n">
        <v>1801523.93530273</v>
      </c>
      <c r="L7" t="n">
        <v>1723000.4317627</v>
      </c>
      <c r="M7" t="n">
        <v>1637748.99304199</v>
      </c>
      <c r="N7" t="n">
        <v>1529413.98486328</v>
      </c>
      <c r="O7" t="n">
        <v>1484494.26049805</v>
      </c>
      <c r="P7" t="n">
        <v>1453541.97607422</v>
      </c>
      <c r="Q7" t="n">
        <v>1485151.40930176</v>
      </c>
      <c r="R7" t="n">
        <v>1520542.78833008</v>
      </c>
      <c r="S7" t="n">
        <v>1510519.83642578</v>
      </c>
      <c r="T7" t="n">
        <v>1423136.43139648</v>
      </c>
      <c r="U7" t="n">
        <v>1343566.28198242</v>
      </c>
      <c r="V7" t="n">
        <v>1241159.13500977</v>
      </c>
      <c r="W7" t="n">
        <v>1151013.90161133</v>
      </c>
      <c r="X7" t="n">
        <v>1110732.46142578</v>
      </c>
      <c r="Y7" t="n">
        <v>1074423.0390625</v>
      </c>
      <c r="Z7" t="n">
        <v>1041413.28637695</v>
      </c>
      <c r="AA7" t="n">
        <v>1008004.51782227</v>
      </c>
      <c r="AB7" t="n">
        <v>1000436.30895996</v>
      </c>
      <c r="AC7" t="n">
        <v>968381.146911621</v>
      </c>
      <c r="AD7" t="n">
        <v>938272.462402344</v>
      </c>
      <c r="AE7" t="n">
        <v>936703.672607422</v>
      </c>
      <c r="AF7"/>
    </row>
    <row r="8">
      <c r="A8" t="s">
        <v>120</v>
      </c>
      <c r="B8" t="s">
        <v>283</v>
      </c>
      <c r="C8" t="s">
        <v>121</v>
      </c>
      <c r="D8" t="s">
        <v>284</v>
      </c>
      <c r="E8" t="s">
        <v>12</v>
      </c>
      <c r="F8" t="n">
        <v>822134.907058716</v>
      </c>
      <c r="G8" t="n">
        <v>812149.015304565</v>
      </c>
      <c r="H8" t="n">
        <v>729675.912124634</v>
      </c>
      <c r="I8" t="n">
        <v>658038.172836304</v>
      </c>
      <c r="J8" t="n">
        <v>653182.793777466</v>
      </c>
      <c r="K8" t="n">
        <v>620669.342208862</v>
      </c>
      <c r="L8" t="n">
        <v>565136.403320312</v>
      </c>
      <c r="M8" t="n">
        <v>547272.60369873</v>
      </c>
      <c r="N8" t="n">
        <v>514001.931350708</v>
      </c>
      <c r="O8" t="n">
        <v>534153.466995239</v>
      </c>
      <c r="P8" t="n">
        <v>521285.805038452</v>
      </c>
      <c r="Q8" t="n">
        <v>568047.728149414</v>
      </c>
      <c r="R8" t="n">
        <v>582386.667236328</v>
      </c>
      <c r="S8" t="n">
        <v>603018.812927246</v>
      </c>
      <c r="T8" t="n">
        <v>593084.444641113</v>
      </c>
      <c r="U8" t="n">
        <v>565045.222167969</v>
      </c>
      <c r="V8" t="n">
        <v>512556.689712524</v>
      </c>
      <c r="W8" t="n">
        <v>478513.397735596</v>
      </c>
      <c r="X8" t="n">
        <v>462102.113113403</v>
      </c>
      <c r="Y8" t="n">
        <v>447059.038101196</v>
      </c>
      <c r="Z8" t="n">
        <v>427447.906921387</v>
      </c>
      <c r="AA8" t="n">
        <v>397780.663772583</v>
      </c>
      <c r="AB8" t="n">
        <v>399388.543685913</v>
      </c>
      <c r="AC8" t="n">
        <v>382971.948806763</v>
      </c>
      <c r="AD8" t="n">
        <v>363235.223510742</v>
      </c>
      <c r="AE8" t="n">
        <v>367087.462020874</v>
      </c>
      <c r="AF8"/>
    </row>
    <row r="9">
      <c r="A9" t="s">
        <v>122</v>
      </c>
      <c r="B9" t="s">
        <v>283</v>
      </c>
      <c r="C9" t="s">
        <v>123</v>
      </c>
      <c r="D9" t="s">
        <v>284</v>
      </c>
      <c r="E9" t="s">
        <v>12</v>
      </c>
      <c r="F9" t="n">
        <v>3584452.17382431</v>
      </c>
      <c r="G9" t="n">
        <v>3607757.34874725</v>
      </c>
      <c r="H9" t="n">
        <v>3491985.20706177</v>
      </c>
      <c r="I9" t="n">
        <v>3408772.61120606</v>
      </c>
      <c r="J9" t="n">
        <v>3456445.46127319</v>
      </c>
      <c r="K9" t="n">
        <v>3386750.6663208</v>
      </c>
      <c r="L9" t="n">
        <v>3294290.69812012</v>
      </c>
      <c r="M9" t="n">
        <v>3231064.85864258</v>
      </c>
      <c r="N9" t="n">
        <v>3079444.42422485</v>
      </c>
      <c r="O9" t="n">
        <v>3071921.57443237</v>
      </c>
      <c r="P9" t="n">
        <v>3054196.37628174</v>
      </c>
      <c r="Q9" t="n">
        <v>3237351.03942871</v>
      </c>
      <c r="R9" t="n">
        <v>3303598.39978027</v>
      </c>
      <c r="S9" t="n">
        <v>3427424.59130859</v>
      </c>
      <c r="T9" t="n">
        <v>3356144.12255859</v>
      </c>
      <c r="U9" t="n">
        <v>3281716.86560059</v>
      </c>
      <c r="V9" t="n">
        <v>3057772.60125732</v>
      </c>
      <c r="W9" t="n">
        <v>2970034.92193604</v>
      </c>
      <c r="X9" t="n">
        <v>2928037.82891846</v>
      </c>
      <c r="Y9" t="n">
        <v>2847920.89929199</v>
      </c>
      <c r="Z9" t="n">
        <v>2754309.49249268</v>
      </c>
      <c r="AA9" t="n">
        <v>2709172.38482666</v>
      </c>
      <c r="AB9" t="n">
        <v>2753304.20437622</v>
      </c>
      <c r="AC9" t="n">
        <v>2699798.27798462</v>
      </c>
      <c r="AD9" t="n">
        <v>2721410.66018677</v>
      </c>
      <c r="AE9" t="n">
        <v>2777300.09448242</v>
      </c>
      <c r="AF9"/>
    </row>
    <row r="10">
      <c r="A10" t="s">
        <v>124</v>
      </c>
      <c r="B10" t="s">
        <v>283</v>
      </c>
      <c r="C10" t="s">
        <v>125</v>
      </c>
      <c r="D10" t="s">
        <v>284</v>
      </c>
      <c r="E10" t="s">
        <v>12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283</v>
      </c>
      <c r="C11" t="s">
        <v>127</v>
      </c>
      <c r="D11" t="s">
        <v>284</v>
      </c>
      <c r="E11" t="s">
        <v>12</v>
      </c>
      <c r="F11" t="n">
        <v>1432925.24212647</v>
      </c>
      <c r="G11" t="n">
        <v>1430249.91442871</v>
      </c>
      <c r="H11" t="n">
        <v>1407593.18664551</v>
      </c>
      <c r="I11" t="n">
        <v>1408569.44360352</v>
      </c>
      <c r="J11" t="n">
        <v>1445407.25634766</v>
      </c>
      <c r="K11" t="n">
        <v>1493964.61474609</v>
      </c>
      <c r="L11" t="n">
        <v>1514075.10839844</v>
      </c>
      <c r="M11" t="n">
        <v>1548853.078125</v>
      </c>
      <c r="N11" t="n">
        <v>1529464.76464844</v>
      </c>
      <c r="O11" t="n">
        <v>1547600.49267578</v>
      </c>
      <c r="P11" t="n">
        <v>1548580.51953125</v>
      </c>
      <c r="Q11" t="n">
        <v>1695581.2734375</v>
      </c>
      <c r="R11" t="n">
        <v>1726092.67871094</v>
      </c>
      <c r="S11" t="n">
        <v>1765754.32617188</v>
      </c>
      <c r="T11" t="n">
        <v>1776222.92089844</v>
      </c>
      <c r="U11" t="n">
        <v>1787687.73046875</v>
      </c>
      <c r="V11" t="n">
        <v>1684689.67480469</v>
      </c>
      <c r="W11" t="n">
        <v>1758679.13867188</v>
      </c>
      <c r="X11" t="n">
        <v>1846661.09375</v>
      </c>
      <c r="Y11" t="n">
        <v>1863700.32910156</v>
      </c>
      <c r="Z11" t="n">
        <v>1846809.74511719</v>
      </c>
      <c r="AA11" t="n">
        <v>1917615.67089844</v>
      </c>
      <c r="AB11" t="n">
        <v>1990223.37207031</v>
      </c>
      <c r="AC11" t="n">
        <v>1941535.3125</v>
      </c>
      <c r="AD11" t="n">
        <v>1921704.90625</v>
      </c>
      <c r="AE11" t="n">
        <v>1955431.98144531</v>
      </c>
      <c r="AF11"/>
    </row>
    <row r="12">
      <c r="A12" t="s">
        <v>128</v>
      </c>
      <c r="B12" t="s">
        <v>283</v>
      </c>
      <c r="C12" t="s">
        <v>129</v>
      </c>
      <c r="D12" t="s">
        <v>284</v>
      </c>
      <c r="E12" t="s">
        <v>12</v>
      </c>
      <c r="F12" t="n">
        <v>2860475.00764465</v>
      </c>
      <c r="G12" t="n">
        <v>2889192.84185791</v>
      </c>
      <c r="H12" t="n">
        <v>2821525.7098999</v>
      </c>
      <c r="I12" t="n">
        <v>2762656.68289185</v>
      </c>
      <c r="J12" t="n">
        <v>2755026.94775391</v>
      </c>
      <c r="K12" t="n">
        <v>2744246.7388916</v>
      </c>
      <c r="L12" t="n">
        <v>2674641.49493408</v>
      </c>
      <c r="M12" t="n">
        <v>2537188.3694458</v>
      </c>
      <c r="N12" t="n">
        <v>2430846.4699707</v>
      </c>
      <c r="O12" t="n">
        <v>2434867.31445312</v>
      </c>
      <c r="P12" t="n">
        <v>2406463.90710449</v>
      </c>
      <c r="Q12" t="n">
        <v>2536498.85961914</v>
      </c>
      <c r="R12" t="n">
        <v>2600175.79760742</v>
      </c>
      <c r="S12" t="n">
        <v>2629013.85644531</v>
      </c>
      <c r="T12" t="n">
        <v>2521165.6887207</v>
      </c>
      <c r="U12" t="n">
        <v>2417712.06542969</v>
      </c>
      <c r="V12" t="n">
        <v>2256974.27294922</v>
      </c>
      <c r="W12" t="n">
        <v>2173358.50964356</v>
      </c>
      <c r="X12" t="n">
        <v>2146032.88562012</v>
      </c>
      <c r="Y12" t="n">
        <v>2113061.45874023</v>
      </c>
      <c r="Z12" t="n">
        <v>2100607.48718262</v>
      </c>
      <c r="AA12" t="n">
        <v>2087700.53662109</v>
      </c>
      <c r="AB12" t="n">
        <v>2122594.88195801</v>
      </c>
      <c r="AC12" t="n">
        <v>2093490.76428223</v>
      </c>
      <c r="AD12" t="n">
        <v>2084486.32897949</v>
      </c>
      <c r="AE12" t="n">
        <v>2099017.97827148</v>
      </c>
      <c r="AF12"/>
    </row>
    <row r="13">
      <c r="A13" t="s">
        <v>130</v>
      </c>
      <c r="B13" t="s">
        <v>283</v>
      </c>
      <c r="C13" t="s">
        <v>131</v>
      </c>
      <c r="D13" t="s">
        <v>284</v>
      </c>
      <c r="E13" t="s">
        <v>12</v>
      </c>
      <c r="F13" t="n">
        <v>5148444.80651855</v>
      </c>
      <c r="G13" t="n">
        <v>5063769.58633423</v>
      </c>
      <c r="H13" t="n">
        <v>4758552.0144043</v>
      </c>
      <c r="I13" t="n">
        <v>4450799.43603516</v>
      </c>
      <c r="J13" t="n">
        <v>4399716.69482422</v>
      </c>
      <c r="K13" t="n">
        <v>4319742.75146484</v>
      </c>
      <c r="L13" t="n">
        <v>4124268.82104492</v>
      </c>
      <c r="M13" t="n">
        <v>3892743.35107422</v>
      </c>
      <c r="N13" t="n">
        <v>3549314.53820801</v>
      </c>
      <c r="O13" t="n">
        <v>3493892.74755859</v>
      </c>
      <c r="P13" t="n">
        <v>3392624.51953125</v>
      </c>
      <c r="Q13" t="n">
        <v>3542715.41821289</v>
      </c>
      <c r="R13" t="n">
        <v>3666025.39770508</v>
      </c>
      <c r="S13" t="n">
        <v>3773349.15234375</v>
      </c>
      <c r="T13" t="n">
        <v>3655291.77783203</v>
      </c>
      <c r="U13" t="n">
        <v>3529423.85205078</v>
      </c>
      <c r="V13" t="n">
        <v>3333372.70947266</v>
      </c>
      <c r="W13" t="n">
        <v>3200425.61499023</v>
      </c>
      <c r="X13" t="n">
        <v>3094233.19262695</v>
      </c>
      <c r="Y13" t="n">
        <v>3022203.5769043</v>
      </c>
      <c r="Z13" t="n">
        <v>2996041.57202148</v>
      </c>
      <c r="AA13" t="n">
        <v>2953205.63623047</v>
      </c>
      <c r="AB13" t="n">
        <v>3078924.32922363</v>
      </c>
      <c r="AC13" t="n">
        <v>3036163.76049805</v>
      </c>
      <c r="AD13" t="n">
        <v>3037492.83581543</v>
      </c>
      <c r="AE13" t="n">
        <v>3047243.89855957</v>
      </c>
      <c r="AF13"/>
    </row>
    <row r="14">
      <c r="A14" t="s">
        <v>132</v>
      </c>
      <c r="B14" t="s">
        <v>283</v>
      </c>
      <c r="C14" t="s">
        <v>133</v>
      </c>
      <c r="D14" t="s">
        <v>284</v>
      </c>
      <c r="E14" t="s">
        <v>12</v>
      </c>
      <c r="F14" t="n">
        <v>6079373.04840088</v>
      </c>
      <c r="G14" t="n">
        <v>6429399.09246826</v>
      </c>
      <c r="H14" t="n">
        <v>6520081.27178955</v>
      </c>
      <c r="I14" t="n">
        <v>6745403.6729126</v>
      </c>
      <c r="J14" t="n">
        <v>6951638.66937256</v>
      </c>
      <c r="K14" t="n">
        <v>7173181.05297852</v>
      </c>
      <c r="L14" t="n">
        <v>7258532.05297852</v>
      </c>
      <c r="M14" t="n">
        <v>7049462.23010254</v>
      </c>
      <c r="N14" t="n">
        <v>6747438.80578613</v>
      </c>
      <c r="O14" t="n">
        <v>6775875.46618652</v>
      </c>
      <c r="P14" t="n">
        <v>6776301.74609375</v>
      </c>
      <c r="Q14" t="n">
        <v>7271952.01330566</v>
      </c>
      <c r="R14" t="n">
        <v>7438546.01416016</v>
      </c>
      <c r="S14" t="n">
        <v>7697767.91308594</v>
      </c>
      <c r="T14" t="n">
        <v>7403194.06433105</v>
      </c>
      <c r="U14" t="n">
        <v>7130174.48217773</v>
      </c>
      <c r="V14" t="n">
        <v>6477119.98571777</v>
      </c>
      <c r="W14" t="n">
        <v>6307881.60852051</v>
      </c>
      <c r="X14" t="n">
        <v>6150458.22180176</v>
      </c>
      <c r="Y14" t="n">
        <v>5901003.42456055</v>
      </c>
      <c r="Z14" t="n">
        <v>5805987.4708252</v>
      </c>
      <c r="AA14" t="n">
        <v>5810378.36889648</v>
      </c>
      <c r="AB14" t="n">
        <v>5826110.43383789</v>
      </c>
      <c r="AC14" t="n">
        <v>5660663.09631348</v>
      </c>
      <c r="AD14" t="n">
        <v>5591161.30566406</v>
      </c>
      <c r="AE14" t="n">
        <v>5640784.02612305</v>
      </c>
      <c r="AF14"/>
    </row>
    <row r="15">
      <c r="A15" t="s">
        <v>134</v>
      </c>
      <c r="B15" t="s">
        <v>283</v>
      </c>
      <c r="C15" t="s">
        <v>135</v>
      </c>
      <c r="D15" t="s">
        <v>284</v>
      </c>
      <c r="E15" t="s">
        <v>12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283</v>
      </c>
      <c r="C16" t="s">
        <v>137</v>
      </c>
      <c r="D16" t="s">
        <v>284</v>
      </c>
      <c r="E16" t="s">
        <v>12</v>
      </c>
      <c r="F16" t="n">
        <v>3053511.35705566</v>
      </c>
      <c r="G16" t="n">
        <v>3299332.48010254</v>
      </c>
      <c r="H16" t="n">
        <v>3425141.44018555</v>
      </c>
      <c r="I16" t="n">
        <v>3539723.60314941</v>
      </c>
      <c r="J16" t="n">
        <v>3720761.60327148</v>
      </c>
      <c r="K16" t="n">
        <v>3913248.71618652</v>
      </c>
      <c r="L16" t="n">
        <v>4005425.00268555</v>
      </c>
      <c r="M16" t="n">
        <v>3948181.3939209</v>
      </c>
      <c r="N16" t="n">
        <v>3821844.07897949</v>
      </c>
      <c r="O16" t="n">
        <v>3812997.30200195</v>
      </c>
      <c r="P16" t="n">
        <v>3804120.39038086</v>
      </c>
      <c r="Q16" t="n">
        <v>4020298.57958984</v>
      </c>
      <c r="R16" t="n">
        <v>4122843.72900391</v>
      </c>
      <c r="S16" t="n">
        <v>4176135.66992188</v>
      </c>
      <c r="T16" t="n">
        <v>3975235.60107422</v>
      </c>
      <c r="U16" t="n">
        <v>3829712.72338867</v>
      </c>
      <c r="V16" t="n">
        <v>3535316.52709961</v>
      </c>
      <c r="W16" t="n">
        <v>3439673.63525391</v>
      </c>
      <c r="X16" t="n">
        <v>3390777.13769531</v>
      </c>
      <c r="Y16" t="n">
        <v>3326072.42504883</v>
      </c>
      <c r="Z16" t="n">
        <v>3281622.49719238</v>
      </c>
      <c r="AA16" t="n">
        <v>3335514.85302734</v>
      </c>
      <c r="AB16" t="n">
        <v>3412382.91223144</v>
      </c>
      <c r="AC16" t="n">
        <v>3363583.29516602</v>
      </c>
      <c r="AD16" t="n">
        <v>3361475.37646484</v>
      </c>
      <c r="AE16" t="n">
        <v>3327040.30236816</v>
      </c>
      <c r="AF16"/>
    </row>
    <row r="17">
      <c r="A17" t="s">
        <v>138</v>
      </c>
      <c r="B17" t="s">
        <v>283</v>
      </c>
      <c r="C17" t="s">
        <v>139</v>
      </c>
      <c r="D17" t="s">
        <v>284</v>
      </c>
      <c r="E17" t="s">
        <v>12</v>
      </c>
      <c r="F17" t="n">
        <v>2859938.08679199</v>
      </c>
      <c r="G17" t="n">
        <v>2965979.48779297</v>
      </c>
      <c r="H17" t="n">
        <v>2981718.76879883</v>
      </c>
      <c r="I17" t="n">
        <v>3067047.04101562</v>
      </c>
      <c r="J17" t="n">
        <v>3143354.25512695</v>
      </c>
      <c r="K17" t="n">
        <v>3193927.16186523</v>
      </c>
      <c r="L17" t="n">
        <v>3168239.64746094</v>
      </c>
      <c r="M17" t="n">
        <v>3084994.70263672</v>
      </c>
      <c r="N17" t="n">
        <v>2987513.22119141</v>
      </c>
      <c r="O17" t="n">
        <v>3060254.64892578</v>
      </c>
      <c r="P17" t="n">
        <v>3180610.61425781</v>
      </c>
      <c r="Q17" t="n">
        <v>3371694.29296875</v>
      </c>
      <c r="R17" t="n">
        <v>3595229.93847656</v>
      </c>
      <c r="S17" t="n">
        <v>3836124.74511719</v>
      </c>
      <c r="T17" t="n">
        <v>3731717.67382812</v>
      </c>
      <c r="U17" t="n">
        <v>3577839.90039062</v>
      </c>
      <c r="V17" t="n">
        <v>3319748.86230469</v>
      </c>
      <c r="W17" t="n">
        <v>3268542.66015625</v>
      </c>
      <c r="X17" t="n">
        <v>3234488.16210938</v>
      </c>
      <c r="Y17" t="n">
        <v>3181108.44726562</v>
      </c>
      <c r="Z17" t="n">
        <v>3207386.15429688</v>
      </c>
      <c r="AA17" t="n">
        <v>3253809.44824219</v>
      </c>
      <c r="AB17" t="n">
        <v>3261000.96386719</v>
      </c>
      <c r="AC17" t="n">
        <v>3195922.81884766</v>
      </c>
      <c r="AD17" t="n">
        <v>3194313.54296875</v>
      </c>
      <c r="AE17" t="n">
        <v>3140182.20507812</v>
      </c>
      <c r="AF17"/>
    </row>
    <row r="18">
      <c r="A18" t="s">
        <v>140</v>
      </c>
      <c r="B18" t="s">
        <v>283</v>
      </c>
      <c r="C18" t="s">
        <v>141</v>
      </c>
      <c r="D18" t="s">
        <v>284</v>
      </c>
      <c r="E18" t="s">
        <v>12</v>
      </c>
      <c r="F18" t="n">
        <v>5332454.50927734</v>
      </c>
      <c r="G18" t="n">
        <v>5391545.76806641</v>
      </c>
      <c r="H18" t="n">
        <v>5383837.06494141</v>
      </c>
      <c r="I18" t="n">
        <v>5462559.46582031</v>
      </c>
      <c r="J18" t="n">
        <v>5588658.57275391</v>
      </c>
      <c r="K18" t="n">
        <v>5546788.91552734</v>
      </c>
      <c r="L18" t="n">
        <v>5473908.54296875</v>
      </c>
      <c r="M18" t="n">
        <v>5402048.81982422</v>
      </c>
      <c r="N18" t="n">
        <v>5321433.72851562</v>
      </c>
      <c r="O18" t="n">
        <v>5369149.54296875</v>
      </c>
      <c r="P18" t="n">
        <v>5514029.27978516</v>
      </c>
      <c r="Q18" t="n">
        <v>5932131.74169922</v>
      </c>
      <c r="R18" t="n">
        <v>6218110.55908203</v>
      </c>
      <c r="S18" t="n">
        <v>6494132.18896484</v>
      </c>
      <c r="T18" t="n">
        <v>6261306.70947266</v>
      </c>
      <c r="U18" t="n">
        <v>6027641.99658203</v>
      </c>
      <c r="V18" t="n">
        <v>5556023.51220703</v>
      </c>
      <c r="W18" t="n">
        <v>5454475.79321289</v>
      </c>
      <c r="X18" t="n">
        <v>5509436.42138672</v>
      </c>
      <c r="Y18" t="n">
        <v>5527386.61669922</v>
      </c>
      <c r="Z18" t="n">
        <v>5678122.60827637</v>
      </c>
      <c r="AA18" t="n">
        <v>5976860.81396484</v>
      </c>
      <c r="AB18" t="n">
        <v>6267171.18676758</v>
      </c>
      <c r="AC18" t="n">
        <v>6215089.28674316</v>
      </c>
      <c r="AD18" t="n">
        <v>6258635.07104492</v>
      </c>
      <c r="AE18" t="n">
        <v>6401795.43664551</v>
      </c>
      <c r="AF18"/>
    </row>
    <row r="19">
      <c r="A19" t="s">
        <v>142</v>
      </c>
      <c r="B19" t="s">
        <v>283</v>
      </c>
      <c r="C19" t="s">
        <v>143</v>
      </c>
      <c r="D19" t="s">
        <v>284</v>
      </c>
      <c r="E19" t="s">
        <v>12</v>
      </c>
      <c r="F19" t="n">
        <v>804534.490234375</v>
      </c>
      <c r="G19" t="n">
        <v>825709.643432617</v>
      </c>
      <c r="H19" t="n">
        <v>815013.060180664</v>
      </c>
      <c r="I19" t="n">
        <v>820811.130981445</v>
      </c>
      <c r="J19" t="n">
        <v>832074.403320312</v>
      </c>
      <c r="K19" t="n">
        <v>819369.798461914</v>
      </c>
      <c r="L19" t="n">
        <v>817291.92590332</v>
      </c>
      <c r="M19" t="n">
        <v>778149.779663086</v>
      </c>
      <c r="N19" t="n">
        <v>754032.877929688</v>
      </c>
      <c r="O19" t="n">
        <v>734491.610839844</v>
      </c>
      <c r="P19" t="n">
        <v>737059.401367188</v>
      </c>
      <c r="Q19" t="n">
        <v>770806.965576172</v>
      </c>
      <c r="R19" t="n">
        <v>792928.508300781</v>
      </c>
      <c r="S19" t="n">
        <v>797105.078125</v>
      </c>
      <c r="T19" t="n">
        <v>765333.847167969</v>
      </c>
      <c r="U19" t="n">
        <v>740035.010253906</v>
      </c>
      <c r="V19" t="n">
        <v>695083.750976562</v>
      </c>
      <c r="W19" t="n">
        <v>661482.73046875</v>
      </c>
      <c r="X19" t="n">
        <v>653755.291992188</v>
      </c>
      <c r="Y19" t="n">
        <v>635347.739257812</v>
      </c>
      <c r="Z19" t="n">
        <v>630147.933837891</v>
      </c>
      <c r="AA19" t="n">
        <v>623493.409912109</v>
      </c>
      <c r="AB19" t="n">
        <v>608335.910400391</v>
      </c>
      <c r="AC19" t="n">
        <v>577410.457275391</v>
      </c>
      <c r="AD19" t="n">
        <v>567960.196044922</v>
      </c>
      <c r="AE19" t="n">
        <v>563227.013916016</v>
      </c>
      <c r="AF19"/>
    </row>
    <row r="20">
      <c r="A20" t="s">
        <v>144</v>
      </c>
      <c r="B20" t="s">
        <v>283</v>
      </c>
      <c r="C20" t="s">
        <v>145</v>
      </c>
      <c r="D20" t="s">
        <v>284</v>
      </c>
      <c r="E20" t="s">
        <v>12</v>
      </c>
      <c r="F20" t="n">
        <v>8532667.21923828</v>
      </c>
      <c r="G20" t="n">
        <v>8707840.63964844</v>
      </c>
      <c r="H20" t="n">
        <v>8253815.60986328</v>
      </c>
      <c r="I20" t="n">
        <v>7646692.24316406</v>
      </c>
      <c r="J20" t="n">
        <v>8078078.36132812</v>
      </c>
      <c r="K20" t="n">
        <v>8095370.29296875</v>
      </c>
      <c r="L20" t="n">
        <v>7559526.72460938</v>
      </c>
      <c r="M20" t="n">
        <v>7345643.43945312</v>
      </c>
      <c r="N20" t="n">
        <v>6869481.72558594</v>
      </c>
      <c r="O20" t="n">
        <v>7209801.05664062</v>
      </c>
      <c r="P20" t="n">
        <v>6892205.328125</v>
      </c>
      <c r="Q20" t="n">
        <v>7174650.03222656</v>
      </c>
      <c r="R20" t="n">
        <v>7070101.74926758</v>
      </c>
      <c r="S20" t="n">
        <v>6891263.66210938</v>
      </c>
      <c r="T20" t="n">
        <v>6647560.72290039</v>
      </c>
      <c r="U20" t="n">
        <v>6377501.39404297</v>
      </c>
      <c r="V20" t="n">
        <v>6170193.56396484</v>
      </c>
      <c r="W20" t="n">
        <v>5784946.30615234</v>
      </c>
      <c r="X20" t="n">
        <v>5592629.14440918</v>
      </c>
      <c r="Y20" t="n">
        <v>5371788.87670898</v>
      </c>
      <c r="Z20" t="n">
        <v>5178147.45861816</v>
      </c>
      <c r="AA20" t="n">
        <v>4733800.73132324</v>
      </c>
      <c r="AB20" t="n">
        <v>4872595.7277832</v>
      </c>
      <c r="AC20" t="n">
        <v>4856154.29272461</v>
      </c>
      <c r="AD20" t="n">
        <v>4607631.43029785</v>
      </c>
      <c r="AE20" t="n">
        <v>4678876.72631836</v>
      </c>
      <c r="AF20"/>
    </row>
    <row r="21">
      <c r="A21" t="s">
        <v>146</v>
      </c>
      <c r="B21" t="s">
        <v>283</v>
      </c>
      <c r="C21" t="s">
        <v>147</v>
      </c>
      <c r="D21" t="s">
        <v>284</v>
      </c>
      <c r="E21" t="s">
        <v>12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283</v>
      </c>
      <c r="C22" t="s">
        <v>149</v>
      </c>
      <c r="D22" t="s">
        <v>284</v>
      </c>
      <c r="E22" t="s">
        <v>12</v>
      </c>
      <c r="F22" t="n">
        <v>3774027.72686386</v>
      </c>
      <c r="G22" t="n">
        <v>3683428.367733</v>
      </c>
      <c r="H22" t="n">
        <v>3295241.37760639</v>
      </c>
      <c r="I22" t="n">
        <v>2828979.50631142</v>
      </c>
      <c r="J22" t="n">
        <v>3066249.69543314</v>
      </c>
      <c r="K22" t="n">
        <v>3118531.25647688</v>
      </c>
      <c r="L22" t="n">
        <v>2850513.65414143</v>
      </c>
      <c r="M22" t="n">
        <v>2844036.02305484</v>
      </c>
      <c r="N22" t="n">
        <v>2647630.12947154</v>
      </c>
      <c r="O22" t="n">
        <v>3056193.27656031</v>
      </c>
      <c r="P22" t="n">
        <v>2953679.21546149</v>
      </c>
      <c r="Q22" t="n">
        <v>3240212.81424356</v>
      </c>
      <c r="R22" t="n">
        <v>3179719.86651218</v>
      </c>
      <c r="S22" t="n">
        <v>3021429.9076588</v>
      </c>
      <c r="T22" t="n">
        <v>2910644.7469968</v>
      </c>
      <c r="U22" t="n">
        <v>2774697.47333386</v>
      </c>
      <c r="V22" t="n">
        <v>2744610.52610421</v>
      </c>
      <c r="W22" t="n">
        <v>2566184.29617014</v>
      </c>
      <c r="X22" t="n">
        <v>2493578.57333127</v>
      </c>
      <c r="Y22" t="n">
        <v>2391512.24711927</v>
      </c>
      <c r="Z22" t="n">
        <v>2276815.50686882</v>
      </c>
      <c r="AA22" t="n">
        <v>1982979.68442285</v>
      </c>
      <c r="AB22" t="n">
        <v>2103772.54707365</v>
      </c>
      <c r="AC22" t="n">
        <v>2152120.46482377</v>
      </c>
      <c r="AD22" t="n">
        <v>2039500.99178596</v>
      </c>
      <c r="AE22" t="n">
        <v>2178333.90427056</v>
      </c>
      <c r="AF22"/>
    </row>
    <row r="23">
      <c r="A23" t="s">
        <v>150</v>
      </c>
      <c r="B23" t="s">
        <v>283</v>
      </c>
      <c r="C23" t="s">
        <v>151</v>
      </c>
      <c r="D23" t="s">
        <v>284</v>
      </c>
      <c r="E23" t="s">
        <v>12</v>
      </c>
      <c r="F23" t="n">
        <v>4395190.08203125</v>
      </c>
      <c r="G23" t="n">
        <v>4544988.03710938</v>
      </c>
      <c r="H23" t="n">
        <v>4393222.3046875</v>
      </c>
      <c r="I23" t="n">
        <v>4159498.3125</v>
      </c>
      <c r="J23" t="n">
        <v>4128078.08984375</v>
      </c>
      <c r="K23" t="n">
        <v>4123621.30859375</v>
      </c>
      <c r="L23" t="n">
        <v>3926745.2734375</v>
      </c>
      <c r="M23" t="n">
        <v>3697900.609375</v>
      </c>
      <c r="N23" t="n">
        <v>3378577.70703125</v>
      </c>
      <c r="O23" t="n">
        <v>3229118.19140625</v>
      </c>
      <c r="P23" t="n">
        <v>3040141.609375</v>
      </c>
      <c r="Q23" t="n">
        <v>2978568.1328125</v>
      </c>
      <c r="R23" t="n">
        <v>3058784.55273438</v>
      </c>
      <c r="S23" t="n">
        <v>3005781.34960938</v>
      </c>
      <c r="T23" t="n">
        <v>2851950.0390625</v>
      </c>
      <c r="U23" t="n">
        <v>2768238.16796875</v>
      </c>
      <c r="V23" t="n">
        <v>2650411.85058594</v>
      </c>
      <c r="W23" t="n">
        <v>2557026.81640625</v>
      </c>
      <c r="X23" t="n">
        <v>2602850.89160156</v>
      </c>
      <c r="Y23" t="n">
        <v>2637828.76953125</v>
      </c>
      <c r="Z23" t="n">
        <v>2695599.40234375</v>
      </c>
      <c r="AA23" t="n">
        <v>2712008.18554688</v>
      </c>
      <c r="AB23" t="n">
        <v>2851201.34228516</v>
      </c>
      <c r="AC23" t="n">
        <v>2845333.23681641</v>
      </c>
      <c r="AD23" t="n">
        <v>2880370.21191406</v>
      </c>
      <c r="AE23" t="n">
        <v>2963329.36230469</v>
      </c>
      <c r="AF23"/>
    </row>
    <row r="24">
      <c r="A24" t="s">
        <v>152</v>
      </c>
      <c r="B24" t="s">
        <v>283</v>
      </c>
      <c r="C24" t="s">
        <v>153</v>
      </c>
      <c r="D24" t="s">
        <v>284</v>
      </c>
      <c r="E24" t="s">
        <v>12</v>
      </c>
      <c r="F24" t="n">
        <v>10494703.8092041</v>
      </c>
      <c r="G24" t="n">
        <v>10886266.43396</v>
      </c>
      <c r="H24" t="n">
        <v>10692997.3703613</v>
      </c>
      <c r="I24" t="n">
        <v>10173532.986145</v>
      </c>
      <c r="J24" t="n">
        <v>10263668.1341553</v>
      </c>
      <c r="K24" t="n">
        <v>10465489.6712341</v>
      </c>
      <c r="L24" t="n">
        <v>10139563.3445435</v>
      </c>
      <c r="M24" t="n">
        <v>9854307.43652344</v>
      </c>
      <c r="N24" t="n">
        <v>9436519.19265747</v>
      </c>
      <c r="O24" t="n">
        <v>9631404.68759155</v>
      </c>
      <c r="P24" t="n">
        <v>9622327.95787048</v>
      </c>
      <c r="Q24" t="n">
        <v>9948975.14453125</v>
      </c>
      <c r="R24" t="n">
        <v>10080439.9066467</v>
      </c>
      <c r="S24" t="n">
        <v>10138969.8862381</v>
      </c>
      <c r="T24" t="n">
        <v>9906827.85732269</v>
      </c>
      <c r="U24" t="n">
        <v>9539761.53601074</v>
      </c>
      <c r="V24" t="n">
        <v>9209272.39405441</v>
      </c>
      <c r="W24" t="n">
        <v>8907048.28079605</v>
      </c>
      <c r="X24" t="n">
        <v>8821599.6798172</v>
      </c>
      <c r="Y24" t="n">
        <v>8759312.63499069</v>
      </c>
      <c r="Z24" t="n">
        <v>8811248.70804024</v>
      </c>
      <c r="AA24" t="n">
        <v>8754957.13789368</v>
      </c>
      <c r="AB24" t="n">
        <v>8870158.62661743</v>
      </c>
      <c r="AC24" t="n">
        <v>8717287.2183609</v>
      </c>
      <c r="AD24" t="n">
        <v>8716423.39081573</v>
      </c>
      <c r="AE24" t="n">
        <v>8740881.086586</v>
      </c>
      <c r="AF24"/>
    </row>
    <row r="25">
      <c r="A25" t="s">
        <v>154</v>
      </c>
      <c r="B25" t="s">
        <v>283</v>
      </c>
      <c r="C25" t="s">
        <v>155</v>
      </c>
      <c r="D25" t="s">
        <v>284</v>
      </c>
      <c r="E25" t="s">
        <v>12</v>
      </c>
      <c r="F25" t="n">
        <v>304051.204223633</v>
      </c>
      <c r="G25" t="n">
        <v>389139.526733398</v>
      </c>
      <c r="H25" t="n">
        <v>436486.875976562</v>
      </c>
      <c r="I25" t="n">
        <v>409671.664367676</v>
      </c>
      <c r="J25" t="n">
        <v>441552.651245117</v>
      </c>
      <c r="K25" t="n">
        <v>489967.756439209</v>
      </c>
      <c r="L25" t="n">
        <v>502807.424133301</v>
      </c>
      <c r="M25" t="n">
        <v>475970.935913086</v>
      </c>
      <c r="N25" t="n">
        <v>462974.743438721</v>
      </c>
      <c r="O25" t="n">
        <v>476953.42501831</v>
      </c>
      <c r="P25" t="n">
        <v>491657.129806519</v>
      </c>
      <c r="Q25" t="n">
        <v>506161.903076172</v>
      </c>
      <c r="R25" t="n">
        <v>499132.93045044</v>
      </c>
      <c r="S25" t="n">
        <v>545203.133552551</v>
      </c>
      <c r="T25" t="n">
        <v>533797.061607361</v>
      </c>
      <c r="U25" t="n">
        <v>468366.586303711</v>
      </c>
      <c r="V25" t="n">
        <v>408281.997905731</v>
      </c>
      <c r="W25" t="n">
        <v>355107.175479889</v>
      </c>
      <c r="X25" t="n">
        <v>327130.339027405</v>
      </c>
      <c r="Y25" t="n">
        <v>322432.629528046</v>
      </c>
      <c r="Z25" t="n">
        <v>310659.585680008</v>
      </c>
      <c r="AA25" t="n">
        <v>290515.444702148</v>
      </c>
      <c r="AB25" t="n">
        <v>282835.326171875</v>
      </c>
      <c r="AC25" t="n">
        <v>257266.252929688</v>
      </c>
      <c r="AD25" t="n">
        <v>281257.272216797</v>
      </c>
      <c r="AE25" t="n">
        <v>273130.274902344</v>
      </c>
      <c r="AF25"/>
    </row>
    <row r="26">
      <c r="A26" t="s">
        <v>156</v>
      </c>
      <c r="B26" t="s">
        <v>283</v>
      </c>
      <c r="C26" t="s">
        <v>157</v>
      </c>
      <c r="D26" t="s">
        <v>284</v>
      </c>
      <c r="E26" t="s">
        <v>12</v>
      </c>
      <c r="F26" t="n">
        <v>4843901.140625</v>
      </c>
      <c r="G26" t="n">
        <v>5029770.94921875</v>
      </c>
      <c r="H26" t="n">
        <v>5037745.52734375</v>
      </c>
      <c r="I26" t="n">
        <v>4793363.68359375</v>
      </c>
      <c r="J26" t="n">
        <v>4831074.74609375</v>
      </c>
      <c r="K26" t="n">
        <v>4813184.40625</v>
      </c>
      <c r="L26" t="n">
        <v>4565664.078125</v>
      </c>
      <c r="M26" t="n">
        <v>4449276.67578125</v>
      </c>
      <c r="N26" t="n">
        <v>4240761.1953125</v>
      </c>
      <c r="O26" t="n">
        <v>4273036.03125</v>
      </c>
      <c r="P26" t="n">
        <v>4231163.7421875</v>
      </c>
      <c r="Q26" t="n">
        <v>4393933.578125</v>
      </c>
      <c r="R26" t="n">
        <v>4467976.90625</v>
      </c>
      <c r="S26" t="n">
        <v>4517568.87109375</v>
      </c>
      <c r="T26" t="n">
        <v>4426961.421875</v>
      </c>
      <c r="U26" t="n">
        <v>4288326.94140625</v>
      </c>
      <c r="V26" t="n">
        <v>4145718.46875</v>
      </c>
      <c r="W26" t="n">
        <v>4008404.55859375</v>
      </c>
      <c r="X26" t="n">
        <v>3931230.625</v>
      </c>
      <c r="Y26" t="n">
        <v>3839483.52734375</v>
      </c>
      <c r="Z26" t="n">
        <v>3796990.2890625</v>
      </c>
      <c r="AA26" t="n">
        <v>3715804.35546875</v>
      </c>
      <c r="AB26" t="n">
        <v>3745517.44140625</v>
      </c>
      <c r="AC26" t="n">
        <v>3649450.1171875</v>
      </c>
      <c r="AD26" t="n">
        <v>3563825.41796875</v>
      </c>
      <c r="AE26" t="n">
        <v>3538987.12890625</v>
      </c>
      <c r="AF26"/>
    </row>
    <row r="27">
      <c r="A27" t="s">
        <v>158</v>
      </c>
      <c r="B27" t="s">
        <v>283</v>
      </c>
      <c r="C27" t="s">
        <v>159</v>
      </c>
      <c r="D27" t="s">
        <v>284</v>
      </c>
      <c r="E27" t="s">
        <v>12</v>
      </c>
      <c r="F27" t="n">
        <v>5346751.46435547</v>
      </c>
      <c r="G27" t="n">
        <v>5467355.95800781</v>
      </c>
      <c r="H27" t="n">
        <v>5218764.96704102</v>
      </c>
      <c r="I27" t="n">
        <v>4970497.63818359</v>
      </c>
      <c r="J27" t="n">
        <v>4991040.73681641</v>
      </c>
      <c r="K27" t="n">
        <v>5162337.50854492</v>
      </c>
      <c r="L27" t="n">
        <v>5071091.84228516</v>
      </c>
      <c r="M27" t="n">
        <v>4929059.8248291</v>
      </c>
      <c r="N27" t="n">
        <v>4732783.25390625</v>
      </c>
      <c r="O27" t="n">
        <v>4881415.23132324</v>
      </c>
      <c r="P27" t="n">
        <v>4899507.08587646</v>
      </c>
      <c r="Q27" t="n">
        <v>5048879.66333008</v>
      </c>
      <c r="R27" t="n">
        <v>5113330.06994629</v>
      </c>
      <c r="S27" t="n">
        <v>5076197.8815918</v>
      </c>
      <c r="T27" t="n">
        <v>4946069.37384033</v>
      </c>
      <c r="U27" t="n">
        <v>4783068.00830078</v>
      </c>
      <c r="V27" t="n">
        <v>4655271.92739868</v>
      </c>
      <c r="W27" t="n">
        <v>4543536.54672241</v>
      </c>
      <c r="X27" t="n">
        <v>4563238.7157898</v>
      </c>
      <c r="Y27" t="n">
        <v>4597396.4781189</v>
      </c>
      <c r="Z27" t="n">
        <v>4703598.83329773</v>
      </c>
      <c r="AA27" t="n">
        <v>4748637.33772278</v>
      </c>
      <c r="AB27" t="n">
        <v>4841805.85903931</v>
      </c>
      <c r="AC27" t="n">
        <v>4810570.84824371</v>
      </c>
      <c r="AD27" t="n">
        <v>4871340.70063019</v>
      </c>
      <c r="AE27" t="n">
        <v>4928763.6827774</v>
      </c>
      <c r="AF27"/>
    </row>
    <row r="28">
      <c r="A28" t="s">
        <v>160</v>
      </c>
      <c r="B28" t="s">
        <v>283</v>
      </c>
      <c r="C28" t="s">
        <v>161</v>
      </c>
      <c r="D28" t="s">
        <v>284</v>
      </c>
      <c r="E28" t="s">
        <v>12</v>
      </c>
      <c r="F28" t="n">
        <v>10324916.102066</v>
      </c>
      <c r="G28" t="n">
        <v>10187424.6934996</v>
      </c>
      <c r="H28" t="n">
        <v>9580842.51010418</v>
      </c>
      <c r="I28" t="n">
        <v>8594414.8076992</v>
      </c>
      <c r="J28" t="n">
        <v>8896578.9734993</v>
      </c>
      <c r="K28" t="n">
        <v>8855310.05926895</v>
      </c>
      <c r="L28" t="n">
        <v>8178101.55009842</v>
      </c>
      <c r="M28" t="n">
        <v>7899399.6091919</v>
      </c>
      <c r="N28" t="n">
        <v>7583140.04927826</v>
      </c>
      <c r="O28" t="n">
        <v>8189465.2670784</v>
      </c>
      <c r="P28" t="n">
        <v>8017812.24930573</v>
      </c>
      <c r="Q28" t="n">
        <v>8446466.94481659</v>
      </c>
      <c r="R28" t="n">
        <v>8587083.83802032</v>
      </c>
      <c r="S28" t="n">
        <v>8540585.32317352</v>
      </c>
      <c r="T28" t="n">
        <v>8381903.84169006</v>
      </c>
      <c r="U28" t="n">
        <v>8053666.71297455</v>
      </c>
      <c r="V28" t="n">
        <v>7766293.02890778</v>
      </c>
      <c r="W28" t="n">
        <v>7415666.64482117</v>
      </c>
      <c r="X28" t="n">
        <v>7199040.57979584</v>
      </c>
      <c r="Y28" t="n">
        <v>6999429.46321106</v>
      </c>
      <c r="Z28" t="n">
        <v>6850837.62519836</v>
      </c>
      <c r="AA28" t="n">
        <v>6378545.41853333</v>
      </c>
      <c r="AB28" t="n">
        <v>6596005.2224884</v>
      </c>
      <c r="AC28" t="n">
        <v>6700152.05274963</v>
      </c>
      <c r="AD28" t="n">
        <v>6601919.81793213</v>
      </c>
      <c r="AE28" t="n">
        <v>6767860.212677</v>
      </c>
      <c r="AF28"/>
    </row>
    <row r="29">
      <c r="A29" t="s">
        <v>162</v>
      </c>
      <c r="B29" t="s">
        <v>283</v>
      </c>
      <c r="C29" t="s">
        <v>163</v>
      </c>
      <c r="D29" t="s">
        <v>284</v>
      </c>
      <c r="E29" t="s">
        <v>12</v>
      </c>
      <c r="F29" t="n">
        <v>5857716.61998177</v>
      </c>
      <c r="G29" t="n">
        <v>5802562.28464794</v>
      </c>
      <c r="H29" t="n">
        <v>5515906.21602154</v>
      </c>
      <c r="I29" t="n">
        <v>4916347.30485344</v>
      </c>
      <c r="J29" t="n">
        <v>5037621.13404465</v>
      </c>
      <c r="K29" t="n">
        <v>5023968.12359238</v>
      </c>
      <c r="L29" t="n">
        <v>4584434.81681442</v>
      </c>
      <c r="M29" t="n">
        <v>4392841.04014587</v>
      </c>
      <c r="N29" t="n">
        <v>4177118.04045868</v>
      </c>
      <c r="O29" t="n">
        <v>4489418.38191605</v>
      </c>
      <c r="P29" t="n">
        <v>4391657.4701767</v>
      </c>
      <c r="Q29" t="n">
        <v>4597905.70890045</v>
      </c>
      <c r="R29" t="n">
        <v>4552840.49117279</v>
      </c>
      <c r="S29" t="n">
        <v>4487350.80010223</v>
      </c>
      <c r="T29" t="n">
        <v>4346014.42155457</v>
      </c>
      <c r="U29" t="n">
        <v>4160909.05205536</v>
      </c>
      <c r="V29" t="n">
        <v>4026968.95465851</v>
      </c>
      <c r="W29" t="n">
        <v>3825463.73939514</v>
      </c>
      <c r="X29" t="n">
        <v>3712366.94142914</v>
      </c>
      <c r="Y29" t="n">
        <v>3612892.83500671</v>
      </c>
      <c r="Z29" t="n">
        <v>3520273.05638123</v>
      </c>
      <c r="AA29" t="n">
        <v>3256406.44787598</v>
      </c>
      <c r="AB29" t="n">
        <v>3330284.16720581</v>
      </c>
      <c r="AC29" t="n">
        <v>3406780.60552979</v>
      </c>
      <c r="AD29" t="n">
        <v>3414170.0043335</v>
      </c>
      <c r="AE29" t="n">
        <v>3511862.09655762</v>
      </c>
      <c r="AF29"/>
    </row>
    <row r="30">
      <c r="A30" t="s">
        <v>164</v>
      </c>
      <c r="B30" t="s">
        <v>283</v>
      </c>
      <c r="C30" t="s">
        <v>165</v>
      </c>
      <c r="D30" t="s">
        <v>284</v>
      </c>
      <c r="E30" t="s">
        <v>12</v>
      </c>
      <c r="F30" t="n">
        <v>1039992.95228958</v>
      </c>
      <c r="G30" t="n">
        <v>964763.709064484</v>
      </c>
      <c r="H30" t="n">
        <v>835918.890769958</v>
      </c>
      <c r="I30" t="n">
        <v>734000.324287415</v>
      </c>
      <c r="J30" t="n">
        <v>716595.707748413</v>
      </c>
      <c r="K30" t="n">
        <v>679035.548950195</v>
      </c>
      <c r="L30" t="n">
        <v>635695.054595947</v>
      </c>
      <c r="M30" t="n">
        <v>642119.721130371</v>
      </c>
      <c r="N30" t="n">
        <v>659025.260620117</v>
      </c>
      <c r="O30" t="n">
        <v>726314.368408203</v>
      </c>
      <c r="P30" t="n">
        <v>683654.919647217</v>
      </c>
      <c r="Q30" t="n">
        <v>691713.367706299</v>
      </c>
      <c r="R30" t="n">
        <v>669251.002868652</v>
      </c>
      <c r="S30" t="n">
        <v>665532.914154053</v>
      </c>
      <c r="T30" t="n">
        <v>673470.009338379</v>
      </c>
      <c r="U30" t="n">
        <v>643636.472381592</v>
      </c>
      <c r="V30" t="n">
        <v>638169.387695312</v>
      </c>
      <c r="W30" t="n">
        <v>615268.615356445</v>
      </c>
      <c r="X30" t="n">
        <v>608652.882965088</v>
      </c>
      <c r="Y30" t="n">
        <v>595745.696716309</v>
      </c>
      <c r="Z30" t="n">
        <v>600332.33190918</v>
      </c>
      <c r="AA30" t="n">
        <v>605096.914703369</v>
      </c>
      <c r="AB30" t="n">
        <v>653577.710296631</v>
      </c>
      <c r="AC30" t="n">
        <v>665260.85861206</v>
      </c>
      <c r="AD30" t="n">
        <v>642817.857391357</v>
      </c>
      <c r="AE30" t="n">
        <v>617305.227111816</v>
      </c>
      <c r="AF30"/>
    </row>
    <row r="31">
      <c r="A31" t="s">
        <v>166</v>
      </c>
      <c r="B31" t="s">
        <v>283</v>
      </c>
      <c r="C31" t="s">
        <v>167</v>
      </c>
      <c r="D31" t="s">
        <v>284</v>
      </c>
      <c r="E31" t="s">
        <v>12</v>
      </c>
      <c r="F31" t="n">
        <v>680318.462106705</v>
      </c>
      <c r="G31" t="n">
        <v>646010.039386749</v>
      </c>
      <c r="H31" t="n">
        <v>638576.007621765</v>
      </c>
      <c r="I31" t="n">
        <v>589901.845184326</v>
      </c>
      <c r="J31" t="n">
        <v>574666.043815613</v>
      </c>
      <c r="K31" t="n">
        <v>558721.782722473</v>
      </c>
      <c r="L31" t="n">
        <v>515865.077613831</v>
      </c>
      <c r="M31" t="n">
        <v>480986.796524048</v>
      </c>
      <c r="N31" t="n">
        <v>474681.644683838</v>
      </c>
      <c r="O31" t="n">
        <v>501271.225250244</v>
      </c>
      <c r="P31" t="n">
        <v>528087.59312439</v>
      </c>
      <c r="Q31" t="n">
        <v>565575.29057312</v>
      </c>
      <c r="R31" t="n">
        <v>648583.272323608</v>
      </c>
      <c r="S31" t="n">
        <v>780714.286895752</v>
      </c>
      <c r="T31" t="n">
        <v>831145.239105225</v>
      </c>
      <c r="U31" t="n">
        <v>826212.866577148</v>
      </c>
      <c r="V31" t="n">
        <v>762020.644683838</v>
      </c>
      <c r="W31" t="n">
        <v>754448.322998047</v>
      </c>
      <c r="X31" t="n">
        <v>771623.890472412</v>
      </c>
      <c r="Y31" t="n">
        <v>766479.321014404</v>
      </c>
      <c r="Z31" t="n">
        <v>772676.559631348</v>
      </c>
      <c r="AA31" t="n">
        <v>765382.807495117</v>
      </c>
      <c r="AB31" t="n">
        <v>802566.047363281</v>
      </c>
      <c r="AC31" t="n">
        <v>792682.994018555</v>
      </c>
      <c r="AD31" t="n">
        <v>785039.587890625</v>
      </c>
      <c r="AE31" t="n">
        <v>833575.772277832</v>
      </c>
      <c r="AF31"/>
    </row>
    <row r="32">
      <c r="A32" t="s">
        <v>168</v>
      </c>
      <c r="B32" t="s">
        <v>283</v>
      </c>
      <c r="C32" t="s">
        <v>169</v>
      </c>
      <c r="D32" t="s">
        <v>284</v>
      </c>
      <c r="E32" t="s">
        <v>12</v>
      </c>
      <c r="F32" t="n">
        <v>2438204.67120361</v>
      </c>
      <c r="G32" t="n">
        <v>2418701.20092773</v>
      </c>
      <c r="H32" t="n">
        <v>2191348.01190186</v>
      </c>
      <c r="I32" t="n">
        <v>1960697.17321777</v>
      </c>
      <c r="J32" t="n">
        <v>2138070.6484375</v>
      </c>
      <c r="K32" t="n">
        <v>2181100.46606445</v>
      </c>
      <c r="L32" t="n">
        <v>2043333.49829102</v>
      </c>
      <c r="M32" t="n">
        <v>1988619.03845215</v>
      </c>
      <c r="N32" t="n">
        <v>1881482.03442383</v>
      </c>
      <c r="O32" t="n">
        <v>2076651.08459473</v>
      </c>
      <c r="P32" t="n">
        <v>2011859.25</v>
      </c>
      <c r="Q32" t="n">
        <v>2148432.31445312</v>
      </c>
      <c r="R32" t="n">
        <v>2143067.23669434</v>
      </c>
      <c r="S32" t="n">
        <v>2093841.85058594</v>
      </c>
      <c r="T32" t="n">
        <v>2062426.47131348</v>
      </c>
      <c r="U32" t="n">
        <v>2008893.54882812</v>
      </c>
      <c r="V32" t="n">
        <v>1973931.64318848</v>
      </c>
      <c r="W32" t="n">
        <v>1887811.67749023</v>
      </c>
      <c r="X32" t="n">
        <v>1813238.86242676</v>
      </c>
      <c r="Y32" t="n">
        <v>1766884.06359863</v>
      </c>
      <c r="Z32" t="n">
        <v>1703077.18878174</v>
      </c>
      <c r="AA32" t="n">
        <v>1516664.66186523</v>
      </c>
      <c r="AB32" t="n">
        <v>1577310.18450928</v>
      </c>
      <c r="AC32" t="n">
        <v>1619119.78216553</v>
      </c>
      <c r="AD32" t="n">
        <v>1564273.25274658</v>
      </c>
      <c r="AE32" t="n">
        <v>1619797.92028809</v>
      </c>
      <c r="AF32"/>
    </row>
    <row r="33">
      <c r="A33" t="s">
        <v>170</v>
      </c>
      <c r="B33" t="s">
        <v>283</v>
      </c>
      <c r="C33" t="s">
        <v>171</v>
      </c>
      <c r="D33" t="s">
        <v>284</v>
      </c>
      <c r="E33" t="s">
        <v>12</v>
      </c>
      <c r="F33" t="n">
        <v>308683.396484375</v>
      </c>
      <c r="G33" t="n">
        <v>355387.459472656</v>
      </c>
      <c r="H33" t="n">
        <v>399093.383789062</v>
      </c>
      <c r="I33" t="n">
        <v>393468.16015625</v>
      </c>
      <c r="J33" t="n">
        <v>429625.439453125</v>
      </c>
      <c r="K33" t="n">
        <v>412484.137939453</v>
      </c>
      <c r="L33" t="n">
        <v>398773.102783203</v>
      </c>
      <c r="M33" t="n">
        <v>394833.012939453</v>
      </c>
      <c r="N33" t="n">
        <v>390833.069091797</v>
      </c>
      <c r="O33" t="n">
        <v>395810.20690918</v>
      </c>
      <c r="P33" t="n">
        <v>402553.016357422</v>
      </c>
      <c r="Q33" t="n">
        <v>442840.263183594</v>
      </c>
      <c r="R33" t="n">
        <v>573341.834960938</v>
      </c>
      <c r="S33" t="n">
        <v>513145.471435547</v>
      </c>
      <c r="T33" t="n">
        <v>468847.700378418</v>
      </c>
      <c r="U33" t="n">
        <v>414014.773132324</v>
      </c>
      <c r="V33" t="n">
        <v>365202.398681641</v>
      </c>
      <c r="W33" t="n">
        <v>332674.289581299</v>
      </c>
      <c r="X33" t="n">
        <v>293158.002502441</v>
      </c>
      <c r="Y33" t="n">
        <v>257427.546875</v>
      </c>
      <c r="Z33" t="n">
        <v>254478.488494873</v>
      </c>
      <c r="AA33" t="n">
        <v>234994.586593628</v>
      </c>
      <c r="AB33" t="n">
        <v>232267.113113403</v>
      </c>
      <c r="AC33" t="n">
        <v>216307.812423706</v>
      </c>
      <c r="AD33" t="n">
        <v>195619.115570068</v>
      </c>
      <c r="AE33" t="n">
        <v>185319.19644165</v>
      </c>
      <c r="AF33"/>
    </row>
    <row r="34">
      <c r="A34" t="s">
        <v>172</v>
      </c>
      <c r="B34" t="s">
        <v>283</v>
      </c>
      <c r="C34" t="s">
        <v>173</v>
      </c>
      <c r="D34" t="s">
        <v>284</v>
      </c>
      <c r="E34" t="s">
        <v>12</v>
      </c>
      <c r="F34" t="n">
        <v>2365975.31054688</v>
      </c>
      <c r="G34" t="n">
        <v>2426939.51513672</v>
      </c>
      <c r="H34" t="n">
        <v>2365524.21728516</v>
      </c>
      <c r="I34" t="n">
        <v>2247809.57958984</v>
      </c>
      <c r="J34" t="n">
        <v>2335988.56835938</v>
      </c>
      <c r="K34" t="n">
        <v>2394111.39013672</v>
      </c>
      <c r="L34" t="n">
        <v>2363447.45654297</v>
      </c>
      <c r="M34" t="n">
        <v>2332020.87158203</v>
      </c>
      <c r="N34" t="n">
        <v>2208523.61474609</v>
      </c>
      <c r="O34" t="n">
        <v>2223175.26318359</v>
      </c>
      <c r="P34" t="n">
        <v>2129292.66503906</v>
      </c>
      <c r="Q34" t="n">
        <v>2287986.44677734</v>
      </c>
      <c r="R34" t="n">
        <v>2402464.44824219</v>
      </c>
      <c r="S34" t="n">
        <v>2397341.77050781</v>
      </c>
      <c r="T34" t="n">
        <v>2294208.56933594</v>
      </c>
      <c r="U34" t="n">
        <v>2180215.19189453</v>
      </c>
      <c r="V34" t="n">
        <v>2067323.01904297</v>
      </c>
      <c r="W34" t="n">
        <v>1978769.21704102</v>
      </c>
      <c r="X34" t="n">
        <v>1867319.30200195</v>
      </c>
      <c r="Y34" t="n">
        <v>1810871.06750488</v>
      </c>
      <c r="Z34" t="n">
        <v>1761897.02929688</v>
      </c>
      <c r="AA34" t="n">
        <v>1665712.17919922</v>
      </c>
      <c r="AB34" t="n">
        <v>1645784.4296875</v>
      </c>
      <c r="AC34" t="n">
        <v>1593444.37536621</v>
      </c>
      <c r="AD34" t="n">
        <v>1528196.37915039</v>
      </c>
      <c r="AE34" t="n">
        <v>1472724.18017578</v>
      </c>
      <c r="AF34"/>
    </row>
    <row r="35">
      <c r="A35" t="s">
        <v>174</v>
      </c>
      <c r="B35" t="s">
        <v>283</v>
      </c>
      <c r="C35" t="s">
        <v>175</v>
      </c>
      <c r="D35" t="s">
        <v>284</v>
      </c>
      <c r="E35" t="s">
        <v>12</v>
      </c>
      <c r="F35" t="n">
        <v>5367860.83721924</v>
      </c>
      <c r="G35" t="n">
        <v>6143019.28466797</v>
      </c>
      <c r="H35" t="n">
        <v>6369797.7902832</v>
      </c>
      <c r="I35" t="n">
        <v>6531341.51269531</v>
      </c>
      <c r="J35" t="n">
        <v>7127203.18774414</v>
      </c>
      <c r="K35" t="n">
        <v>7423806.50854492</v>
      </c>
      <c r="L35" t="n">
        <v>7524475.4440918</v>
      </c>
      <c r="M35" t="n">
        <v>7813980.54956055</v>
      </c>
      <c r="N35" t="n">
        <v>8116753.83911133</v>
      </c>
      <c r="O35" t="n">
        <v>8387029.59570312</v>
      </c>
      <c r="P35" t="n">
        <v>8561065.36328125</v>
      </c>
      <c r="Q35" t="n">
        <v>8937223.07519531</v>
      </c>
      <c r="R35" t="n">
        <v>8932728.40234375</v>
      </c>
      <c r="S35" t="n">
        <v>8787137.13525391</v>
      </c>
      <c r="T35" t="n">
        <v>8619182.20605469</v>
      </c>
      <c r="U35" t="n">
        <v>8201966.36328125</v>
      </c>
      <c r="V35" t="n">
        <v>7715985.71899414</v>
      </c>
      <c r="W35" t="n">
        <v>7365764.44116211</v>
      </c>
      <c r="X35" t="n">
        <v>7106652.50756836</v>
      </c>
      <c r="Y35" t="n">
        <v>6660750.21264648</v>
      </c>
      <c r="Z35" t="n">
        <v>6575238.12231445</v>
      </c>
      <c r="AA35" t="n">
        <v>6535117.74389648</v>
      </c>
      <c r="AB35" t="n">
        <v>6606842.71655273</v>
      </c>
      <c r="AC35" t="n">
        <v>6598378.71630859</v>
      </c>
      <c r="AD35" t="n">
        <v>6599451.2722168</v>
      </c>
      <c r="AE35" t="n">
        <v>6662344.30493164</v>
      </c>
      <c r="AF35"/>
    </row>
    <row r="36">
      <c r="A36" t="s">
        <v>176</v>
      </c>
      <c r="B36" t="s">
        <v>283</v>
      </c>
      <c r="C36" t="s">
        <v>177</v>
      </c>
      <c r="D36" t="s">
        <v>284</v>
      </c>
      <c r="E36" t="s">
        <v>12</v>
      </c>
      <c r="F36" t="n">
        <v>1057455.02032471</v>
      </c>
      <c r="G36" t="n">
        <v>1405929.09130859</v>
      </c>
      <c r="H36" t="n">
        <v>1478071.62036133</v>
      </c>
      <c r="I36" t="n">
        <v>1457509.328125</v>
      </c>
      <c r="J36" t="n">
        <v>1520285.10473633</v>
      </c>
      <c r="K36" t="n">
        <v>1520836.61694336</v>
      </c>
      <c r="L36" t="n">
        <v>1522559.08178711</v>
      </c>
      <c r="M36" t="n">
        <v>1501676.17260742</v>
      </c>
      <c r="N36" t="n">
        <v>1524150.29223633</v>
      </c>
      <c r="O36" t="n">
        <v>1504923.20703125</v>
      </c>
      <c r="P36" t="n">
        <v>1511702.14453125</v>
      </c>
      <c r="Q36" t="n">
        <v>1553402.86816406</v>
      </c>
      <c r="R36" t="n">
        <v>1544287.17773438</v>
      </c>
      <c r="S36" t="n">
        <v>1496941.92529297</v>
      </c>
      <c r="T36" t="n">
        <v>1466196.31542969</v>
      </c>
      <c r="U36" t="n">
        <v>1418498.54785156</v>
      </c>
      <c r="V36" t="n">
        <v>1352296.18579102</v>
      </c>
      <c r="W36" t="n">
        <v>1310077.29467773</v>
      </c>
      <c r="X36" t="n">
        <v>1288245.15698242</v>
      </c>
      <c r="Y36" t="n">
        <v>1253294.78588867</v>
      </c>
      <c r="Z36" t="n">
        <v>1221771.52319336</v>
      </c>
      <c r="AA36" t="n">
        <v>1206615.18286133</v>
      </c>
      <c r="AB36" t="n">
        <v>1188803.99780273</v>
      </c>
      <c r="AC36" t="n">
        <v>1155128.66748047</v>
      </c>
      <c r="AD36" t="n">
        <v>1167716.90112305</v>
      </c>
      <c r="AE36" t="n">
        <v>1154893.8527832</v>
      </c>
      <c r="AF36"/>
    </row>
    <row r="37">
      <c r="A37" t="s">
        <v>178</v>
      </c>
      <c r="B37" t="s">
        <v>283</v>
      </c>
      <c r="C37" t="s">
        <v>179</v>
      </c>
      <c r="D37" t="s">
        <v>284</v>
      </c>
      <c r="E37" t="s">
        <v>12</v>
      </c>
      <c r="F37" t="n">
        <v>2741720.08496094</v>
      </c>
      <c r="G37" t="n">
        <v>3165990.61328125</v>
      </c>
      <c r="H37" t="n">
        <v>3342609.640625</v>
      </c>
      <c r="I37" t="n">
        <v>3433641.82421875</v>
      </c>
      <c r="J37" t="n">
        <v>3843214.07226562</v>
      </c>
      <c r="K37" t="n">
        <v>3954304.3359375</v>
      </c>
      <c r="L37" t="n">
        <v>3893769.19140625</v>
      </c>
      <c r="M37" t="n">
        <v>4002994.17578125</v>
      </c>
      <c r="N37" t="n">
        <v>4147872.71679688</v>
      </c>
      <c r="O37" t="n">
        <v>4222002.92773438</v>
      </c>
      <c r="P37" t="n">
        <v>4335368.16796875</v>
      </c>
      <c r="Q37" t="n">
        <v>4535776.32421875</v>
      </c>
      <c r="R37" t="n">
        <v>4579150.38085938</v>
      </c>
      <c r="S37" t="n">
        <v>4438630.63183594</v>
      </c>
      <c r="T37" t="n">
        <v>4403524.859375</v>
      </c>
      <c r="U37" t="n">
        <v>4059723.43261719</v>
      </c>
      <c r="V37" t="n">
        <v>3848233.04492188</v>
      </c>
      <c r="W37" t="n">
        <v>3620734.11132812</v>
      </c>
      <c r="X37" t="n">
        <v>3416967.84277344</v>
      </c>
      <c r="Y37" t="n">
        <v>3038997.05761719</v>
      </c>
      <c r="Z37" t="n">
        <v>2924314.79443359</v>
      </c>
      <c r="AA37" t="n">
        <v>2856437.31298828</v>
      </c>
      <c r="AB37" t="n">
        <v>2938574.17382812</v>
      </c>
      <c r="AC37" t="n">
        <v>2889438.41796875</v>
      </c>
      <c r="AD37" t="n">
        <v>2857443.83398438</v>
      </c>
      <c r="AE37" t="n">
        <v>2949283.19824219</v>
      </c>
      <c r="AF37"/>
    </row>
    <row r="38">
      <c r="A38" t="s">
        <v>180</v>
      </c>
      <c r="B38" t="s">
        <v>283</v>
      </c>
      <c r="C38" t="s">
        <v>181</v>
      </c>
      <c r="D38" t="s">
        <v>284</v>
      </c>
      <c r="E38" t="s">
        <v>12</v>
      </c>
      <c r="F38" t="n">
        <v>1568685.73193359</v>
      </c>
      <c r="G38" t="n">
        <v>1571099.58007812</v>
      </c>
      <c r="H38" t="n">
        <v>1549116.52929688</v>
      </c>
      <c r="I38" t="n">
        <v>1640190.36035156</v>
      </c>
      <c r="J38" t="n">
        <v>1763704.01074219</v>
      </c>
      <c r="K38" t="n">
        <v>1948665.55566406</v>
      </c>
      <c r="L38" t="n">
        <v>2108147.17089844</v>
      </c>
      <c r="M38" t="n">
        <v>2309310.20117188</v>
      </c>
      <c r="N38" t="n">
        <v>2444730.83007812</v>
      </c>
      <c r="O38" t="n">
        <v>2660103.4609375</v>
      </c>
      <c r="P38" t="n">
        <v>2713995.05078125</v>
      </c>
      <c r="Q38" t="n">
        <v>2848043.8828125</v>
      </c>
      <c r="R38" t="n">
        <v>2809290.84375</v>
      </c>
      <c r="S38" t="n">
        <v>2851564.578125</v>
      </c>
      <c r="T38" t="n">
        <v>2749461.03125</v>
      </c>
      <c r="U38" t="n">
        <v>2723744.3828125</v>
      </c>
      <c r="V38" t="n">
        <v>2515456.48828125</v>
      </c>
      <c r="W38" t="n">
        <v>2434953.03515625</v>
      </c>
      <c r="X38" t="n">
        <v>2401439.5078125</v>
      </c>
      <c r="Y38" t="n">
        <v>2368458.36914062</v>
      </c>
      <c r="Z38" t="n">
        <v>2429151.8046875</v>
      </c>
      <c r="AA38" t="n">
        <v>2472065.24804688</v>
      </c>
      <c r="AB38" t="n">
        <v>2479464.54492188</v>
      </c>
      <c r="AC38" t="n">
        <v>2553811.63085938</v>
      </c>
      <c r="AD38" t="n">
        <v>2574290.53710938</v>
      </c>
      <c r="AE38" t="n">
        <v>2558167.25390625</v>
      </c>
      <c r="AF38"/>
    </row>
    <row r="39">
      <c r="A39" t="s">
        <v>182</v>
      </c>
      <c r="B39" t="s">
        <v>283</v>
      </c>
      <c r="C39" t="s">
        <v>183</v>
      </c>
      <c r="D39" t="s">
        <v>284</v>
      </c>
      <c r="E39" t="s">
        <v>12</v>
      </c>
      <c r="F39" t="n">
        <v>2010013.12747192</v>
      </c>
      <c r="G39" t="n">
        <v>2219166.99191284</v>
      </c>
      <c r="H39" t="n">
        <v>2256275.41009521</v>
      </c>
      <c r="I39" t="n">
        <v>2379051.50436401</v>
      </c>
      <c r="J39" t="n">
        <v>2466238.20898438</v>
      </c>
      <c r="K39" t="n">
        <v>2569458.75289917</v>
      </c>
      <c r="L39" t="n">
        <v>2734841.99710083</v>
      </c>
      <c r="M39" t="n">
        <v>2797272.09402466</v>
      </c>
      <c r="N39" t="n">
        <v>2835203.02015686</v>
      </c>
      <c r="O39" t="n">
        <v>2909903.77819824</v>
      </c>
      <c r="P39" t="n">
        <v>2749608.28561401</v>
      </c>
      <c r="Q39" t="n">
        <v>2736815.10879517</v>
      </c>
      <c r="R39" t="n">
        <v>2725310.05882263</v>
      </c>
      <c r="S39" t="n">
        <v>2750573.925354</v>
      </c>
      <c r="T39" t="n">
        <v>2876981.14602661</v>
      </c>
      <c r="U39" t="n">
        <v>2830080.15063477</v>
      </c>
      <c r="V39" t="n">
        <v>2566445.0741272</v>
      </c>
      <c r="W39" t="n">
        <v>2424429.41882324</v>
      </c>
      <c r="X39" t="n">
        <v>2354452.82263184</v>
      </c>
      <c r="Y39" t="n">
        <v>2339355.05096436</v>
      </c>
      <c r="Z39" t="n">
        <v>2357420.05401611</v>
      </c>
      <c r="AA39" t="n">
        <v>2384090.97845459</v>
      </c>
      <c r="AB39" t="n">
        <v>2397461.61987305</v>
      </c>
      <c r="AC39" t="n">
        <v>2401714.65496826</v>
      </c>
      <c r="AD39" t="n">
        <v>2424555.79296875</v>
      </c>
      <c r="AE39" t="n">
        <v>2444771.38696289</v>
      </c>
      <c r="AF39"/>
    </row>
    <row r="40">
      <c r="A40" t="s">
        <v>184</v>
      </c>
      <c r="B40" t="s">
        <v>283</v>
      </c>
      <c r="C40" t="s">
        <v>185</v>
      </c>
      <c r="D40" t="s">
        <v>284</v>
      </c>
      <c r="E40" t="s">
        <v>12</v>
      </c>
      <c r="F40" t="n">
        <v>41534988.2543945</v>
      </c>
      <c r="G40" t="n">
        <v>42513344.7104492</v>
      </c>
      <c r="H40" t="n">
        <v>39781519.0507812</v>
      </c>
      <c r="I40" t="n">
        <v>39864038.0029297</v>
      </c>
      <c r="J40" t="n">
        <v>42295767.6240234</v>
      </c>
      <c r="K40" t="n">
        <v>39179873.8203125</v>
      </c>
      <c r="L40" t="n">
        <v>36584751.4453125</v>
      </c>
      <c r="M40" t="n">
        <v>35770935.4433594</v>
      </c>
      <c r="N40" t="n">
        <v>32264819.5117188</v>
      </c>
      <c r="O40" t="n">
        <v>29049144.2578125</v>
      </c>
      <c r="P40" t="n">
        <v>26223919.578125</v>
      </c>
      <c r="Q40" t="n">
        <v>30070912.5273438</v>
      </c>
      <c r="R40" t="n">
        <v>31485755.8007812</v>
      </c>
      <c r="S40" t="n">
        <v>32709584.859375</v>
      </c>
      <c r="T40" t="n">
        <v>34820302.9726562</v>
      </c>
      <c r="U40" t="n">
        <v>34581673.21875</v>
      </c>
      <c r="V40" t="n">
        <v>27157438.4570312</v>
      </c>
      <c r="W40" t="n">
        <v>24090204.7011719</v>
      </c>
      <c r="X40" t="n">
        <v>24082520.0585938</v>
      </c>
      <c r="Y40" t="n">
        <v>20579546.5878906</v>
      </c>
      <c r="Z40" t="n">
        <v>20223941.5019531</v>
      </c>
      <c r="AA40" t="n">
        <v>21971074.6142578</v>
      </c>
      <c r="AB40" t="n">
        <v>21576907.9970703</v>
      </c>
      <c r="AC40" t="n">
        <v>15210288.4951172</v>
      </c>
      <c r="AD40" t="n">
        <v>11622472.9355469</v>
      </c>
      <c r="AE40" t="n">
        <v>10199693.2128906</v>
      </c>
      <c r="AF40"/>
    </row>
    <row r="41">
      <c r="A41" t="s">
        <v>186</v>
      </c>
      <c r="B41" t="s">
        <v>283</v>
      </c>
      <c r="C41" t="s">
        <v>187</v>
      </c>
      <c r="D41" t="s">
        <v>284</v>
      </c>
      <c r="E41" t="s">
        <v>12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283</v>
      </c>
      <c r="C42" t="s">
        <v>189</v>
      </c>
      <c r="D42" t="s">
        <v>284</v>
      </c>
      <c r="E42" t="s">
        <v>12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283</v>
      </c>
      <c r="C43" t="s">
        <v>191</v>
      </c>
      <c r="D43" t="s">
        <v>284</v>
      </c>
      <c r="E43" t="s">
        <v>12</v>
      </c>
      <c r="F43" t="n">
        <v>4957598.62000847</v>
      </c>
      <c r="G43" t="n">
        <v>5136923.40412903</v>
      </c>
      <c r="H43" t="n">
        <v>5465645.72662354</v>
      </c>
      <c r="I43" t="n">
        <v>5464950.35809326</v>
      </c>
      <c r="J43" t="n">
        <v>5359731.04318237</v>
      </c>
      <c r="K43" t="n">
        <v>5205255.10458374</v>
      </c>
      <c r="L43" t="n">
        <v>5125176.6532898</v>
      </c>
      <c r="M43" t="n">
        <v>5346608.39523315</v>
      </c>
      <c r="N43" t="n">
        <v>5418836.73970032</v>
      </c>
      <c r="O43" t="n">
        <v>5612763.86175537</v>
      </c>
      <c r="P43" t="n">
        <v>5754293.0124054</v>
      </c>
      <c r="Q43" t="n">
        <v>6595117.67593384</v>
      </c>
      <c r="R43" t="n">
        <v>6825637.54405975</v>
      </c>
      <c r="S43" t="n">
        <v>6840515.67461777</v>
      </c>
      <c r="T43" t="n">
        <v>6627330.28513718</v>
      </c>
      <c r="U43" t="n">
        <v>6444986.49337769</v>
      </c>
      <c r="V43" t="n">
        <v>6002663.33477211</v>
      </c>
      <c r="W43" t="n">
        <v>5874815.65871048</v>
      </c>
      <c r="X43" t="n">
        <v>5957656.52946091</v>
      </c>
      <c r="Y43" t="n">
        <v>5886500.46887398</v>
      </c>
      <c r="Z43" t="n">
        <v>6009380.76613426</v>
      </c>
      <c r="AA43" t="n">
        <v>6225490.26771069</v>
      </c>
      <c r="AB43" t="n">
        <v>6494696.99230194</v>
      </c>
      <c r="AC43" t="n">
        <v>6457667.5871315</v>
      </c>
      <c r="AD43" t="n">
        <v>6629351.83874798</v>
      </c>
      <c r="AE43" t="n">
        <v>6702562.91322279</v>
      </c>
      <c r="AF43"/>
    </row>
    <row r="44">
      <c r="A44" t="s">
        <v>192</v>
      </c>
      <c r="B44" t="s">
        <v>283</v>
      </c>
      <c r="C44" t="s">
        <v>193</v>
      </c>
      <c r="D44" t="s">
        <v>284</v>
      </c>
      <c r="E44" t="s">
        <v>12</v>
      </c>
      <c r="F44" t="n">
        <v>100267427.587889</v>
      </c>
      <c r="G44" t="n">
        <v>102663137.161145</v>
      </c>
      <c r="H44" t="n">
        <v>100483503.978752</v>
      </c>
      <c r="I44" t="n">
        <v>97187571.9348397</v>
      </c>
      <c r="J44" t="n">
        <v>99612968.2263767</v>
      </c>
      <c r="K44" t="n">
        <v>100257139.515489</v>
      </c>
      <c r="L44" t="n">
        <v>97598348.437896</v>
      </c>
      <c r="M44" t="n">
        <v>95679844.3990002</v>
      </c>
      <c r="N44" t="n">
        <v>92316833.680415</v>
      </c>
      <c r="O44" t="n">
        <v>94417444.6003261</v>
      </c>
      <c r="P44" t="n">
        <v>93599587.7567345</v>
      </c>
      <c r="Q44" t="n">
        <v>98380128.910157</v>
      </c>
      <c r="R44" t="n">
        <v>99898426.7234241</v>
      </c>
      <c r="S44" t="n">
        <v>100477016.668324</v>
      </c>
      <c r="T44" t="n">
        <v>97430776.6083273</v>
      </c>
      <c r="U44" t="n">
        <v>93695066.4190047</v>
      </c>
      <c r="V44" t="n">
        <v>88273398.258748</v>
      </c>
      <c r="W44" t="n">
        <v>84900201.7041751</v>
      </c>
      <c r="X44" t="n">
        <v>83396129.8190099</v>
      </c>
      <c r="Y44" t="n">
        <v>81418068.1239819</v>
      </c>
      <c r="Z44" t="n">
        <v>80769518.895196</v>
      </c>
      <c r="AA44" t="n">
        <v>79687305.6489493</v>
      </c>
      <c r="AB44" t="n">
        <v>81539810.0837307</v>
      </c>
      <c r="AC44" t="n">
        <v>80703437.5007911</v>
      </c>
      <c r="AD44" t="n">
        <v>80140924.1373072</v>
      </c>
      <c r="AE44" t="n">
        <v>80780694.332291</v>
      </c>
      <c r="AF44"/>
    </row>
    <row r="45">
      <c r="A45" t="s">
        <v>194</v>
      </c>
      <c r="B45" t="s">
        <v>283</v>
      </c>
      <c r="C45" t="s">
        <v>195</v>
      </c>
      <c r="D45" t="s">
        <v>284</v>
      </c>
      <c r="E45" t="s">
        <v>12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283</v>
      </c>
      <c r="C46" t="s">
        <v>197</v>
      </c>
      <c r="D46" t="s">
        <v>284</v>
      </c>
      <c r="E46" t="s">
        <v>12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283</v>
      </c>
      <c r="C47" t="s">
        <v>199</v>
      </c>
      <c r="D47" t="s">
        <v>284</v>
      </c>
      <c r="E47" t="s">
        <v>12</v>
      </c>
      <c r="F47" t="n">
        <v>18995901.3364258</v>
      </c>
      <c r="G47" t="n">
        <v>18970540.5908203</v>
      </c>
      <c r="H47" t="n">
        <v>17314995.9560547</v>
      </c>
      <c r="I47" t="n">
        <v>14951750.4306641</v>
      </c>
      <c r="J47" t="n">
        <v>16304430.6279297</v>
      </c>
      <c r="K47" t="n">
        <v>16644242.7929688</v>
      </c>
      <c r="L47" t="n">
        <v>15329327.2978516</v>
      </c>
      <c r="M47" t="n">
        <v>15233482.5537109</v>
      </c>
      <c r="N47" t="n">
        <v>14283653.8964844</v>
      </c>
      <c r="O47" t="n">
        <v>16167157.8393555</v>
      </c>
      <c r="P47" t="n">
        <v>15772018.7963867</v>
      </c>
      <c r="Q47" t="n">
        <v>17074627.8076172</v>
      </c>
      <c r="R47" t="n">
        <v>16657607.890625</v>
      </c>
      <c r="S47" t="n">
        <v>15977063.1533203</v>
      </c>
      <c r="T47" t="n">
        <v>15474894.3212891</v>
      </c>
      <c r="U47" t="n">
        <v>14680077.9345703</v>
      </c>
      <c r="V47" t="n">
        <v>14292065.1337891</v>
      </c>
      <c r="W47" t="n">
        <v>13204416.7773438</v>
      </c>
      <c r="X47" t="n">
        <v>12463390.5703125</v>
      </c>
      <c r="Y47" t="n">
        <v>11788800.8632812</v>
      </c>
      <c r="Z47" t="n">
        <v>11264430.0351562</v>
      </c>
      <c r="AA47" t="n">
        <v>9935072.70898438</v>
      </c>
      <c r="AB47" t="n">
        <v>10653118.9882812</v>
      </c>
      <c r="AC47" t="n">
        <v>10919416.0361328</v>
      </c>
      <c r="AD47" t="n">
        <v>10440165.3984375</v>
      </c>
      <c r="AE47" t="n">
        <v>11099351.0908203</v>
      </c>
      <c r="AF47"/>
    </row>
    <row r="48">
      <c r="A48" t="s">
        <v>200</v>
      </c>
      <c r="B48" t="s">
        <v>283</v>
      </c>
      <c r="C48" t="s">
        <v>201</v>
      </c>
      <c r="D48" t="s">
        <v>284</v>
      </c>
      <c r="E48" t="s">
        <v>12</v>
      </c>
      <c r="F48" t="n">
        <v>27752817.4240875</v>
      </c>
      <c r="G48" t="n">
        <v>28138470.4182281</v>
      </c>
      <c r="H48" t="n">
        <v>26427759.6581116</v>
      </c>
      <c r="I48" t="n">
        <v>24015184.5130615</v>
      </c>
      <c r="J48" t="n">
        <v>25880164.5923462</v>
      </c>
      <c r="K48" t="n">
        <v>26405872.767067</v>
      </c>
      <c r="L48" t="n">
        <v>24992105.8185425</v>
      </c>
      <c r="M48" t="n">
        <v>24944482.5772247</v>
      </c>
      <c r="N48" t="n">
        <v>23722471.6643829</v>
      </c>
      <c r="O48" t="n">
        <v>25832707.3327637</v>
      </c>
      <c r="P48" t="n">
        <v>25396267.9517212</v>
      </c>
      <c r="Q48" t="n">
        <v>27075399.2302856</v>
      </c>
      <c r="R48" t="n">
        <v>26633688.9956055</v>
      </c>
      <c r="S48" t="n">
        <v>25878273.2907715</v>
      </c>
      <c r="T48" t="n">
        <v>25226329.7288208</v>
      </c>
      <c r="U48" t="n">
        <v>24408366.4978027</v>
      </c>
      <c r="V48" t="n">
        <v>23711159.076294</v>
      </c>
      <c r="W48" t="n">
        <v>22516250.8139648</v>
      </c>
      <c r="X48" t="n">
        <v>21881524.3059692</v>
      </c>
      <c r="Y48" t="n">
        <v>21175008.7023926</v>
      </c>
      <c r="Z48" t="n">
        <v>20545367.6278076</v>
      </c>
      <c r="AA48" t="n">
        <v>19083564.2930298</v>
      </c>
      <c r="AB48" t="n">
        <v>19907838.4596558</v>
      </c>
      <c r="AC48" t="n">
        <v>19932349.7767944</v>
      </c>
      <c r="AD48" t="n">
        <v>19328382.6727905</v>
      </c>
      <c r="AE48" t="n">
        <v>20040564.0196533</v>
      </c>
      <c r="AF48"/>
    </row>
    <row r="49">
      <c r="A49" t="s">
        <v>202</v>
      </c>
      <c r="B49" t="s">
        <v>283</v>
      </c>
      <c r="C49" t="s">
        <v>203</v>
      </c>
      <c r="D49" t="s">
        <v>284</v>
      </c>
      <c r="E49" t="s">
        <v>12</v>
      </c>
      <c r="F49" t="n">
        <v>5231437.88671875</v>
      </c>
      <c r="G49" t="n">
        <v>5263644.76025391</v>
      </c>
      <c r="H49" t="n">
        <v>5089854.88720703</v>
      </c>
      <c r="I49" t="n">
        <v>4946571.04150391</v>
      </c>
      <c r="J49" t="n">
        <v>5086003.08154297</v>
      </c>
      <c r="K49" t="n">
        <v>5041886.56494141</v>
      </c>
      <c r="L49" t="n">
        <v>4913480</v>
      </c>
      <c r="M49" t="n">
        <v>4882858.20800781</v>
      </c>
      <c r="N49" t="n">
        <v>4720598.24072266</v>
      </c>
      <c r="O49" t="n">
        <v>4805438.50585938</v>
      </c>
      <c r="P49" t="n">
        <v>4775637.359375</v>
      </c>
      <c r="Q49" t="n">
        <v>5050351.75390625</v>
      </c>
      <c r="R49" t="n">
        <v>5013826.72265625</v>
      </c>
      <c r="S49" t="n">
        <v>4996191.52148438</v>
      </c>
      <c r="T49" t="n">
        <v>4992394.37988281</v>
      </c>
      <c r="U49" t="n">
        <v>4995283.58105469</v>
      </c>
      <c r="V49" t="n">
        <v>4725907.421875</v>
      </c>
      <c r="W49" t="n">
        <v>4681367.4765625</v>
      </c>
      <c r="X49" t="n">
        <v>4720002.99316406</v>
      </c>
      <c r="Y49" t="n">
        <v>4630764.45996094</v>
      </c>
      <c r="Z49" t="n">
        <v>4508377.58105469</v>
      </c>
      <c r="AA49" t="n">
        <v>4416734.86279297</v>
      </c>
      <c r="AB49" t="n">
        <v>4401502.72753906</v>
      </c>
      <c r="AC49" t="n">
        <v>4240773.78320312</v>
      </c>
      <c r="AD49" t="n">
        <v>4162480.18945312</v>
      </c>
      <c r="AE49" t="n">
        <v>4214860.78271484</v>
      </c>
      <c r="AF49"/>
    </row>
    <row r="50">
      <c r="A50" t="s">
        <v>204</v>
      </c>
      <c r="B50" t="s">
        <v>283</v>
      </c>
      <c r="C50" t="s">
        <v>205</v>
      </c>
      <c r="D50" t="s">
        <v>284</v>
      </c>
      <c r="E50" t="s">
        <v>12</v>
      </c>
      <c r="F50" t="n">
        <v>3525478.20094299</v>
      </c>
      <c r="G50" t="n">
        <v>3904285.06715393</v>
      </c>
      <c r="H50" t="n">
        <v>4022908.81484985</v>
      </c>
      <c r="I50" t="n">
        <v>4116863.04089356</v>
      </c>
      <c r="J50" t="n">
        <v>4489730.88287354</v>
      </c>
      <c r="K50" t="n">
        <v>4719743.4091568</v>
      </c>
      <c r="L50" t="n">
        <v>4749298.52069092</v>
      </c>
      <c r="M50" t="n">
        <v>4828141.81550598</v>
      </c>
      <c r="N50" t="n">
        <v>4718219.5271759</v>
      </c>
      <c r="O50" t="n">
        <v>4860110.98754883</v>
      </c>
      <c r="P50" t="n">
        <v>4848611.79595947</v>
      </c>
      <c r="Q50" t="n">
        <v>4950419.66876221</v>
      </c>
      <c r="R50" t="n">
        <v>4962254.38232422</v>
      </c>
      <c r="S50" t="n">
        <v>4905018.6159668</v>
      </c>
      <c r="T50" t="n">
        <v>4759041.02764893</v>
      </c>
      <c r="U50" t="n">
        <v>4733004.98217773</v>
      </c>
      <c r="V50" t="n">
        <v>4693186.52062988</v>
      </c>
      <c r="W50" t="n">
        <v>4630466.56005859</v>
      </c>
      <c r="X50" t="n">
        <v>4698130.74249268</v>
      </c>
      <c r="Y50" t="n">
        <v>4755443.37915039</v>
      </c>
      <c r="Z50" t="n">
        <v>4772560.01159668</v>
      </c>
      <c r="AA50" t="n">
        <v>4731756.72125244</v>
      </c>
      <c r="AB50" t="n">
        <v>4853216.74383545</v>
      </c>
      <c r="AC50" t="n">
        <v>4772159.9574585</v>
      </c>
      <c r="AD50" t="n">
        <v>4725737.0848999</v>
      </c>
      <c r="AE50" t="n">
        <v>4726352.14611816</v>
      </c>
      <c r="AF50"/>
    </row>
    <row r="51">
      <c r="A51" t="s">
        <v>206</v>
      </c>
      <c r="B51" t="s">
        <v>283</v>
      </c>
      <c r="C51" t="s">
        <v>207</v>
      </c>
      <c r="D51" t="s">
        <v>284</v>
      </c>
      <c r="E51" t="s">
        <v>12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283</v>
      </c>
      <c r="C52" t="s">
        <v>209</v>
      </c>
      <c r="D52" t="s">
        <v>284</v>
      </c>
      <c r="E52" t="s">
        <v>12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283</v>
      </c>
      <c r="C53" t="s">
        <v>211</v>
      </c>
      <c r="D53" t="s">
        <v>284</v>
      </c>
      <c r="E53" t="s">
        <v>12</v>
      </c>
      <c r="F53" t="n">
        <v>3039468.62440491</v>
      </c>
      <c r="G53" t="n">
        <v>3145934.73135376</v>
      </c>
      <c r="H53" t="n">
        <v>3160058.6652832</v>
      </c>
      <c r="I53" t="n">
        <v>3068658.62969971</v>
      </c>
      <c r="J53" t="n">
        <v>3170334.7097168</v>
      </c>
      <c r="K53" t="n">
        <v>3275858.86804199</v>
      </c>
      <c r="L53" t="n">
        <v>3364232.39306641</v>
      </c>
      <c r="M53" t="n">
        <v>3350156.63500977</v>
      </c>
      <c r="N53" t="n">
        <v>3361130.03100586</v>
      </c>
      <c r="O53" t="n">
        <v>3551938.98632812</v>
      </c>
      <c r="P53" t="n">
        <v>3591613.72021484</v>
      </c>
      <c r="Q53" t="n">
        <v>3720329.34667969</v>
      </c>
      <c r="R53" t="n">
        <v>3694591.19189453</v>
      </c>
      <c r="S53" t="n">
        <v>3728468.49804688</v>
      </c>
      <c r="T53" t="n">
        <v>3574389.29785156</v>
      </c>
      <c r="U53" t="n">
        <v>3412753.52734375</v>
      </c>
      <c r="V53" t="n">
        <v>3218366.50878906</v>
      </c>
      <c r="W53" t="n">
        <v>3029815.86523438</v>
      </c>
      <c r="X53" t="n">
        <v>2938018.93164062</v>
      </c>
      <c r="Y53" t="n">
        <v>2857421.76171875</v>
      </c>
      <c r="Z53" t="n">
        <v>2802086.00683594</v>
      </c>
      <c r="AA53" t="n">
        <v>2689445.29003906</v>
      </c>
      <c r="AB53" t="n">
        <v>2631698.79101562</v>
      </c>
      <c r="AC53" t="n">
        <v>2555246.95996094</v>
      </c>
      <c r="AD53" t="n">
        <v>2487089.34082031</v>
      </c>
      <c r="AE53" t="n">
        <v>2338282.10742188</v>
      </c>
      <c r="AF53"/>
    </row>
    <row r="54">
      <c r="A54" t="s">
        <v>212</v>
      </c>
      <c r="B54" t="s">
        <v>283</v>
      </c>
      <c r="C54" t="s">
        <v>213</v>
      </c>
      <c r="D54" t="s">
        <v>284</v>
      </c>
      <c r="E54" t="s">
        <v>12</v>
      </c>
      <c r="F54" t="n">
        <v>4304333.92451477</v>
      </c>
      <c r="G54" t="n">
        <v>4493433.431427</v>
      </c>
      <c r="H54" t="n">
        <v>4530269.85192871</v>
      </c>
      <c r="I54" t="n">
        <v>4392638.21368408</v>
      </c>
      <c r="J54" t="n">
        <v>4621266.42272949</v>
      </c>
      <c r="K54" t="n">
        <v>4814641.58068848</v>
      </c>
      <c r="L54" t="n">
        <v>4895553.54162598</v>
      </c>
      <c r="M54" t="n">
        <v>4813747.97888184</v>
      </c>
      <c r="N54" t="n">
        <v>4801991.36962891</v>
      </c>
      <c r="O54" t="n">
        <v>5101751.65087891</v>
      </c>
      <c r="P54" t="n">
        <v>5177339.58178711</v>
      </c>
      <c r="Q54" t="n">
        <v>5341205.71368408</v>
      </c>
      <c r="R54" t="n">
        <v>5322704.30932617</v>
      </c>
      <c r="S54" t="n">
        <v>5388883.24902344</v>
      </c>
      <c r="T54" t="n">
        <v>5171565.31628418</v>
      </c>
      <c r="U54" t="n">
        <v>4937584.85644531</v>
      </c>
      <c r="V54" t="n">
        <v>4668436.4921875</v>
      </c>
      <c r="W54" t="n">
        <v>4384110.88208008</v>
      </c>
      <c r="X54" t="n">
        <v>4260137.53222656</v>
      </c>
      <c r="Y54" t="n">
        <v>4138705.17822266</v>
      </c>
      <c r="Z54" t="n">
        <v>4064454.35961914</v>
      </c>
      <c r="AA54" t="n">
        <v>3905728.33129883</v>
      </c>
      <c r="AB54" t="n">
        <v>3869440.95336914</v>
      </c>
      <c r="AC54" t="n">
        <v>3790046.8527832</v>
      </c>
      <c r="AD54" t="n">
        <v>3699306.34179688</v>
      </c>
      <c r="AE54" t="n">
        <v>3585418.72436523</v>
      </c>
      <c r="AF54"/>
    </row>
    <row r="55">
      <c r="A55" t="s">
        <v>214</v>
      </c>
      <c r="B55" t="s">
        <v>283</v>
      </c>
      <c r="C55" t="s">
        <v>215</v>
      </c>
      <c r="D55" t="s">
        <v>284</v>
      </c>
      <c r="E55" t="s">
        <v>12</v>
      </c>
      <c r="F55" t="n">
        <v>1264865.30010986</v>
      </c>
      <c r="G55" t="n">
        <v>1347498.70007324</v>
      </c>
      <c r="H55" t="n">
        <v>1370211.18664551</v>
      </c>
      <c r="I55" t="n">
        <v>1323979.58398438</v>
      </c>
      <c r="J55" t="n">
        <v>1450931.7130127</v>
      </c>
      <c r="K55" t="n">
        <v>1538782.71264648</v>
      </c>
      <c r="L55" t="n">
        <v>1531321.14855957</v>
      </c>
      <c r="M55" t="n">
        <v>1463591.34387207</v>
      </c>
      <c r="N55" t="n">
        <v>1440861.33862305</v>
      </c>
      <c r="O55" t="n">
        <v>1549812.66455078</v>
      </c>
      <c r="P55" t="n">
        <v>1585725.86157227</v>
      </c>
      <c r="Q55" t="n">
        <v>1620876.3670044</v>
      </c>
      <c r="R55" t="n">
        <v>1628113.11743164</v>
      </c>
      <c r="S55" t="n">
        <v>1660414.75097656</v>
      </c>
      <c r="T55" t="n">
        <v>1597176.01843262</v>
      </c>
      <c r="U55" t="n">
        <v>1524831.32910156</v>
      </c>
      <c r="V55" t="n">
        <v>1450069.98339844</v>
      </c>
      <c r="W55" t="n">
        <v>1354295.0168457</v>
      </c>
      <c r="X55" t="n">
        <v>1322118.60058594</v>
      </c>
      <c r="Y55" t="n">
        <v>1281283.41650391</v>
      </c>
      <c r="Z55" t="n">
        <v>1262368.3527832</v>
      </c>
      <c r="AA55" t="n">
        <v>1216283.04125977</v>
      </c>
      <c r="AB55" t="n">
        <v>1237742.16235352</v>
      </c>
      <c r="AC55" t="n">
        <v>1234799.89282227</v>
      </c>
      <c r="AD55" t="n">
        <v>1212217.00097656</v>
      </c>
      <c r="AE55" t="n">
        <v>1247136.61694336</v>
      </c>
      <c r="AF55"/>
    </row>
    <row r="56">
      <c r="A56" t="s">
        <v>216</v>
      </c>
      <c r="B56" t="s">
        <v>283</v>
      </c>
      <c r="C56" t="s">
        <v>217</v>
      </c>
      <c r="D56" t="s">
        <v>284</v>
      </c>
      <c r="E56" t="s">
        <v>12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/>
    </row>
    <row r="57">
      <c r="A57" t="s">
        <v>218</v>
      </c>
      <c r="B57" t="s">
        <v>283</v>
      </c>
      <c r="C57" t="s">
        <v>219</v>
      </c>
      <c r="D57" t="s">
        <v>284</v>
      </c>
      <c r="E57" t="s">
        <v>12</v>
      </c>
      <c r="F57" t="n">
        <v>169555233.266371</v>
      </c>
      <c r="G57" t="n">
        <v>173314952.289822</v>
      </c>
      <c r="H57" t="n">
        <v>166692782.687645</v>
      </c>
      <c r="I57" t="n">
        <v>161066794.450831</v>
      </c>
      <c r="J57" t="n">
        <v>167788900.442746</v>
      </c>
      <c r="K57" t="n">
        <v>165842886.102868</v>
      </c>
      <c r="L57" t="n">
        <v>159175205.701751</v>
      </c>
      <c r="M57" t="n">
        <v>156395262.419584</v>
      </c>
      <c r="N57" t="n">
        <v>148304124.856517</v>
      </c>
      <c r="O57" t="n">
        <v>149299296.190902</v>
      </c>
      <c r="P57" t="n">
        <v>145219775.286581</v>
      </c>
      <c r="Q57" t="n">
        <v>155526440.667786</v>
      </c>
      <c r="R57" t="n">
        <v>158017871.519811</v>
      </c>
      <c r="S57" t="n">
        <v>159064874.818471</v>
      </c>
      <c r="T57" t="n">
        <v>157477409.309804</v>
      </c>
      <c r="U57" t="n">
        <v>152685106.135557</v>
      </c>
      <c r="V57" t="n">
        <v>139141995.792073</v>
      </c>
      <c r="W57" t="n">
        <v>131506657.219312</v>
      </c>
      <c r="X57" t="n">
        <v>129360174.183573</v>
      </c>
      <c r="Y57" t="n">
        <v>123172623.414265</v>
      </c>
      <c r="Z57" t="n">
        <v>121538828.024957</v>
      </c>
      <c r="AA57" t="n">
        <v>120741944.556237</v>
      </c>
      <c r="AB57" t="n">
        <v>123024556.540457</v>
      </c>
      <c r="AC57" t="n">
        <v>115846075.772703</v>
      </c>
      <c r="AD57" t="n">
        <v>111091779.745645</v>
      </c>
      <c r="AE57" t="n">
        <v>111020951.564835</v>
      </c>
      <c r="AF57"/>
    </row>
    <row r="58">
      <c r="A58" t="s">
        <v>220</v>
      </c>
      <c r="B58" t="s">
        <v>283</v>
      </c>
      <c r="C58" t="s">
        <v>221</v>
      </c>
      <c r="D58" t="s">
        <v>284</v>
      </c>
      <c r="E58" t="s">
        <v>12</v>
      </c>
      <c r="F58" t="n">
        <v>169555233.266371</v>
      </c>
      <c r="G58" t="n">
        <v>173314952.289822</v>
      </c>
      <c r="H58" t="n">
        <v>166692782.687645</v>
      </c>
      <c r="I58" t="n">
        <v>161066794.450831</v>
      </c>
      <c r="J58" t="n">
        <v>167788900.442746</v>
      </c>
      <c r="K58" t="n">
        <v>165842886.102868</v>
      </c>
      <c r="L58" t="n">
        <v>159175205.701751</v>
      </c>
      <c r="M58" t="n">
        <v>156395262.419584</v>
      </c>
      <c r="N58" t="n">
        <v>148304124.856517</v>
      </c>
      <c r="O58" t="n">
        <v>149299296.190902</v>
      </c>
      <c r="P58" t="n">
        <v>145219775.286581</v>
      </c>
      <c r="Q58" t="n">
        <v>155526440.667786</v>
      </c>
      <c r="R58" t="n">
        <v>158017871.519811</v>
      </c>
      <c r="S58" t="n">
        <v>159064874.818471</v>
      </c>
      <c r="T58" t="n">
        <v>157477409.309804</v>
      </c>
      <c r="U58" t="n">
        <v>152685106.135557</v>
      </c>
      <c r="V58" t="n">
        <v>139141995.792073</v>
      </c>
      <c r="W58" t="n">
        <v>131506657.219312</v>
      </c>
      <c r="X58" t="n">
        <v>129360174.183573</v>
      </c>
      <c r="Y58" t="n">
        <v>123172623.414265</v>
      </c>
      <c r="Z58" t="n">
        <v>121538828.024957</v>
      </c>
      <c r="AA58" t="n">
        <v>120741944.556237</v>
      </c>
      <c r="AB58" t="n">
        <v>123024556.540457</v>
      </c>
      <c r="AC58" t="n">
        <v>115846075.772703</v>
      </c>
      <c r="AD58" t="n">
        <v>111091779.745645</v>
      </c>
      <c r="AE58" t="n">
        <v>111020951.564835</v>
      </c>
      <c r="AF58"/>
    </row>
    <row r="59">
      <c r="A59" t="s">
        <v>222</v>
      </c>
      <c r="B59" t="s">
        <v>283</v>
      </c>
      <c r="C59" t="s">
        <v>223</v>
      </c>
      <c r="D59" t="s">
        <v>284</v>
      </c>
      <c r="E59" t="s">
        <v>12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283</v>
      </c>
      <c r="C2" t="s">
        <v>108</v>
      </c>
      <c r="D2" t="s">
        <v>284</v>
      </c>
      <c r="E2" t="s">
        <v>14</v>
      </c>
      <c r="F2" t="n">
        <v>171.374045745777</v>
      </c>
      <c r="G2" t="n">
        <v>167.920990816216</v>
      </c>
      <c r="H2" t="n">
        <v>158.252682153025</v>
      </c>
      <c r="I2" t="n">
        <v>153.697381257585</v>
      </c>
      <c r="J2" t="n">
        <v>147.798277471962</v>
      </c>
      <c r="K2" t="n">
        <v>143.001043213642</v>
      </c>
      <c r="L2" t="n">
        <v>137.574996561985</v>
      </c>
      <c r="M2" t="n">
        <v>128.454490684409</v>
      </c>
      <c r="N2" t="n">
        <v>127.617489110444</v>
      </c>
      <c r="O2" t="n">
        <v>126.637413191596</v>
      </c>
      <c r="P2" t="n">
        <v>126.42303334782</v>
      </c>
      <c r="Q2" t="n">
        <v>121.15290401611</v>
      </c>
      <c r="R2" t="n">
        <v>120.763427321671</v>
      </c>
      <c r="S2" t="n">
        <v>117.737505522156</v>
      </c>
      <c r="T2" t="n">
        <v>115.181839395752</v>
      </c>
      <c r="U2" t="n">
        <v>109.957021809427</v>
      </c>
      <c r="V2" t="n">
        <v>108.38496884856</v>
      </c>
      <c r="W2" t="n">
        <v>104.881355804286</v>
      </c>
      <c r="X2" t="n">
        <v>100.474261936287</v>
      </c>
      <c r="Y2" t="n">
        <v>99.9674434936092</v>
      </c>
      <c r="Z2" t="n">
        <v>100</v>
      </c>
      <c r="AA2" t="n">
        <v>95.8772789268954</v>
      </c>
      <c r="AB2" t="n">
        <v>98.1898590931926</v>
      </c>
      <c r="AC2" t="n">
        <v>98.7359953263495</v>
      </c>
      <c r="AD2" t="n">
        <v>95.0251324356617</v>
      </c>
      <c r="AE2" t="n">
        <v>89.7929887312625</v>
      </c>
      <c r="AF2" t="n">
        <v>90.3061185115492</v>
      </c>
    </row>
    <row r="3">
      <c r="A3" t="s">
        <v>110</v>
      </c>
      <c r="B3" t="s">
        <v>283</v>
      </c>
      <c r="C3" t="s">
        <v>111</v>
      </c>
      <c r="D3" t="s">
        <v>284</v>
      </c>
      <c r="E3" t="s">
        <v>14</v>
      </c>
      <c r="F3" t="n">
        <v>141.712608608621</v>
      </c>
      <c r="G3" t="n">
        <v>142.219899295947</v>
      </c>
      <c r="H3" t="n">
        <v>159.196260945883</v>
      </c>
      <c r="I3" t="n">
        <v>144.521132012854</v>
      </c>
      <c r="J3" t="n">
        <v>140.784979487588</v>
      </c>
      <c r="K3" t="n">
        <v>138.850743285803</v>
      </c>
      <c r="L3" t="n">
        <v>134.592310186604</v>
      </c>
      <c r="M3" t="n">
        <v>114.618276574162</v>
      </c>
      <c r="N3" t="n">
        <v>115.228173346617</v>
      </c>
      <c r="O3" t="n">
        <v>92.3393399650346</v>
      </c>
      <c r="P3" t="n">
        <v>91.5794795329571</v>
      </c>
      <c r="Q3" t="n">
        <v>91.8818264853206</v>
      </c>
      <c r="R3" t="n">
        <v>93.5102293916866</v>
      </c>
      <c r="S3" t="n">
        <v>72.9497792285597</v>
      </c>
      <c r="T3" t="n">
        <v>89.8280950330436</v>
      </c>
      <c r="U3" t="n">
        <v>88.0638800193567</v>
      </c>
      <c r="V3" t="n">
        <v>77.061179747925</v>
      </c>
      <c r="W3" t="n">
        <v>78.7361120420499</v>
      </c>
      <c r="X3" t="n">
        <v>78.6920758554006</v>
      </c>
      <c r="Y3" t="n">
        <v>101.580278169742</v>
      </c>
      <c r="Z3" t="n">
        <v>100</v>
      </c>
      <c r="AA3" t="n">
        <v>81.6549885692238</v>
      </c>
      <c r="AB3" t="n">
        <v>99.0057841244704</v>
      </c>
      <c r="AC3" t="n">
        <v>80.3425676809809</v>
      </c>
      <c r="AD3" t="n">
        <v>81.4474440552288</v>
      </c>
      <c r="AE3" t="n">
        <v>78.4040207047483</v>
      </c>
      <c r="AF3" t="n">
        <v>78.140722647829</v>
      </c>
    </row>
    <row r="4">
      <c r="A4" t="s">
        <v>112</v>
      </c>
      <c r="B4" t="s">
        <v>283</v>
      </c>
      <c r="C4" t="s">
        <v>113</v>
      </c>
      <c r="D4" t="s">
        <v>284</v>
      </c>
      <c r="E4" t="s">
        <v>14</v>
      </c>
      <c r="F4" t="n">
        <v>130.161988718169</v>
      </c>
      <c r="G4" t="n">
        <v>130.181787676332</v>
      </c>
      <c r="H4" t="n">
        <v>129.416386463516</v>
      </c>
      <c r="I4" t="n">
        <v>123.097186066051</v>
      </c>
      <c r="J4" t="n">
        <v>120.680744052218</v>
      </c>
      <c r="K4" t="n">
        <v>121.91628434816</v>
      </c>
      <c r="L4" t="n">
        <v>117.725367571956</v>
      </c>
      <c r="M4" t="n">
        <v>113.004824138391</v>
      </c>
      <c r="N4" t="n">
        <v>111.371769216818</v>
      </c>
      <c r="O4" t="n">
        <v>110.46167025861</v>
      </c>
      <c r="P4" t="n">
        <v>110.504112616934</v>
      </c>
      <c r="Q4" t="n">
        <v>114.780846447962</v>
      </c>
      <c r="R4" t="n">
        <v>115.799046261135</v>
      </c>
      <c r="S4" t="n">
        <v>112.469291256318</v>
      </c>
      <c r="T4" t="n">
        <v>99.1856246884639</v>
      </c>
      <c r="U4" t="n">
        <v>103.283313899123</v>
      </c>
      <c r="V4" t="n">
        <v>102.698966398856</v>
      </c>
      <c r="W4" t="n">
        <v>103.824241851618</v>
      </c>
      <c r="X4" t="n">
        <v>99.9768844055943</v>
      </c>
      <c r="Y4" t="n">
        <v>99.7895221794956</v>
      </c>
      <c r="Z4" t="n">
        <v>100</v>
      </c>
      <c r="AA4" t="n">
        <v>100.920714486422</v>
      </c>
      <c r="AB4" t="n">
        <v>102.838564486408</v>
      </c>
      <c r="AC4" t="n">
        <v>102.985438132736</v>
      </c>
      <c r="AD4" t="n">
        <v>100.702574965345</v>
      </c>
      <c r="AE4" t="n">
        <v>93.5320257388377</v>
      </c>
      <c r="AF4" t="n">
        <v>94.7254820745156</v>
      </c>
    </row>
    <row r="5">
      <c r="A5" t="s">
        <v>114</v>
      </c>
      <c r="B5" t="s">
        <v>283</v>
      </c>
      <c r="C5" t="s">
        <v>115</v>
      </c>
      <c r="D5" t="s">
        <v>284</v>
      </c>
      <c r="E5" t="s">
        <v>14</v>
      </c>
      <c r="F5" t="n">
        <v>109.782315723481</v>
      </c>
      <c r="G5" t="n">
        <v>110.411837420051</v>
      </c>
      <c r="H5" t="n">
        <v>107.371060106047</v>
      </c>
      <c r="I5" t="n">
        <v>106.380684788702</v>
      </c>
      <c r="J5" t="n">
        <v>105.458897320764</v>
      </c>
      <c r="K5" t="n">
        <v>105.942652420823</v>
      </c>
      <c r="L5" t="n">
        <v>105.832686145253</v>
      </c>
      <c r="M5" t="n">
        <v>105.886314516164</v>
      </c>
      <c r="N5" t="n">
        <v>104.382600583474</v>
      </c>
      <c r="O5" t="n">
        <v>104.005758147371</v>
      </c>
      <c r="P5" t="n">
        <v>103.705654911716</v>
      </c>
      <c r="Q5" t="n">
        <v>105.440876973278</v>
      </c>
      <c r="R5" t="n">
        <v>103.445381749145</v>
      </c>
      <c r="S5" t="n">
        <v>101.510776933332</v>
      </c>
      <c r="T5" t="n">
        <v>96.3192621153749</v>
      </c>
      <c r="U5" t="n">
        <v>100.185366698833</v>
      </c>
      <c r="V5" t="n">
        <v>96.1960898147362</v>
      </c>
      <c r="W5" t="n">
        <v>102.367539425584</v>
      </c>
      <c r="X5" t="n">
        <v>99.8821320151336</v>
      </c>
      <c r="Y5" t="n">
        <v>100.051720674428</v>
      </c>
      <c r="Z5" t="n">
        <v>100</v>
      </c>
      <c r="AA5" t="n">
        <v>99.8600448796302</v>
      </c>
      <c r="AB5" t="n">
        <v>102.297662878853</v>
      </c>
      <c r="AC5" t="n">
        <v>100.299865113671</v>
      </c>
      <c r="AD5" t="n">
        <v>98.6769566766198</v>
      </c>
      <c r="AE5" t="n">
        <v>91.8855330280299</v>
      </c>
      <c r="AF5" t="n">
        <v>92.7157277408877</v>
      </c>
    </row>
    <row r="6">
      <c r="A6" t="s">
        <v>116</v>
      </c>
      <c r="B6" t="s">
        <v>283</v>
      </c>
      <c r="C6" t="s">
        <v>117</v>
      </c>
      <c r="D6" t="s">
        <v>284</v>
      </c>
      <c r="E6" t="s">
        <v>14</v>
      </c>
      <c r="F6" t="n">
        <v>318.942060657162</v>
      </c>
      <c r="G6" t="n">
        <v>308.35556937425</v>
      </c>
      <c r="H6" t="n">
        <v>289.212003542517</v>
      </c>
      <c r="I6" t="n">
        <v>258.662713665135</v>
      </c>
      <c r="J6" t="n">
        <v>239.10820010312</v>
      </c>
      <c r="K6" t="n">
        <v>218.16984960777</v>
      </c>
      <c r="L6" t="n">
        <v>201.74812011704</v>
      </c>
      <c r="M6" t="n">
        <v>182.353655081663</v>
      </c>
      <c r="N6" t="n">
        <v>172.197106869875</v>
      </c>
      <c r="O6" t="n">
        <v>161.832686876046</v>
      </c>
      <c r="P6" t="n">
        <v>151.586710649372</v>
      </c>
      <c r="Q6" t="n">
        <v>153.02309757157</v>
      </c>
      <c r="R6" t="n">
        <v>146.946349988388</v>
      </c>
      <c r="S6" t="n">
        <v>138.600429055414</v>
      </c>
      <c r="T6" t="n">
        <v>122.740549144852</v>
      </c>
      <c r="U6" t="n">
        <v>121.644013028757</v>
      </c>
      <c r="V6" t="n">
        <v>118.875004546168</v>
      </c>
      <c r="W6" t="n">
        <v>120.108581704125</v>
      </c>
      <c r="X6" t="n">
        <v>111.622266755982</v>
      </c>
      <c r="Y6" t="n">
        <v>107.036157638276</v>
      </c>
      <c r="Z6" t="n">
        <v>100</v>
      </c>
      <c r="AA6" t="n">
        <v>101.057916637013</v>
      </c>
      <c r="AB6" t="n">
        <v>98.9381021580064</v>
      </c>
      <c r="AC6" t="n">
        <v>95.6475232247236</v>
      </c>
      <c r="AD6" t="n">
        <v>91.3264876094901</v>
      </c>
      <c r="AE6" t="n">
        <v>76.1502405913106</v>
      </c>
      <c r="AF6" t="n">
        <v>71.1135855001221</v>
      </c>
    </row>
    <row r="7">
      <c r="A7" t="s">
        <v>118</v>
      </c>
      <c r="B7" t="s">
        <v>283</v>
      </c>
      <c r="C7" t="s">
        <v>119</v>
      </c>
      <c r="D7" t="s">
        <v>284</v>
      </c>
      <c r="E7" t="s">
        <v>14</v>
      </c>
      <c r="F7" t="n">
        <v>158.136210029692</v>
      </c>
      <c r="G7" t="n">
        <v>159.590643944932</v>
      </c>
      <c r="H7" t="n">
        <v>154.314369018774</v>
      </c>
      <c r="I7" t="n">
        <v>147.946603453879</v>
      </c>
      <c r="J7" t="n">
        <v>145.206656128534</v>
      </c>
      <c r="K7" t="n">
        <v>144.462722284897</v>
      </c>
      <c r="L7" t="n">
        <v>140.937144757167</v>
      </c>
      <c r="M7" t="n">
        <v>135.606705995816</v>
      </c>
      <c r="N7" t="n">
        <v>133.527058860072</v>
      </c>
      <c r="O7" t="n">
        <v>130.085029517038</v>
      </c>
      <c r="P7" t="n">
        <v>127.929336540265</v>
      </c>
      <c r="Q7" t="n">
        <v>129.125364903407</v>
      </c>
      <c r="R7" t="n">
        <v>125.450294205859</v>
      </c>
      <c r="S7" t="n">
        <v>120.17137314607</v>
      </c>
      <c r="T7" t="n">
        <v>110.258734288253</v>
      </c>
      <c r="U7" t="n">
        <v>110.082928774565</v>
      </c>
      <c r="V7" t="n">
        <v>106.427476581028</v>
      </c>
      <c r="W7" t="n">
        <v>110.282200867486</v>
      </c>
      <c r="X7" t="n">
        <v>104.151949042726</v>
      </c>
      <c r="Y7" t="n">
        <v>101.5256141613</v>
      </c>
      <c r="Z7" t="n">
        <v>100</v>
      </c>
      <c r="AA7" t="n">
        <v>98.8424652985039</v>
      </c>
      <c r="AB7" t="n">
        <v>98.5517581044376</v>
      </c>
      <c r="AC7" t="n">
        <v>95.9380675668866</v>
      </c>
      <c r="AD7" t="n">
        <v>93.4258769393823</v>
      </c>
      <c r="AE7" t="n">
        <v>84.2030138321587</v>
      </c>
      <c r="AF7" t="n">
        <v>83.0650963239503</v>
      </c>
    </row>
    <row r="8">
      <c r="A8" t="s">
        <v>120</v>
      </c>
      <c r="B8" t="s">
        <v>283</v>
      </c>
      <c r="C8" t="s">
        <v>121</v>
      </c>
      <c r="D8" t="s">
        <v>284</v>
      </c>
      <c r="E8" t="s">
        <v>14</v>
      </c>
      <c r="F8" t="n">
        <v>131.265343536673</v>
      </c>
      <c r="G8" t="n">
        <v>130.387559897231</v>
      </c>
      <c r="H8" t="n">
        <v>129.601275445405</v>
      </c>
      <c r="I8" t="n">
        <v>126.250497372148</v>
      </c>
      <c r="J8" t="n">
        <v>121.026367924942</v>
      </c>
      <c r="K8" t="n">
        <v>116.923807113785</v>
      </c>
      <c r="L8" t="n">
        <v>115.929624977283</v>
      </c>
      <c r="M8" t="n">
        <v>112.401164797445</v>
      </c>
      <c r="N8" t="n">
        <v>111.90856506407</v>
      </c>
      <c r="O8" t="n">
        <v>108.663532229951</v>
      </c>
      <c r="P8" t="n">
        <v>107.597805354433</v>
      </c>
      <c r="Q8" t="n">
        <v>108.314565621059</v>
      </c>
      <c r="R8" t="n">
        <v>104.051183803329</v>
      </c>
      <c r="S8" t="n">
        <v>101.611688628707</v>
      </c>
      <c r="T8" t="n">
        <v>95.662923212143</v>
      </c>
      <c r="U8" t="n">
        <v>104.098019026001</v>
      </c>
      <c r="V8" t="n">
        <v>111.535147798672</v>
      </c>
      <c r="W8" t="n">
        <v>107.652283689499</v>
      </c>
      <c r="X8" t="n">
        <v>100.582561650254</v>
      </c>
      <c r="Y8" t="n">
        <v>103.58307102905</v>
      </c>
      <c r="Z8" t="n">
        <v>100</v>
      </c>
      <c r="AA8" t="n">
        <v>107.850536564824</v>
      </c>
      <c r="AB8" t="n">
        <v>108.399174649808</v>
      </c>
      <c r="AC8" t="n">
        <v>108.668390193401</v>
      </c>
      <c r="AD8" t="n">
        <v>110.361818250295</v>
      </c>
      <c r="AE8" t="n">
        <v>113.081838485891</v>
      </c>
      <c r="AF8" t="n">
        <v>123.798003294353</v>
      </c>
    </row>
    <row r="9">
      <c r="A9" t="s">
        <v>122</v>
      </c>
      <c r="B9" t="s">
        <v>283</v>
      </c>
      <c r="C9" t="s">
        <v>123</v>
      </c>
      <c r="D9" t="s">
        <v>284</v>
      </c>
      <c r="E9" t="s">
        <v>14</v>
      </c>
      <c r="F9" t="n">
        <v>112.864489204931</v>
      </c>
      <c r="G9" t="n">
        <v>113.370019501768</v>
      </c>
      <c r="H9" t="n">
        <v>114.174297773438</v>
      </c>
      <c r="I9" t="n">
        <v>111.48682345995</v>
      </c>
      <c r="J9" t="n">
        <v>112.265156954996</v>
      </c>
      <c r="K9" t="n">
        <v>112.531388201247</v>
      </c>
      <c r="L9" t="n">
        <v>112.256727517215</v>
      </c>
      <c r="M9" t="n">
        <v>109.727359919606</v>
      </c>
      <c r="N9" t="n">
        <v>107.137873265637</v>
      </c>
      <c r="O9" t="n">
        <v>107.558851859879</v>
      </c>
      <c r="P9" t="n">
        <v>109.937543364222</v>
      </c>
      <c r="Q9" t="n">
        <v>112.517353183924</v>
      </c>
      <c r="R9" t="n">
        <v>110.694422611438</v>
      </c>
      <c r="S9" t="n">
        <v>108.933871663789</v>
      </c>
      <c r="T9" t="n">
        <v>100.705867438917</v>
      </c>
      <c r="U9" t="n">
        <v>104.094597503662</v>
      </c>
      <c r="V9" t="n">
        <v>105.676380833928</v>
      </c>
      <c r="W9" t="n">
        <v>107.388474843673</v>
      </c>
      <c r="X9" t="n">
        <v>100.043790989904</v>
      </c>
      <c r="Y9" t="n">
        <v>98.3131735806226</v>
      </c>
      <c r="Z9" t="n">
        <v>100</v>
      </c>
      <c r="AA9" t="n">
        <v>105.062425972191</v>
      </c>
      <c r="AB9" t="n">
        <v>107.929105025093</v>
      </c>
      <c r="AC9" t="n">
        <v>109.149335287599</v>
      </c>
      <c r="AD9" t="n">
        <v>108.483831026033</v>
      </c>
      <c r="AE9" t="n">
        <v>110.010197046336</v>
      </c>
      <c r="AF9" t="n">
        <v>111.865752450694</v>
      </c>
    </row>
    <row r="10">
      <c r="A10" t="s">
        <v>124</v>
      </c>
      <c r="B10" t="s">
        <v>283</v>
      </c>
      <c r="C10" t="s">
        <v>125</v>
      </c>
      <c r="D10" t="s">
        <v>284</v>
      </c>
      <c r="E10" t="s">
        <v>14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283</v>
      </c>
      <c r="C11" t="s">
        <v>127</v>
      </c>
      <c r="D11" t="s">
        <v>284</v>
      </c>
      <c r="E11" t="s">
        <v>14</v>
      </c>
      <c r="F11" t="n">
        <v>98.0033409287512</v>
      </c>
      <c r="G11" t="n">
        <v>100.331052057922</v>
      </c>
      <c r="H11" t="n">
        <v>100.726091831541</v>
      </c>
      <c r="I11" t="n">
        <v>97.9900436748144</v>
      </c>
      <c r="J11" t="n">
        <v>101.657480738247</v>
      </c>
      <c r="K11" t="n">
        <v>102.98957804811</v>
      </c>
      <c r="L11" t="n">
        <v>105.888605536104</v>
      </c>
      <c r="M11" t="n">
        <v>106.329728082359</v>
      </c>
      <c r="N11" t="n">
        <v>102.28648264192</v>
      </c>
      <c r="O11" t="n">
        <v>104.740551228149</v>
      </c>
      <c r="P11" t="n">
        <v>105.660876227134</v>
      </c>
      <c r="Q11" t="n">
        <v>108.298351055015</v>
      </c>
      <c r="R11" t="n">
        <v>100.604956764658</v>
      </c>
      <c r="S11" t="n">
        <v>97.450535936141</v>
      </c>
      <c r="T11" t="n">
        <v>92.6941147626799</v>
      </c>
      <c r="U11" t="n">
        <v>98.0656319763939</v>
      </c>
      <c r="V11" t="n">
        <v>96.2714171241992</v>
      </c>
      <c r="W11" t="n">
        <v>103.085614675687</v>
      </c>
      <c r="X11" t="n">
        <v>97.5964888634089</v>
      </c>
      <c r="Y11" t="n">
        <v>99.8884893414327</v>
      </c>
      <c r="Z11" t="n">
        <v>100</v>
      </c>
      <c r="AA11" t="n">
        <v>104.497243579603</v>
      </c>
      <c r="AB11" t="n">
        <v>104.273770173708</v>
      </c>
      <c r="AC11" t="n">
        <v>103.086596970478</v>
      </c>
      <c r="AD11" t="n">
        <v>103.20384329418</v>
      </c>
      <c r="AE11" t="n">
        <v>104.915002953191</v>
      </c>
      <c r="AF11" t="n">
        <v>105.753868194506</v>
      </c>
    </row>
    <row r="12">
      <c r="A12" t="s">
        <v>128</v>
      </c>
      <c r="B12" t="s">
        <v>283</v>
      </c>
      <c r="C12" t="s">
        <v>129</v>
      </c>
      <c r="D12" t="s">
        <v>284</v>
      </c>
      <c r="E12" t="s">
        <v>14</v>
      </c>
      <c r="F12" t="n">
        <v>127.83821875332</v>
      </c>
      <c r="G12" t="n">
        <v>127.401083052003</v>
      </c>
      <c r="H12" t="n">
        <v>125.261852623752</v>
      </c>
      <c r="I12" t="n">
        <v>117.956849558206</v>
      </c>
      <c r="J12" t="n">
        <v>115.691164153332</v>
      </c>
      <c r="K12" t="n">
        <v>116.806200489252</v>
      </c>
      <c r="L12" t="n">
        <v>113.406077857504</v>
      </c>
      <c r="M12" t="n">
        <v>108.689707433197</v>
      </c>
      <c r="N12" t="n">
        <v>107.785875755249</v>
      </c>
      <c r="O12" t="n">
        <v>105.569049279367</v>
      </c>
      <c r="P12" t="n">
        <v>104.189661031415</v>
      </c>
      <c r="Q12" t="n">
        <v>107.17855474187</v>
      </c>
      <c r="R12" t="n">
        <v>110.080089844658</v>
      </c>
      <c r="S12" t="n">
        <v>104.98704503871</v>
      </c>
      <c r="T12" t="n">
        <v>93.4819733121948</v>
      </c>
      <c r="U12" t="n">
        <v>98.1883441364515</v>
      </c>
      <c r="V12" t="n">
        <v>98.8574643185039</v>
      </c>
      <c r="W12" t="n">
        <v>101.138598344971</v>
      </c>
      <c r="X12" t="n">
        <v>100.97752120485</v>
      </c>
      <c r="Y12" t="n">
        <v>99.6437623779515</v>
      </c>
      <c r="Z12" t="n">
        <v>100</v>
      </c>
      <c r="AA12" t="n">
        <v>100.425032914791</v>
      </c>
      <c r="AB12" t="n">
        <v>102.654951351663</v>
      </c>
      <c r="AC12" t="n">
        <v>104.666126836561</v>
      </c>
      <c r="AD12" t="n">
        <v>102.877045639796</v>
      </c>
      <c r="AE12" t="n">
        <v>95.39038619774</v>
      </c>
      <c r="AF12" t="n">
        <v>96.7914227544549</v>
      </c>
    </row>
    <row r="13">
      <c r="A13" t="s">
        <v>130</v>
      </c>
      <c r="B13" t="s">
        <v>283</v>
      </c>
      <c r="C13" t="s">
        <v>131</v>
      </c>
      <c r="D13" t="s">
        <v>284</v>
      </c>
      <c r="E13" t="s">
        <v>14</v>
      </c>
      <c r="F13" t="n">
        <v>134.521148399311</v>
      </c>
      <c r="G13" t="n">
        <v>134.061794100217</v>
      </c>
      <c r="H13" t="n">
        <v>133.628755975678</v>
      </c>
      <c r="I13" t="n">
        <v>122.411802845285</v>
      </c>
      <c r="J13" t="n">
        <v>117.173551815799</v>
      </c>
      <c r="K13" t="n">
        <v>121.437712991308</v>
      </c>
      <c r="L13" t="n">
        <v>116.76037720385</v>
      </c>
      <c r="M13" t="n">
        <v>113.08115324865</v>
      </c>
      <c r="N13" t="n">
        <v>110.46272459955</v>
      </c>
      <c r="O13" t="n">
        <v>108.377051702455</v>
      </c>
      <c r="P13" t="n">
        <v>109.826937978974</v>
      </c>
      <c r="Q13" t="n">
        <v>114.985121258253</v>
      </c>
      <c r="R13" t="n">
        <v>116.2749656153</v>
      </c>
      <c r="S13" t="n">
        <v>112.536012402846</v>
      </c>
      <c r="T13" t="n">
        <v>96.0472716186236</v>
      </c>
      <c r="U13" t="n">
        <v>101.547470167553</v>
      </c>
      <c r="V13" t="n">
        <v>101.493830250085</v>
      </c>
      <c r="W13" t="n">
        <v>105.233030574202</v>
      </c>
      <c r="X13" t="n">
        <v>102.393129003014</v>
      </c>
      <c r="Y13" t="n">
        <v>103.462873029501</v>
      </c>
      <c r="Z13" t="n">
        <v>100</v>
      </c>
      <c r="AA13" t="n">
        <v>102.626875274486</v>
      </c>
      <c r="AB13" t="n">
        <v>104.911649396356</v>
      </c>
      <c r="AC13" t="n">
        <v>106.410345619496</v>
      </c>
      <c r="AD13" t="n">
        <v>104.549766121591</v>
      </c>
      <c r="AE13" t="n">
        <v>94.4015452719557</v>
      </c>
      <c r="AF13" t="n">
        <v>96.3958412480018</v>
      </c>
    </row>
    <row r="14">
      <c r="A14" t="s">
        <v>132</v>
      </c>
      <c r="B14" t="s">
        <v>283</v>
      </c>
      <c r="C14" t="s">
        <v>133</v>
      </c>
      <c r="D14" t="s">
        <v>284</v>
      </c>
      <c r="E14" t="s">
        <v>14</v>
      </c>
      <c r="F14" t="n">
        <v>153.966668676006</v>
      </c>
      <c r="G14" t="n">
        <v>152.721962232526</v>
      </c>
      <c r="H14" t="n">
        <v>156.597993486756</v>
      </c>
      <c r="I14" t="n">
        <v>154.194050879099</v>
      </c>
      <c r="J14" t="n">
        <v>156.349615269865</v>
      </c>
      <c r="K14" t="n">
        <v>160.166558447089</v>
      </c>
      <c r="L14" t="n">
        <v>148.26956281825</v>
      </c>
      <c r="M14" t="n">
        <v>136.845674111438</v>
      </c>
      <c r="N14" t="n">
        <v>135.246686035483</v>
      </c>
      <c r="O14" t="n">
        <v>135.08073901563</v>
      </c>
      <c r="P14" t="n">
        <v>130.501862517987</v>
      </c>
      <c r="Q14" t="n">
        <v>139.256548187921</v>
      </c>
      <c r="R14" t="n">
        <v>144.627023350966</v>
      </c>
      <c r="S14" t="n">
        <v>138.441993359727</v>
      </c>
      <c r="T14" t="n">
        <v>119.640786835615</v>
      </c>
      <c r="U14" t="n">
        <v>122.236269530746</v>
      </c>
      <c r="V14" t="n">
        <v>121.984777420939</v>
      </c>
      <c r="W14" t="n">
        <v>109.52637236964</v>
      </c>
      <c r="X14" t="n">
        <v>103.126181903033</v>
      </c>
      <c r="Y14" t="n">
        <v>100.397230873167</v>
      </c>
      <c r="Z14" t="n">
        <v>100</v>
      </c>
      <c r="AA14" t="n">
        <v>100.049906704895</v>
      </c>
      <c r="AB14" t="n">
        <v>102.171294129544</v>
      </c>
      <c r="AC14" t="n">
        <v>103.785403869453</v>
      </c>
      <c r="AD14" t="n">
        <v>101.50011859451</v>
      </c>
      <c r="AE14" t="n">
        <v>97.6989356915062</v>
      </c>
      <c r="AF14" t="n">
        <v>99.2391736843273</v>
      </c>
    </row>
    <row r="15">
      <c r="A15" t="s">
        <v>134</v>
      </c>
      <c r="B15" t="s">
        <v>283</v>
      </c>
      <c r="C15" t="s">
        <v>135</v>
      </c>
      <c r="D15" t="s">
        <v>284</v>
      </c>
      <c r="E15" t="s">
        <v>14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283</v>
      </c>
      <c r="C16" t="s">
        <v>137</v>
      </c>
      <c r="D16" t="s">
        <v>284</v>
      </c>
      <c r="E16" t="s">
        <v>14</v>
      </c>
      <c r="F16" t="n">
        <v>133.869055112681</v>
      </c>
      <c r="G16" t="n">
        <v>132.179138316849</v>
      </c>
      <c r="H16" t="n">
        <v>133.942399188542</v>
      </c>
      <c r="I16" t="n">
        <v>126.406154187308</v>
      </c>
      <c r="J16" t="n">
        <v>126.724959246867</v>
      </c>
      <c r="K16" t="n">
        <v>129.682095531667</v>
      </c>
      <c r="L16" t="n">
        <v>122.880847710202</v>
      </c>
      <c r="M16" t="n">
        <v>115.689803885169</v>
      </c>
      <c r="N16" t="n">
        <v>108.291292370642</v>
      </c>
      <c r="O16" t="n">
        <v>108.146449540506</v>
      </c>
      <c r="P16" t="n">
        <v>112.258234781783</v>
      </c>
      <c r="Q16" t="n">
        <v>122.915506791779</v>
      </c>
      <c r="R16" t="n">
        <v>119.045765130825</v>
      </c>
      <c r="S16" t="n">
        <v>111.644849862342</v>
      </c>
      <c r="T16" t="n">
        <v>98.5852819327701</v>
      </c>
      <c r="U16" t="n">
        <v>105.155443718423</v>
      </c>
      <c r="V16" t="n">
        <v>104.113828481786</v>
      </c>
      <c r="W16" t="n">
        <v>101.684362393491</v>
      </c>
      <c r="X16" t="n">
        <v>97.812130817561</v>
      </c>
      <c r="Y16" t="n">
        <v>98.3547503157084</v>
      </c>
      <c r="Z16" t="n">
        <v>100</v>
      </c>
      <c r="AA16" t="n">
        <v>99.7496869285768</v>
      </c>
      <c r="AB16" t="n">
        <v>99.2091760132854</v>
      </c>
      <c r="AC16" t="n">
        <v>101.909154899388</v>
      </c>
      <c r="AD16" t="n">
        <v>100.726993711628</v>
      </c>
      <c r="AE16" t="n">
        <v>95.8311058949211</v>
      </c>
      <c r="AF16" t="n">
        <v>96.4470734144309</v>
      </c>
    </row>
    <row r="17">
      <c r="A17" t="s">
        <v>138</v>
      </c>
      <c r="B17" t="s">
        <v>283</v>
      </c>
      <c r="C17" t="s">
        <v>139</v>
      </c>
      <c r="D17" t="s">
        <v>284</v>
      </c>
      <c r="E17" t="s">
        <v>14</v>
      </c>
      <c r="F17" t="n">
        <v>108.917680127688</v>
      </c>
      <c r="G17" t="n">
        <v>111.982560505152</v>
      </c>
      <c r="H17" t="n">
        <v>112.576244424241</v>
      </c>
      <c r="I17" t="n">
        <v>106.949848906025</v>
      </c>
      <c r="J17" t="n">
        <v>104.048673815591</v>
      </c>
      <c r="K17" t="n">
        <v>108.616219032828</v>
      </c>
      <c r="L17" t="n">
        <v>104.648945281039</v>
      </c>
      <c r="M17" t="n">
        <v>99.2236323534748</v>
      </c>
      <c r="N17" t="n">
        <v>98.5185261503892</v>
      </c>
      <c r="O17" t="n">
        <v>100.451867271601</v>
      </c>
      <c r="P17" t="n">
        <v>101.555789408674</v>
      </c>
      <c r="Q17" t="n">
        <v>107.403814470241</v>
      </c>
      <c r="R17" t="n">
        <v>113.397099375386</v>
      </c>
      <c r="S17" t="n">
        <v>114.658545441292</v>
      </c>
      <c r="T17" t="n">
        <v>94.4026272587411</v>
      </c>
      <c r="U17" t="n">
        <v>101.502383402117</v>
      </c>
      <c r="V17" t="n">
        <v>102.657687203084</v>
      </c>
      <c r="W17" t="n">
        <v>104.158155566144</v>
      </c>
      <c r="X17" t="n">
        <v>98.605645133902</v>
      </c>
      <c r="Y17" t="n">
        <v>100.083349473075</v>
      </c>
      <c r="Z17" t="n">
        <v>100</v>
      </c>
      <c r="AA17" t="n">
        <v>100.27220158084</v>
      </c>
      <c r="AB17" t="n">
        <v>104.989182684595</v>
      </c>
      <c r="AC17" t="n">
        <v>106.615047457779</v>
      </c>
      <c r="AD17" t="n">
        <v>103.036428377937</v>
      </c>
      <c r="AE17" t="n">
        <v>96.4147527386024</v>
      </c>
      <c r="AF17" t="n">
        <v>99.1799684306323</v>
      </c>
    </row>
    <row r="18">
      <c r="A18" t="s">
        <v>140</v>
      </c>
      <c r="B18" t="s">
        <v>283</v>
      </c>
      <c r="C18" t="s">
        <v>141</v>
      </c>
      <c r="D18" t="s">
        <v>284</v>
      </c>
      <c r="E18" t="s">
        <v>14</v>
      </c>
      <c r="F18" t="n">
        <v>94.2679068368302</v>
      </c>
      <c r="G18" t="n">
        <v>93.7927992041385</v>
      </c>
      <c r="H18" t="n">
        <v>97.2682074278837</v>
      </c>
      <c r="I18" t="n">
        <v>92.4707352677174</v>
      </c>
      <c r="J18" t="n">
        <v>91.23356160508</v>
      </c>
      <c r="K18" t="n">
        <v>92.1622917798884</v>
      </c>
      <c r="L18" t="n">
        <v>90.9542700680326</v>
      </c>
      <c r="M18" t="n">
        <v>90.5981655887246</v>
      </c>
      <c r="N18" t="n">
        <v>93.066836665536</v>
      </c>
      <c r="O18" t="n">
        <v>94.5273440353749</v>
      </c>
      <c r="P18" t="n">
        <v>97.6352463253268</v>
      </c>
      <c r="Q18" t="n">
        <v>100.370536129588</v>
      </c>
      <c r="R18" t="n">
        <v>101.760174814853</v>
      </c>
      <c r="S18" t="n">
        <v>99.8495166534861</v>
      </c>
      <c r="T18" t="n">
        <v>85.3368430162255</v>
      </c>
      <c r="U18" t="n">
        <v>90.3909897789195</v>
      </c>
      <c r="V18" t="n">
        <v>91.5518124187272</v>
      </c>
      <c r="W18" t="n">
        <v>91.9713048602799</v>
      </c>
      <c r="X18" t="n">
        <v>90.910026298497</v>
      </c>
      <c r="Y18" t="n">
        <v>93.3680879267658</v>
      </c>
      <c r="Z18" t="n">
        <v>100</v>
      </c>
      <c r="AA18" t="n">
        <v>102.371563745885</v>
      </c>
      <c r="AB18" t="n">
        <v>104.474411205799</v>
      </c>
      <c r="AC18" t="n">
        <v>103.755138109297</v>
      </c>
      <c r="AD18" t="n">
        <v>100.780018579336</v>
      </c>
      <c r="AE18" t="n">
        <v>94.115464291385</v>
      </c>
      <c r="AF18" t="n">
        <v>97.0079840466733</v>
      </c>
    </row>
    <row r="19">
      <c r="A19" t="s">
        <v>142</v>
      </c>
      <c r="B19" t="s">
        <v>283</v>
      </c>
      <c r="C19" t="s">
        <v>143</v>
      </c>
      <c r="D19" t="s">
        <v>284</v>
      </c>
      <c r="E19" t="s">
        <v>14</v>
      </c>
      <c r="F19" t="n">
        <v>155.591883324726</v>
      </c>
      <c r="G19" t="n">
        <v>155.594900246613</v>
      </c>
      <c r="H19" t="n">
        <v>151.019620445097</v>
      </c>
      <c r="I19" t="n">
        <v>142.407555123574</v>
      </c>
      <c r="J19" t="n">
        <v>134.883740785902</v>
      </c>
      <c r="K19" t="n">
        <v>132.942652250893</v>
      </c>
      <c r="L19" t="n">
        <v>127.870516501699</v>
      </c>
      <c r="M19" t="n">
        <v>120.365074990688</v>
      </c>
      <c r="N19" t="n">
        <v>118.305429761406</v>
      </c>
      <c r="O19" t="n">
        <v>112.139081375822</v>
      </c>
      <c r="P19" t="n">
        <v>112.753532988284</v>
      </c>
      <c r="Q19" t="n">
        <v>117.160867234542</v>
      </c>
      <c r="R19" t="n">
        <v>119.390392939264</v>
      </c>
      <c r="S19" t="n">
        <v>114.83395043055</v>
      </c>
      <c r="T19" t="n">
        <v>108.298119018496</v>
      </c>
      <c r="U19" t="n">
        <v>105.095888452159</v>
      </c>
      <c r="V19" t="n">
        <v>105.608306858323</v>
      </c>
      <c r="W19" t="n">
        <v>109.60971540201</v>
      </c>
      <c r="X19" t="n">
        <v>103.8212834049</v>
      </c>
      <c r="Y19" t="n">
        <v>101.515566805065</v>
      </c>
      <c r="Z19" t="n">
        <v>100</v>
      </c>
      <c r="AA19" t="n">
        <v>101.04790814754</v>
      </c>
      <c r="AB19" t="n">
        <v>100.811289317181</v>
      </c>
      <c r="AC19" t="n">
        <v>99.2928328718315</v>
      </c>
      <c r="AD19" t="n">
        <v>95.1493961832811</v>
      </c>
      <c r="AE19" t="n">
        <v>82.5448257137016</v>
      </c>
      <c r="AF19" t="n">
        <v>80.034300658083</v>
      </c>
    </row>
    <row r="20">
      <c r="A20" t="s">
        <v>144</v>
      </c>
      <c r="B20" t="s">
        <v>283</v>
      </c>
      <c r="C20" t="s">
        <v>145</v>
      </c>
      <c r="D20" t="s">
        <v>284</v>
      </c>
      <c r="E20" t="s">
        <v>14</v>
      </c>
      <c r="F20" t="n">
        <v>130.700236368081</v>
      </c>
      <c r="G20" t="n">
        <v>113.404187835597</v>
      </c>
      <c r="H20" t="n">
        <v>106.938937965058</v>
      </c>
      <c r="I20" t="n">
        <v>112.400073538548</v>
      </c>
      <c r="J20" t="n">
        <v>110.101926432203</v>
      </c>
      <c r="K20" t="n">
        <v>105.281681086755</v>
      </c>
      <c r="L20" t="n">
        <v>104.743159615098</v>
      </c>
      <c r="M20" t="n">
        <v>102.967360844403</v>
      </c>
      <c r="N20" t="n">
        <v>97.2954789900189</v>
      </c>
      <c r="O20" t="n">
        <v>99.1478563667023</v>
      </c>
      <c r="P20" t="n">
        <v>113.861183558805</v>
      </c>
      <c r="Q20" t="n">
        <v>120.144011777373</v>
      </c>
      <c r="R20" t="n">
        <v>108.410175409152</v>
      </c>
      <c r="S20" t="n">
        <v>108.641598871014</v>
      </c>
      <c r="T20" t="n">
        <v>112.990556719999</v>
      </c>
      <c r="U20" t="n">
        <v>114.720425348375</v>
      </c>
      <c r="V20" t="n">
        <v>106.587945413513</v>
      </c>
      <c r="W20" t="n">
        <v>109.565217582948</v>
      </c>
      <c r="X20" t="n">
        <v>102.051085023106</v>
      </c>
      <c r="Y20" t="n">
        <v>100.125370798468</v>
      </c>
      <c r="Z20" t="n">
        <v>100</v>
      </c>
      <c r="AA20" t="n">
        <v>104.302584019178</v>
      </c>
      <c r="AB20" t="n">
        <v>98.0075496248851</v>
      </c>
      <c r="AC20" t="n">
        <v>96.9063490239216</v>
      </c>
      <c r="AD20" t="n">
        <v>92.6430893982143</v>
      </c>
      <c r="AE20" t="n">
        <v>106.44639325397</v>
      </c>
      <c r="AF20" t="n">
        <v>116.827387412685</v>
      </c>
    </row>
    <row r="21">
      <c r="A21" t="s">
        <v>146</v>
      </c>
      <c r="B21" t="s">
        <v>283</v>
      </c>
      <c r="C21" t="s">
        <v>147</v>
      </c>
      <c r="D21" t="s">
        <v>284</v>
      </c>
      <c r="E21" t="s">
        <v>14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283</v>
      </c>
      <c r="C22" t="s">
        <v>149</v>
      </c>
      <c r="D22" t="s">
        <v>284</v>
      </c>
      <c r="E22" t="s">
        <v>14</v>
      </c>
      <c r="F22" t="n">
        <v>80.2771301686621</v>
      </c>
      <c r="G22" t="n">
        <v>76.7047072860483</v>
      </c>
      <c r="H22" t="n">
        <v>77.3443924282772</v>
      </c>
      <c r="I22" t="n">
        <v>81.1851545567627</v>
      </c>
      <c r="J22" t="n">
        <v>83.0407746473078</v>
      </c>
      <c r="K22" t="n">
        <v>83.5092489068761</v>
      </c>
      <c r="L22" t="n">
        <v>84.478270552175</v>
      </c>
      <c r="M22" t="n">
        <v>84.9090000481141</v>
      </c>
      <c r="N22" t="n">
        <v>85.3976670412871</v>
      </c>
      <c r="O22" t="n">
        <v>89.2488996460963</v>
      </c>
      <c r="P22" t="n">
        <v>95.8526470112355</v>
      </c>
      <c r="Q22" t="n">
        <v>101.101573196341</v>
      </c>
      <c r="R22" t="n">
        <v>97.2929720166798</v>
      </c>
      <c r="S22" t="n">
        <v>99.6127767503245</v>
      </c>
      <c r="T22" t="n">
        <v>103.497168644542</v>
      </c>
      <c r="U22" t="n">
        <v>106.374770028231</v>
      </c>
      <c r="V22" t="n">
        <v>104.454023774725</v>
      </c>
      <c r="W22" t="n">
        <v>104.612788886693</v>
      </c>
      <c r="X22" t="n">
        <v>101.284733253009</v>
      </c>
      <c r="Y22" t="n">
        <v>100.059781866572</v>
      </c>
      <c r="Z22" t="n">
        <v>100</v>
      </c>
      <c r="AA22" t="n">
        <v>101.433582159765</v>
      </c>
      <c r="AB22" t="n">
        <v>99.0491463335737</v>
      </c>
      <c r="AC22" t="n">
        <v>100.098558900683</v>
      </c>
      <c r="AD22" t="n">
        <v>100.605243037548</v>
      </c>
      <c r="AE22" t="n">
        <v>99.6819529617735</v>
      </c>
      <c r="AF22" t="n">
        <v>103.363630647144</v>
      </c>
    </row>
    <row r="23">
      <c r="A23" t="s">
        <v>150</v>
      </c>
      <c r="B23" t="s">
        <v>283</v>
      </c>
      <c r="C23" t="s">
        <v>151</v>
      </c>
      <c r="D23" t="s">
        <v>284</v>
      </c>
      <c r="E23" t="s">
        <v>14</v>
      </c>
      <c r="F23" t="n">
        <v>116.639175383264</v>
      </c>
      <c r="G23" t="n">
        <v>117.56838428813</v>
      </c>
      <c r="H23" t="n">
        <v>119.458035831166</v>
      </c>
      <c r="I23" t="n">
        <v>115.488479486134</v>
      </c>
      <c r="J23" t="n">
        <v>114.700322813136</v>
      </c>
      <c r="K23" t="n">
        <v>117.839132718477</v>
      </c>
      <c r="L23" t="n">
        <v>112.230782317063</v>
      </c>
      <c r="M23" t="n">
        <v>110.407282804308</v>
      </c>
      <c r="N23" t="n">
        <v>110.835239456</v>
      </c>
      <c r="O23" t="n">
        <v>114.305273407026</v>
      </c>
      <c r="P23" t="n">
        <v>110.307115291602</v>
      </c>
      <c r="Q23" t="n">
        <v>109.928361130257</v>
      </c>
      <c r="R23" t="n">
        <v>110.486015072795</v>
      </c>
      <c r="S23" t="n">
        <v>107.186164684643</v>
      </c>
      <c r="T23" t="n">
        <v>101.161443249322</v>
      </c>
      <c r="U23" t="n">
        <v>98.2357357068092</v>
      </c>
      <c r="V23" t="n">
        <v>99.0734519620503</v>
      </c>
      <c r="W23" t="n">
        <v>98.8008794018934</v>
      </c>
      <c r="X23" t="n">
        <v>97.8098971857492</v>
      </c>
      <c r="Y23" t="n">
        <v>100.79841736193</v>
      </c>
      <c r="Z23" t="n">
        <v>100</v>
      </c>
      <c r="AA23" t="n">
        <v>98.605167441875</v>
      </c>
      <c r="AB23" t="n">
        <v>99.2979850743463</v>
      </c>
      <c r="AC23" t="n">
        <v>97.7998488972802</v>
      </c>
      <c r="AD23" t="n">
        <v>95.2715377875388</v>
      </c>
      <c r="AE23" t="n">
        <v>89.5690709632934</v>
      </c>
      <c r="AF23" t="n">
        <v>89.1259797956069</v>
      </c>
    </row>
    <row r="24">
      <c r="A24" t="s">
        <v>152</v>
      </c>
      <c r="B24" t="s">
        <v>283</v>
      </c>
      <c r="C24" t="s">
        <v>153</v>
      </c>
      <c r="D24" t="s">
        <v>284</v>
      </c>
      <c r="E24" t="s">
        <v>14</v>
      </c>
      <c r="F24" t="n">
        <v>111.605796580052</v>
      </c>
      <c r="G24" t="n">
        <v>111.735953940035</v>
      </c>
      <c r="H24" t="n">
        <v>110.045613483278</v>
      </c>
      <c r="I24" t="n">
        <v>110.39639003957</v>
      </c>
      <c r="J24" t="n">
        <v>112.009145343824</v>
      </c>
      <c r="K24" t="n">
        <v>111.461850143055</v>
      </c>
      <c r="L24" t="n">
        <v>108.800094547751</v>
      </c>
      <c r="M24" t="n">
        <v>105.291638652118</v>
      </c>
      <c r="N24" t="n">
        <v>105.196983012694</v>
      </c>
      <c r="O24" t="n">
        <v>107.512285551396</v>
      </c>
      <c r="P24" t="n">
        <v>106.49639954727</v>
      </c>
      <c r="Q24" t="n">
        <v>105.495341202853</v>
      </c>
      <c r="R24" t="n">
        <v>104.532473847509</v>
      </c>
      <c r="S24" t="n">
        <v>103.042470442107</v>
      </c>
      <c r="T24" t="n">
        <v>99.7975162896424</v>
      </c>
      <c r="U24" t="n">
        <v>101.790401602902</v>
      </c>
      <c r="V24" t="n">
        <v>101.182720604283</v>
      </c>
      <c r="W24" t="n">
        <v>99.491785869107</v>
      </c>
      <c r="X24" t="n">
        <v>97.8143030461083</v>
      </c>
      <c r="Y24" t="n">
        <v>97.099704632866</v>
      </c>
      <c r="Z24" t="n">
        <v>100</v>
      </c>
      <c r="AA24" t="n">
        <v>101.268747195741</v>
      </c>
      <c r="AB24" t="n">
        <v>101.773344669119</v>
      </c>
      <c r="AC24" t="n">
        <v>98.8772065425035</v>
      </c>
      <c r="AD24" t="n">
        <v>96.0568390493406</v>
      </c>
      <c r="AE24" t="n">
        <v>89.9062584607456</v>
      </c>
      <c r="AF24" t="n">
        <v>91.3030438801266</v>
      </c>
    </row>
    <row r="25">
      <c r="A25" t="s">
        <v>154</v>
      </c>
      <c r="B25" t="s">
        <v>283</v>
      </c>
      <c r="C25" t="s">
        <v>155</v>
      </c>
      <c r="D25" t="s">
        <v>284</v>
      </c>
      <c r="E25" t="s">
        <v>14</v>
      </c>
      <c r="F25" t="n">
        <v>102.935598976338</v>
      </c>
      <c r="G25" t="n">
        <v>104.477964027424</v>
      </c>
      <c r="H25" t="n">
        <v>106.068479157415</v>
      </c>
      <c r="I25" t="n">
        <v>103.906313757357</v>
      </c>
      <c r="J25" t="n">
        <v>102.099447629856</v>
      </c>
      <c r="K25" t="n">
        <v>100.86222883658</v>
      </c>
      <c r="L25" t="n">
        <v>103.405272734503</v>
      </c>
      <c r="M25" t="n">
        <v>101.869288861615</v>
      </c>
      <c r="N25" t="n">
        <v>104.682801497149</v>
      </c>
      <c r="O25" t="n">
        <v>107.178657264442</v>
      </c>
      <c r="P25" t="n">
        <v>107.848174692128</v>
      </c>
      <c r="Q25" t="n">
        <v>112.956509944074</v>
      </c>
      <c r="R25" t="n">
        <v>111.257812226479</v>
      </c>
      <c r="S25" t="n">
        <v>107.223844545437</v>
      </c>
      <c r="T25" t="n">
        <v>105.287674040733</v>
      </c>
      <c r="U25" t="n">
        <v>107.828456970448</v>
      </c>
      <c r="V25" t="n">
        <v>107.08888154828</v>
      </c>
      <c r="W25" t="n">
        <v>105.716785119599</v>
      </c>
      <c r="X25" t="n">
        <v>104.432437682192</v>
      </c>
      <c r="Y25" t="n">
        <v>100.915156963359</v>
      </c>
      <c r="Z25" t="n">
        <v>100</v>
      </c>
      <c r="AA25" t="n">
        <v>97.3539633630471</v>
      </c>
      <c r="AB25" t="n">
        <v>96.1395401098751</v>
      </c>
      <c r="AC25" t="n">
        <v>97.7809933821923</v>
      </c>
      <c r="AD25" t="n">
        <v>97.0462031411772</v>
      </c>
      <c r="AE25" t="n">
        <v>89.6807301876594</v>
      </c>
      <c r="AF25" t="n">
        <v>90.0138023847626</v>
      </c>
    </row>
    <row r="26">
      <c r="A26" t="s">
        <v>156</v>
      </c>
      <c r="B26" t="s">
        <v>283</v>
      </c>
      <c r="C26" t="s">
        <v>157</v>
      </c>
      <c r="D26" t="s">
        <v>284</v>
      </c>
      <c r="E26" t="s">
        <v>14</v>
      </c>
      <c r="F26" t="n">
        <v>116.27582266983</v>
      </c>
      <c r="G26" t="n">
        <v>115.251699572904</v>
      </c>
      <c r="H26" t="n">
        <v>113.742406206697</v>
      </c>
      <c r="I26" t="n">
        <v>113.17416530364</v>
      </c>
      <c r="J26" t="n">
        <v>113.381419700771</v>
      </c>
      <c r="K26" t="n">
        <v>110.289019693473</v>
      </c>
      <c r="L26" t="n">
        <v>106.499429494967</v>
      </c>
      <c r="M26" t="n">
        <v>100.371276702531</v>
      </c>
      <c r="N26" t="n">
        <v>99.3487944300926</v>
      </c>
      <c r="O26" t="n">
        <v>100.96343805768</v>
      </c>
      <c r="P26" t="n">
        <v>101.344853750191</v>
      </c>
      <c r="Q26" t="n">
        <v>99.293960780386</v>
      </c>
      <c r="R26" t="n">
        <v>99.594923853275</v>
      </c>
      <c r="S26" t="n">
        <v>99.9786830389695</v>
      </c>
      <c r="T26" t="n">
        <v>96.8409460419755</v>
      </c>
      <c r="U26" t="n">
        <v>97.6977612011777</v>
      </c>
      <c r="V26" t="n">
        <v>97.9008052447525</v>
      </c>
      <c r="W26" t="n">
        <v>96.1737082767256</v>
      </c>
      <c r="X26" t="n">
        <v>94.2378614450364</v>
      </c>
      <c r="Y26" t="n">
        <v>95.2213574228443</v>
      </c>
      <c r="Z26" t="n">
        <v>100</v>
      </c>
      <c r="AA26" t="n">
        <v>101.911244626255</v>
      </c>
      <c r="AB26" t="n">
        <v>102.833124994912</v>
      </c>
      <c r="AC26" t="n">
        <v>101.257556714472</v>
      </c>
      <c r="AD26" t="n">
        <v>97.7602507397407</v>
      </c>
      <c r="AE26" t="n">
        <v>95.1441164418808</v>
      </c>
      <c r="AF26" t="n">
        <v>95.4263155992</v>
      </c>
    </row>
    <row r="27">
      <c r="A27" t="s">
        <v>158</v>
      </c>
      <c r="B27" t="s">
        <v>283</v>
      </c>
      <c r="C27" t="s">
        <v>159</v>
      </c>
      <c r="D27" t="s">
        <v>284</v>
      </c>
      <c r="E27" t="s">
        <v>14</v>
      </c>
      <c r="F27" t="n">
        <v>111.568585043065</v>
      </c>
      <c r="G27" t="n">
        <v>112.310583077619</v>
      </c>
      <c r="H27" t="n">
        <v>110.090266356577</v>
      </c>
      <c r="I27" t="n">
        <v>111.301857918118</v>
      </c>
      <c r="J27" t="n">
        <v>114.107332185843</v>
      </c>
      <c r="K27" t="n">
        <v>115.312825944088</v>
      </c>
      <c r="L27" t="n">
        <v>112.844227904249</v>
      </c>
      <c r="M27" t="n">
        <v>110.753186359974</v>
      </c>
      <c r="N27" t="n">
        <v>110.823521113046</v>
      </c>
      <c r="O27" t="n">
        <v>113.584982329193</v>
      </c>
      <c r="P27" t="n">
        <v>111.261635074546</v>
      </c>
      <c r="Q27" t="n">
        <v>110.09863545431</v>
      </c>
      <c r="R27" t="n">
        <v>108.002164126826</v>
      </c>
      <c r="S27" t="n">
        <v>105.328490473894</v>
      </c>
      <c r="T27" t="n">
        <v>101.797219582476</v>
      </c>
      <c r="U27" t="n">
        <v>104.220522629011</v>
      </c>
      <c r="V27" t="n">
        <v>103.00696166011</v>
      </c>
      <c r="W27" t="n">
        <v>101.361415424728</v>
      </c>
      <c r="X27" t="n">
        <v>99.6985895868692</v>
      </c>
      <c r="Y27" t="n">
        <v>98.1686279480998</v>
      </c>
      <c r="Z27" t="n">
        <v>100</v>
      </c>
      <c r="AA27" t="n">
        <v>101.177622161707</v>
      </c>
      <c r="AB27" t="n">
        <v>101.526868429948</v>
      </c>
      <c r="AC27" t="n">
        <v>97.3565846246328</v>
      </c>
      <c r="AD27" t="n">
        <v>94.8801605177763</v>
      </c>
      <c r="AE27" t="n">
        <v>86.6235699092775</v>
      </c>
      <c r="AF27" t="n">
        <v>88.7500394452513</v>
      </c>
    </row>
    <row r="28">
      <c r="A28" t="s">
        <v>160</v>
      </c>
      <c r="B28" t="s">
        <v>283</v>
      </c>
      <c r="C28" t="s">
        <v>161</v>
      </c>
      <c r="D28" t="s">
        <v>284</v>
      </c>
      <c r="E28" t="s">
        <v>14</v>
      </c>
      <c r="F28" t="n">
        <v>97.2376604055815</v>
      </c>
      <c r="G28" t="n">
        <v>99.6981879705424</v>
      </c>
      <c r="H28" t="n">
        <v>97.8747414854469</v>
      </c>
      <c r="I28" t="n">
        <v>96.5253936447689</v>
      </c>
      <c r="J28" t="n">
        <v>96.9959879593381</v>
      </c>
      <c r="K28" t="n">
        <v>99.7103484331051</v>
      </c>
      <c r="L28" t="n">
        <v>97.2907554832128</v>
      </c>
      <c r="M28" t="n">
        <v>96.7941621404642</v>
      </c>
      <c r="N28" t="n">
        <v>97.8943682126015</v>
      </c>
      <c r="O28" t="n">
        <v>96.5823011719326</v>
      </c>
      <c r="P28" t="n">
        <v>94.1378644187397</v>
      </c>
      <c r="Q28" t="n">
        <v>98.4311310917498</v>
      </c>
      <c r="R28" t="n">
        <v>100.287117517059</v>
      </c>
      <c r="S28" t="n">
        <v>96.6030064000848</v>
      </c>
      <c r="T28" t="n">
        <v>95.7982888577806</v>
      </c>
      <c r="U28" t="n">
        <v>97.7504937861132</v>
      </c>
      <c r="V28" t="n">
        <v>96.7162581619113</v>
      </c>
      <c r="W28" t="n">
        <v>99.3407905309139</v>
      </c>
      <c r="X28" t="n">
        <v>100.426563102867</v>
      </c>
      <c r="Y28" t="n">
        <v>101.880127383429</v>
      </c>
      <c r="Z28" t="n">
        <v>100</v>
      </c>
      <c r="AA28" t="n">
        <v>99.8194516368038</v>
      </c>
      <c r="AB28" t="n">
        <v>101.695561003622</v>
      </c>
      <c r="AC28" t="n">
        <v>99.4552282626179</v>
      </c>
      <c r="AD28" t="n">
        <v>97.8508472283686</v>
      </c>
      <c r="AE28" t="n">
        <v>92.2008184971338</v>
      </c>
      <c r="AF28" t="n">
        <v>94.1301644750509</v>
      </c>
    </row>
    <row r="29">
      <c r="A29" t="s">
        <v>162</v>
      </c>
      <c r="B29" t="s">
        <v>283</v>
      </c>
      <c r="C29" t="s">
        <v>163</v>
      </c>
      <c r="D29" t="s">
        <v>284</v>
      </c>
      <c r="E29" t="s">
        <v>14</v>
      </c>
      <c r="F29" t="n">
        <v>103.072556429956</v>
      </c>
      <c r="G29" t="n">
        <v>106.345767829644</v>
      </c>
      <c r="H29" t="n">
        <v>104.285187740298</v>
      </c>
      <c r="I29" t="n">
        <v>102.693732439621</v>
      </c>
      <c r="J29" t="n">
        <v>103.157770085868</v>
      </c>
      <c r="K29" t="n">
        <v>105.149132733458</v>
      </c>
      <c r="L29" t="n">
        <v>101.58231280526</v>
      </c>
      <c r="M29" t="n">
        <v>100.567684069728</v>
      </c>
      <c r="N29" t="n">
        <v>101.699843330067</v>
      </c>
      <c r="O29" t="n">
        <v>100.567860323056</v>
      </c>
      <c r="P29" t="n">
        <v>97.7119784295009</v>
      </c>
      <c r="Q29" t="n">
        <v>101.396124643109</v>
      </c>
      <c r="R29" t="n">
        <v>102.428720920046</v>
      </c>
      <c r="S29" t="n">
        <v>98.5565744400961</v>
      </c>
      <c r="T29" t="n">
        <v>96.7879135363703</v>
      </c>
      <c r="U29" t="n">
        <v>97.8288899707821</v>
      </c>
      <c r="V29" t="n">
        <v>97.1779633617782</v>
      </c>
      <c r="W29" t="n">
        <v>99.9400965848528</v>
      </c>
      <c r="X29" t="n">
        <v>100.918441128493</v>
      </c>
      <c r="Y29" t="n">
        <v>102.004975995883</v>
      </c>
      <c r="Z29" t="n">
        <v>100</v>
      </c>
      <c r="AA29" t="n">
        <v>99.2994038926796</v>
      </c>
      <c r="AB29" t="n">
        <v>101.179414851664</v>
      </c>
      <c r="AC29" t="n">
        <v>98.6661838385385</v>
      </c>
      <c r="AD29" t="n">
        <v>96.5563624484299</v>
      </c>
      <c r="AE29" t="n">
        <v>91.334948219836</v>
      </c>
      <c r="AF29" t="n">
        <v>93.9739716921784</v>
      </c>
    </row>
    <row r="30">
      <c r="A30" t="s">
        <v>164</v>
      </c>
      <c r="B30" t="s">
        <v>283</v>
      </c>
      <c r="C30" t="s">
        <v>165</v>
      </c>
      <c r="D30" t="s">
        <v>284</v>
      </c>
      <c r="E30" t="s">
        <v>14</v>
      </c>
      <c r="F30" t="n">
        <v>117.165225608064</v>
      </c>
      <c r="G30" t="n">
        <v>117.656523814905</v>
      </c>
      <c r="H30" t="n">
        <v>110.550056572174</v>
      </c>
      <c r="I30" t="n">
        <v>104.854786613883</v>
      </c>
      <c r="J30" t="n">
        <v>100.127230596384</v>
      </c>
      <c r="K30" t="n">
        <v>103.351603343334</v>
      </c>
      <c r="L30" t="n">
        <v>102.295336528341</v>
      </c>
      <c r="M30" t="n">
        <v>100.940860541904</v>
      </c>
      <c r="N30" t="n">
        <v>99.213637832925</v>
      </c>
      <c r="O30" t="n">
        <v>95.4746485712224</v>
      </c>
      <c r="P30" t="n">
        <v>94.9034667348811</v>
      </c>
      <c r="Q30" t="n">
        <v>102.982026302068</v>
      </c>
      <c r="R30" t="n">
        <v>107.143592130502</v>
      </c>
      <c r="S30" t="n">
        <v>100.007230582451</v>
      </c>
      <c r="T30" t="n">
        <v>103.900381901819</v>
      </c>
      <c r="U30" t="n">
        <v>110.064379634834</v>
      </c>
      <c r="V30" t="n">
        <v>96.0977460594153</v>
      </c>
      <c r="W30" t="n">
        <v>98.8606952813451</v>
      </c>
      <c r="X30" t="n">
        <v>102.199269394864</v>
      </c>
      <c r="Y30" t="n">
        <v>107.34540860912</v>
      </c>
      <c r="Z30" t="n">
        <v>100</v>
      </c>
      <c r="AA30" t="n">
        <v>100.568613000907</v>
      </c>
      <c r="AB30" t="n">
        <v>101.026948859229</v>
      </c>
      <c r="AC30" t="n">
        <v>107.063810460066</v>
      </c>
      <c r="AD30" t="n">
        <v>105.991373208232</v>
      </c>
      <c r="AE30" t="n">
        <v>93.3063004916607</v>
      </c>
      <c r="AF30" t="n">
        <v>98.7247601332525</v>
      </c>
    </row>
    <row r="31">
      <c r="A31" t="s">
        <v>166</v>
      </c>
      <c r="B31" t="s">
        <v>283</v>
      </c>
      <c r="C31" t="s">
        <v>167</v>
      </c>
      <c r="D31" t="s">
        <v>284</v>
      </c>
      <c r="E31" t="s">
        <v>14</v>
      </c>
      <c r="F31" t="n">
        <v>100.431578705913</v>
      </c>
      <c r="G31" t="n">
        <v>100.994758760884</v>
      </c>
      <c r="H31" t="n">
        <v>95.0535884030831</v>
      </c>
      <c r="I31" t="n">
        <v>90.687567001856</v>
      </c>
      <c r="J31" t="n">
        <v>87.340924722852</v>
      </c>
      <c r="K31" t="n">
        <v>92.4388482849962</v>
      </c>
      <c r="L31" t="n">
        <v>94.3817684154061</v>
      </c>
      <c r="M31" t="n">
        <v>94.9976114194612</v>
      </c>
      <c r="N31" t="n">
        <v>94.5546533004847</v>
      </c>
      <c r="O31" t="n">
        <v>89.7949428036418</v>
      </c>
      <c r="P31" t="n">
        <v>88.2877030828153</v>
      </c>
      <c r="Q31" t="n">
        <v>92.1745728605286</v>
      </c>
      <c r="R31" t="n">
        <v>102.6218945182</v>
      </c>
      <c r="S31" t="n">
        <v>103.912193010595</v>
      </c>
      <c r="T31" t="n">
        <v>105.685084400619</v>
      </c>
      <c r="U31" t="n">
        <v>113.890813818902</v>
      </c>
      <c r="V31" t="n">
        <v>119.415114802698</v>
      </c>
      <c r="W31" t="n">
        <v>127.391395864277</v>
      </c>
      <c r="X31" t="n">
        <v>120.633431057362</v>
      </c>
      <c r="Y31" t="n">
        <v>104.131264513979</v>
      </c>
      <c r="Z31" t="n">
        <v>100</v>
      </c>
      <c r="AA31" t="n">
        <v>98.7498116428783</v>
      </c>
      <c r="AB31" t="n">
        <v>96.5833516019926</v>
      </c>
      <c r="AC31" t="n">
        <v>94.5081696945878</v>
      </c>
      <c r="AD31" t="n">
        <v>92.5528506057794</v>
      </c>
      <c r="AE31" t="n">
        <v>91.1439800756435</v>
      </c>
      <c r="AF31" t="n">
        <v>91.6316300782406</v>
      </c>
    </row>
    <row r="32">
      <c r="A32" t="s">
        <v>168</v>
      </c>
      <c r="B32" t="s">
        <v>283</v>
      </c>
      <c r="C32" t="s">
        <v>169</v>
      </c>
      <c r="D32" t="s">
        <v>284</v>
      </c>
      <c r="E32" t="s">
        <v>14</v>
      </c>
      <c r="F32" t="n">
        <v>91.9548736640384</v>
      </c>
      <c r="G32" t="n">
        <v>92.5399391611899</v>
      </c>
      <c r="H32" t="n">
        <v>88.9097441476149</v>
      </c>
      <c r="I32" t="n">
        <v>86.4490987522399</v>
      </c>
      <c r="J32" t="n">
        <v>86.8339237525926</v>
      </c>
      <c r="K32" t="n">
        <v>91.0735265600396</v>
      </c>
      <c r="L32" t="n">
        <v>90.9884008303825</v>
      </c>
      <c r="M32" t="n">
        <v>90.4560105446389</v>
      </c>
      <c r="N32" t="n">
        <v>90.4008517191246</v>
      </c>
      <c r="O32" t="n">
        <v>88.5979114478351</v>
      </c>
      <c r="P32" t="n">
        <v>86.0684912707138</v>
      </c>
      <c r="Q32" t="n">
        <v>92.6968412934803</v>
      </c>
      <c r="R32" t="n">
        <v>96.8610766452088</v>
      </c>
      <c r="S32" t="n">
        <v>94.1342296697696</v>
      </c>
      <c r="T32" t="n">
        <v>94.3656735230686</v>
      </c>
      <c r="U32" t="n">
        <v>96.7434584235617</v>
      </c>
      <c r="V32" t="n">
        <v>94.5602045273675</v>
      </c>
      <c r="W32" t="n">
        <v>93.7246383639509</v>
      </c>
      <c r="X32" t="n">
        <v>95.4289670739131</v>
      </c>
      <c r="Y32" t="n">
        <v>99.9309625868188</v>
      </c>
      <c r="Z32" t="n">
        <v>100</v>
      </c>
      <c r="AA32" t="n">
        <v>101.627698867467</v>
      </c>
      <c r="AB32" t="n">
        <v>105.020038697587</v>
      </c>
      <c r="AC32" t="n">
        <v>101.888315597716</v>
      </c>
      <c r="AD32" t="n">
        <v>108.468394756904</v>
      </c>
      <c r="AE32" t="n">
        <v>101.662822176712</v>
      </c>
      <c r="AF32" t="n">
        <v>100.400640129802</v>
      </c>
    </row>
    <row r="33">
      <c r="A33" t="s">
        <v>170</v>
      </c>
      <c r="B33" t="s">
        <v>283</v>
      </c>
      <c r="C33" t="s">
        <v>171</v>
      </c>
      <c r="D33" t="s">
        <v>284</v>
      </c>
      <c r="E33" t="s">
        <v>14</v>
      </c>
      <c r="F33" t="n">
        <v>79.9994519426332</v>
      </c>
      <c r="G33" t="n">
        <v>77.1869723142057</v>
      </c>
      <c r="H33" t="n">
        <v>78.5469876580927</v>
      </c>
      <c r="I33" t="n">
        <v>80.0385935638782</v>
      </c>
      <c r="J33" t="n">
        <v>81.7082924442938</v>
      </c>
      <c r="K33" t="n">
        <v>85.0271503929317</v>
      </c>
      <c r="L33" t="n">
        <v>84.8668644185469</v>
      </c>
      <c r="M33" t="n">
        <v>85.556600031186</v>
      </c>
      <c r="N33" t="n">
        <v>86.7823965293489</v>
      </c>
      <c r="O33" t="n">
        <v>87.0420042559499</v>
      </c>
      <c r="P33" t="n">
        <v>86.5100266866</v>
      </c>
      <c r="Q33" t="n">
        <v>91.1655575647657</v>
      </c>
      <c r="R33" t="n">
        <v>93.2216214351262</v>
      </c>
      <c r="S33" t="n">
        <v>87.3677701947166</v>
      </c>
      <c r="T33" t="n">
        <v>88.3196540090902</v>
      </c>
      <c r="U33" t="n">
        <v>94.9682155964694</v>
      </c>
      <c r="V33" t="n">
        <v>94.0587520801216</v>
      </c>
      <c r="W33" t="n">
        <v>93.944276200951</v>
      </c>
      <c r="X33" t="n">
        <v>94.3736859478195</v>
      </c>
      <c r="Y33" t="n">
        <v>98.1368536307001</v>
      </c>
      <c r="Z33" t="n">
        <v>100</v>
      </c>
      <c r="AA33" t="n">
        <v>102.002924811848</v>
      </c>
      <c r="AB33" t="n">
        <v>102.223272995744</v>
      </c>
      <c r="AC33" t="n">
        <v>98.5097051939065</v>
      </c>
      <c r="AD33" t="n">
        <v>93.9476838515536</v>
      </c>
      <c r="AE33" t="n">
        <v>89.4196017303952</v>
      </c>
      <c r="AF33" t="n">
        <v>88.3941027461062</v>
      </c>
    </row>
    <row r="34">
      <c r="A34" t="s">
        <v>172</v>
      </c>
      <c r="B34" t="s">
        <v>283</v>
      </c>
      <c r="C34" t="s">
        <v>173</v>
      </c>
      <c r="D34" t="s">
        <v>284</v>
      </c>
      <c r="E34" t="s">
        <v>14</v>
      </c>
      <c r="F34" t="n">
        <v>111.330781944563</v>
      </c>
      <c r="G34" t="n">
        <v>115.044379351511</v>
      </c>
      <c r="H34" t="n">
        <v>112.689502129303</v>
      </c>
      <c r="I34" t="n">
        <v>111.674085007843</v>
      </c>
      <c r="J34" t="n">
        <v>111.793840046016</v>
      </c>
      <c r="K34" t="n">
        <v>113.719728359484</v>
      </c>
      <c r="L34" t="n">
        <v>111.611911287188</v>
      </c>
      <c r="M34" t="n">
        <v>111.907621392154</v>
      </c>
      <c r="N34" t="n">
        <v>108.014215732298</v>
      </c>
      <c r="O34" t="n">
        <v>111.612447341962</v>
      </c>
      <c r="P34" t="n">
        <v>109.743547526669</v>
      </c>
      <c r="Q34" t="n">
        <v>110.28045092884</v>
      </c>
      <c r="R34" t="n">
        <v>108.537916291633</v>
      </c>
      <c r="S34" t="n">
        <v>106.307925823732</v>
      </c>
      <c r="T34" t="n">
        <v>104.816652721197</v>
      </c>
      <c r="U34" t="n">
        <v>105.300693979923</v>
      </c>
      <c r="V34" t="n">
        <v>101.355842442314</v>
      </c>
      <c r="W34" t="n">
        <v>101.313964906388</v>
      </c>
      <c r="X34" t="n">
        <v>101.992050843935</v>
      </c>
      <c r="Y34" t="n">
        <v>101.061901659939</v>
      </c>
      <c r="Z34" t="n">
        <v>100</v>
      </c>
      <c r="AA34" t="n">
        <v>101.417669370328</v>
      </c>
      <c r="AB34" t="n">
        <v>98.733250431132</v>
      </c>
      <c r="AC34" t="n">
        <v>99.0847981091804</v>
      </c>
      <c r="AD34" t="n">
        <v>98.65388345898</v>
      </c>
      <c r="AE34" t="n">
        <v>84.5283515928308</v>
      </c>
      <c r="AF34" t="n">
        <v>79.5531103830324</v>
      </c>
    </row>
    <row r="35">
      <c r="A35" t="s">
        <v>174</v>
      </c>
      <c r="B35" t="s">
        <v>283</v>
      </c>
      <c r="C35" t="s">
        <v>175</v>
      </c>
      <c r="D35" t="s">
        <v>284</v>
      </c>
      <c r="E35" t="s">
        <v>14</v>
      </c>
      <c r="F35" t="n">
        <v>65.759152440486</v>
      </c>
      <c r="G35" t="n">
        <v>66.6154450638276</v>
      </c>
      <c r="H35" t="n">
        <v>68.2559866422385</v>
      </c>
      <c r="I35" t="n">
        <v>72.086015129591</v>
      </c>
      <c r="J35" t="n">
        <v>73.0116647945398</v>
      </c>
      <c r="K35" t="n">
        <v>79.6271019301556</v>
      </c>
      <c r="L35" t="n">
        <v>82.589627409414</v>
      </c>
      <c r="M35" t="n">
        <v>82.3065309444033</v>
      </c>
      <c r="N35" t="n">
        <v>85.4786499168404</v>
      </c>
      <c r="O35" t="n">
        <v>86.4582149012048</v>
      </c>
      <c r="P35" t="n">
        <v>92.6484526600846</v>
      </c>
      <c r="Q35" t="n">
        <v>98.5818172164465</v>
      </c>
      <c r="R35" t="n">
        <v>98.9344274567658</v>
      </c>
      <c r="S35" t="n">
        <v>100.683196670386</v>
      </c>
      <c r="T35" t="n">
        <v>99.4455937498357</v>
      </c>
      <c r="U35" t="n">
        <v>102.905738663499</v>
      </c>
      <c r="V35" t="n">
        <v>102.252767542914</v>
      </c>
      <c r="W35" t="n">
        <v>96.8366993130117</v>
      </c>
      <c r="X35" t="n">
        <v>97.9975500139634</v>
      </c>
      <c r="Y35" t="n">
        <v>101.81653497266</v>
      </c>
      <c r="Z35" t="n">
        <v>100</v>
      </c>
      <c r="AA35" t="n">
        <v>103.229852429402</v>
      </c>
      <c r="AB35" t="n">
        <v>106.771598667063</v>
      </c>
      <c r="AC35" t="n">
        <v>108.979034360857</v>
      </c>
      <c r="AD35" t="n">
        <v>107.534513289956</v>
      </c>
      <c r="AE35" t="n">
        <v>109.993704199036</v>
      </c>
      <c r="AF35" t="n">
        <v>112.861574769734</v>
      </c>
    </row>
    <row r="36">
      <c r="A36" t="s">
        <v>176</v>
      </c>
      <c r="B36" t="s">
        <v>283</v>
      </c>
      <c r="C36" t="s">
        <v>177</v>
      </c>
      <c r="D36" t="s">
        <v>284</v>
      </c>
      <c r="E36" t="s">
        <v>14</v>
      </c>
      <c r="F36" t="n">
        <v>96.7604457733138</v>
      </c>
      <c r="G36" t="n">
        <v>97.8842764557041</v>
      </c>
      <c r="H36" t="n">
        <v>97.9468202850484</v>
      </c>
      <c r="I36" t="n">
        <v>98.2617464058558</v>
      </c>
      <c r="J36" t="n">
        <v>98.6551315125986</v>
      </c>
      <c r="K36" t="n">
        <v>99.7870973410227</v>
      </c>
      <c r="L36" t="n">
        <v>100.41696240368</v>
      </c>
      <c r="M36" t="n">
        <v>102.036774498859</v>
      </c>
      <c r="N36" t="n">
        <v>101.939269913724</v>
      </c>
      <c r="O36" t="n">
        <v>105.18334319943</v>
      </c>
      <c r="P36" t="n">
        <v>106.93753228277</v>
      </c>
      <c r="Q36" t="n">
        <v>110.507375308589</v>
      </c>
      <c r="R36" t="n">
        <v>110.944977849182</v>
      </c>
      <c r="S36" t="n">
        <v>112.043075085207</v>
      </c>
      <c r="T36" t="n">
        <v>109.954730892036</v>
      </c>
      <c r="U36" t="n">
        <v>113.487791793763</v>
      </c>
      <c r="V36" t="n">
        <v>112.676547879162</v>
      </c>
      <c r="W36" t="n">
        <v>102.743893932813</v>
      </c>
      <c r="X36" t="n">
        <v>98.6360593767255</v>
      </c>
      <c r="Y36" t="n">
        <v>99.9845236246767</v>
      </c>
      <c r="Z36" t="n">
        <v>100</v>
      </c>
      <c r="AA36" t="n">
        <v>101.074117875529</v>
      </c>
      <c r="AB36" t="n">
        <v>102.804662620492</v>
      </c>
      <c r="AC36" t="n">
        <v>104.087226761688</v>
      </c>
      <c r="AD36" t="n">
        <v>104.600550901769</v>
      </c>
      <c r="AE36" t="n">
        <v>104.365733786535</v>
      </c>
      <c r="AF36" t="n">
        <v>102.998474551789</v>
      </c>
    </row>
    <row r="37">
      <c r="A37" t="s">
        <v>178</v>
      </c>
      <c r="B37" t="s">
        <v>283</v>
      </c>
      <c r="C37" t="s">
        <v>179</v>
      </c>
      <c r="D37" t="s">
        <v>284</v>
      </c>
      <c r="E37" t="s">
        <v>14</v>
      </c>
      <c r="F37" t="n">
        <v>77.5523032994279</v>
      </c>
      <c r="G37" t="n">
        <v>82.5407170165231</v>
      </c>
      <c r="H37" t="n">
        <v>78.852510868977</v>
      </c>
      <c r="I37" t="n">
        <v>76.6555273023505</v>
      </c>
      <c r="J37" t="n">
        <v>79.0562449344125</v>
      </c>
      <c r="K37" t="n">
        <v>93.8109970460421</v>
      </c>
      <c r="L37" t="n">
        <v>95.5254857009492</v>
      </c>
      <c r="M37" t="n">
        <v>84.615019366719</v>
      </c>
      <c r="N37" t="n">
        <v>82.5120305926606</v>
      </c>
      <c r="O37" t="n">
        <v>74.6790756292691</v>
      </c>
      <c r="P37" t="n">
        <v>88.2617336403815</v>
      </c>
      <c r="Q37" t="n">
        <v>100.878584333841</v>
      </c>
      <c r="R37" t="n">
        <v>102.448447985802</v>
      </c>
      <c r="S37" t="n">
        <v>100.549326474011</v>
      </c>
      <c r="T37" t="n">
        <v>97.7327095732005</v>
      </c>
      <c r="U37" t="n">
        <v>98.187292661355</v>
      </c>
      <c r="V37" t="n">
        <v>100.281370858231</v>
      </c>
      <c r="W37" t="n">
        <v>100.425715425537</v>
      </c>
      <c r="X37" t="n">
        <v>101.5694363382</v>
      </c>
      <c r="Y37" t="n">
        <v>103.461804792854</v>
      </c>
      <c r="Z37" t="n">
        <v>100</v>
      </c>
      <c r="AA37" t="n">
        <v>110.13994060168</v>
      </c>
      <c r="AB37" t="n">
        <v>117.253263136174</v>
      </c>
      <c r="AC37" t="n">
        <v>120.800581373406</v>
      </c>
      <c r="AD37" t="n">
        <v>118.663938148658</v>
      </c>
      <c r="AE37" t="n">
        <v>129.965699592199</v>
      </c>
      <c r="AF37" t="n">
        <v>141.721927155358</v>
      </c>
    </row>
    <row r="38">
      <c r="A38" t="s">
        <v>180</v>
      </c>
      <c r="B38" t="s">
        <v>283</v>
      </c>
      <c r="C38" t="s">
        <v>181</v>
      </c>
      <c r="D38" t="s">
        <v>284</v>
      </c>
      <c r="E38" t="s">
        <v>14</v>
      </c>
      <c r="F38" t="n">
        <v>52.9622991443992</v>
      </c>
      <c r="G38" t="n">
        <v>52.8312812436544</v>
      </c>
      <c r="H38" t="n">
        <v>55.9931418733451</v>
      </c>
      <c r="I38" t="n">
        <v>62.2272870359943</v>
      </c>
      <c r="J38" t="n">
        <v>62.860795514707</v>
      </c>
      <c r="K38" t="n">
        <v>69.3465779476531</v>
      </c>
      <c r="L38" t="n">
        <v>73.1775437688772</v>
      </c>
      <c r="M38" t="n">
        <v>74.8211732085865</v>
      </c>
      <c r="N38" t="n">
        <v>79.9198286236894</v>
      </c>
      <c r="O38" t="n">
        <v>82.828525623495</v>
      </c>
      <c r="P38" t="n">
        <v>88.8807453012445</v>
      </c>
      <c r="Q38" t="n">
        <v>94.3987031858203</v>
      </c>
      <c r="R38" t="n">
        <v>94.5171437344401</v>
      </c>
      <c r="S38" t="n">
        <v>97.1469420624608</v>
      </c>
      <c r="T38" t="n">
        <v>96.4357749276147</v>
      </c>
      <c r="U38" t="n">
        <v>100.417044391225</v>
      </c>
      <c r="V38" t="n">
        <v>99.2922880338796</v>
      </c>
      <c r="W38" t="n">
        <v>94.1790452509924</v>
      </c>
      <c r="X38" t="n">
        <v>96.9819931137395</v>
      </c>
      <c r="Y38" t="n">
        <v>102.046716172385</v>
      </c>
      <c r="Z38" t="n">
        <v>100</v>
      </c>
      <c r="AA38" t="n">
        <v>102.555479214586</v>
      </c>
      <c r="AB38" t="n">
        <v>106.006773379496</v>
      </c>
      <c r="AC38" t="n">
        <v>108.071267380628</v>
      </c>
      <c r="AD38" t="n">
        <v>106.162430553892</v>
      </c>
      <c r="AE38" t="n">
        <v>108.002157477704</v>
      </c>
      <c r="AF38" t="n">
        <v>110.234097105562</v>
      </c>
    </row>
    <row r="39">
      <c r="A39" t="s">
        <v>182</v>
      </c>
      <c r="B39" t="s">
        <v>283</v>
      </c>
      <c r="C39" t="s">
        <v>183</v>
      </c>
      <c r="D39" t="s">
        <v>284</v>
      </c>
      <c r="E39" t="s">
        <v>14</v>
      </c>
      <c r="F39" t="n">
        <v>130.737663960874</v>
      </c>
      <c r="G39" t="n">
        <v>125.589972662281</v>
      </c>
      <c r="H39" t="n">
        <v>121.837431028603</v>
      </c>
      <c r="I39" t="n">
        <v>126.418540705164</v>
      </c>
      <c r="J39" t="n">
        <v>121.533982308028</v>
      </c>
      <c r="K39" t="n">
        <v>121.342293320084</v>
      </c>
      <c r="L39" t="n">
        <v>113.54263289162</v>
      </c>
      <c r="M39" t="n">
        <v>113.155501015979</v>
      </c>
      <c r="N39" t="n">
        <v>110.715100387445</v>
      </c>
      <c r="O39" t="n">
        <v>107.786591239231</v>
      </c>
      <c r="P39" t="n">
        <v>108.427515557853</v>
      </c>
      <c r="Q39" t="n">
        <v>109.625081663003</v>
      </c>
      <c r="R39" t="n">
        <v>111.071417776671</v>
      </c>
      <c r="S39" t="n">
        <v>113.013108502728</v>
      </c>
      <c r="T39" t="n">
        <v>109.415815099421</v>
      </c>
      <c r="U39" t="n">
        <v>108.425202262704</v>
      </c>
      <c r="V39" t="n">
        <v>107.699691667689</v>
      </c>
      <c r="W39" t="n">
        <v>108.447558221544</v>
      </c>
      <c r="X39" t="n">
        <v>102.645689893962</v>
      </c>
      <c r="Y39" t="n">
        <v>97.8638419335965</v>
      </c>
      <c r="Z39" t="n">
        <v>100</v>
      </c>
      <c r="AA39" t="n">
        <v>102.723541168848</v>
      </c>
      <c r="AB39" t="n">
        <v>104.468946236757</v>
      </c>
      <c r="AC39" t="n">
        <v>102.925310335245</v>
      </c>
      <c r="AD39" t="n">
        <v>101.017185079042</v>
      </c>
      <c r="AE39" t="n">
        <v>100.897990950527</v>
      </c>
      <c r="AF39" t="n">
        <v>101.793881622752</v>
      </c>
    </row>
    <row r="40">
      <c r="A40" t="s">
        <v>184</v>
      </c>
      <c r="B40" t="s">
        <v>283</v>
      </c>
      <c r="C40" t="s">
        <v>185</v>
      </c>
      <c r="D40" t="s">
        <v>284</v>
      </c>
      <c r="E40" t="s">
        <v>14</v>
      </c>
      <c r="F40" t="n">
        <v>76.6476475601137</v>
      </c>
      <c r="G40" t="n">
        <v>75.5065041702363</v>
      </c>
      <c r="H40" t="n">
        <v>74.9245880689258</v>
      </c>
      <c r="I40" t="n">
        <v>79.6902725189594</v>
      </c>
      <c r="J40" t="n">
        <v>77.7272859367523</v>
      </c>
      <c r="K40" t="n">
        <v>80.1810235547618</v>
      </c>
      <c r="L40" t="n">
        <v>77.4682424007041</v>
      </c>
      <c r="M40" t="n">
        <v>80.2451978866565</v>
      </c>
      <c r="N40" t="n">
        <v>80.483476545212</v>
      </c>
      <c r="O40" t="n">
        <v>82.8778543604234</v>
      </c>
      <c r="P40" t="n">
        <v>84.6515878900795</v>
      </c>
      <c r="Q40" t="n">
        <v>90.3006406283109</v>
      </c>
      <c r="R40" t="n">
        <v>94.4822736947791</v>
      </c>
      <c r="S40" t="n">
        <v>100.352372474257</v>
      </c>
      <c r="T40" t="n">
        <v>101.072084668491</v>
      </c>
      <c r="U40" t="n">
        <v>100.106725726418</v>
      </c>
      <c r="V40" t="n">
        <v>97.9700972494701</v>
      </c>
      <c r="W40" t="n">
        <v>103.539861119162</v>
      </c>
      <c r="X40" t="n">
        <v>99.4399607500584</v>
      </c>
      <c r="Y40" t="n">
        <v>95.8952575790931</v>
      </c>
      <c r="Z40" t="n">
        <v>100</v>
      </c>
      <c r="AA40" t="n">
        <v>102.601845347275</v>
      </c>
      <c r="AB40" t="n">
        <v>110.017707688446</v>
      </c>
      <c r="AC40" t="n">
        <v>111.468678713637</v>
      </c>
      <c r="AD40" t="n">
        <v>109.958452925369</v>
      </c>
      <c r="AE40" t="n">
        <v>111.019630188792</v>
      </c>
      <c r="AF40" t="n">
        <v>113.988817255035</v>
      </c>
    </row>
    <row r="41">
      <c r="A41" t="s">
        <v>186</v>
      </c>
      <c r="B41" t="s">
        <v>283</v>
      </c>
      <c r="C41" t="s">
        <v>187</v>
      </c>
      <c r="D41" t="s">
        <v>284</v>
      </c>
      <c r="E41" t="s">
        <v>14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283</v>
      </c>
      <c r="C42" t="s">
        <v>189</v>
      </c>
      <c r="D42" t="s">
        <v>284</v>
      </c>
      <c r="E42" t="s">
        <v>14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283</v>
      </c>
      <c r="C43" t="s">
        <v>191</v>
      </c>
      <c r="D43" t="s">
        <v>284</v>
      </c>
      <c r="E43" t="s">
        <v>14</v>
      </c>
      <c r="F43" t="n">
        <v>63.1298958567186</v>
      </c>
      <c r="G43" t="n">
        <v>63.7829516089807</v>
      </c>
      <c r="H43" t="n">
        <v>65.9648825932586</v>
      </c>
      <c r="I43" t="n">
        <v>66.768135703392</v>
      </c>
      <c r="J43" t="n">
        <v>66.718478981</v>
      </c>
      <c r="K43" t="n">
        <v>69.6995295129399</v>
      </c>
      <c r="L43" t="n">
        <v>71.3370379630174</v>
      </c>
      <c r="M43" t="n">
        <v>72.09552296308</v>
      </c>
      <c r="N43" t="n">
        <v>76.8773409645438</v>
      </c>
      <c r="O43" t="n">
        <v>82.4192405536114</v>
      </c>
      <c r="P43" t="n">
        <v>85.7227419588915</v>
      </c>
      <c r="Q43" t="n">
        <v>90.0966355160421</v>
      </c>
      <c r="R43" t="n">
        <v>90.0447139862143</v>
      </c>
      <c r="S43" t="n">
        <v>90.1809654902778</v>
      </c>
      <c r="T43" t="n">
        <v>84.9026505339964</v>
      </c>
      <c r="U43" t="n">
        <v>84.5567403386238</v>
      </c>
      <c r="V43" t="n">
        <v>86.5078725320553</v>
      </c>
      <c r="W43" t="n">
        <v>96.2751090168672</v>
      </c>
      <c r="X43" t="n">
        <v>96.436623673208</v>
      </c>
      <c r="Y43" t="n">
        <v>97.4028764576163</v>
      </c>
      <c r="Z43" t="n">
        <v>100</v>
      </c>
      <c r="AA43" t="n">
        <v>102.360452269635</v>
      </c>
      <c r="AB43" t="n">
        <v>104.726980777237</v>
      </c>
      <c r="AC43" t="n">
        <v>106.00351658327</v>
      </c>
      <c r="AD43" t="n">
        <v>105.568537123474</v>
      </c>
      <c r="AE43" t="n">
        <v>98.8845065066421</v>
      </c>
      <c r="AF43" t="n">
        <v>103.665219722961</v>
      </c>
    </row>
    <row r="44">
      <c r="A44" t="s">
        <v>192</v>
      </c>
      <c r="B44" t="s">
        <v>283</v>
      </c>
      <c r="C44" t="s">
        <v>193</v>
      </c>
      <c r="D44" t="s">
        <v>284</v>
      </c>
      <c r="E44" t="s">
        <v>14</v>
      </c>
      <c r="F44" t="n">
        <v>108.058096776486</v>
      </c>
      <c r="G44" t="n">
        <v>108.436370103255</v>
      </c>
      <c r="H44" t="n">
        <v>107.450826243973</v>
      </c>
      <c r="I44" t="n">
        <v>105.759340272861</v>
      </c>
      <c r="J44" t="n">
        <v>105.107976694867</v>
      </c>
      <c r="K44" t="n">
        <v>106.669307862114</v>
      </c>
      <c r="L44" t="n">
        <v>104.341261490401</v>
      </c>
      <c r="M44" t="n">
        <v>102.138626055564</v>
      </c>
      <c r="N44" t="n">
        <v>102.468873089814</v>
      </c>
      <c r="O44" t="n">
        <v>104.123689733658</v>
      </c>
      <c r="P44" t="n">
        <v>104.04213740163</v>
      </c>
      <c r="Q44" t="n">
        <v>106.314438567045</v>
      </c>
      <c r="R44" t="n">
        <v>106.177014976741</v>
      </c>
      <c r="S44" t="n">
        <v>104.340490027217</v>
      </c>
      <c r="T44" t="n">
        <v>99.2849706449483</v>
      </c>
      <c r="U44" t="n">
        <v>100.573742388506</v>
      </c>
      <c r="V44" t="n">
        <v>99.9720444085115</v>
      </c>
      <c r="W44" t="n">
        <v>100.882235748307</v>
      </c>
      <c r="X44" t="n">
        <v>99.2426232721205</v>
      </c>
      <c r="Y44" t="n">
        <v>99.5214384133379</v>
      </c>
      <c r="Z44" t="n">
        <v>100</v>
      </c>
      <c r="AA44" t="n">
        <v>100.667168376623</v>
      </c>
      <c r="AB44" t="n">
        <v>101.982327264231</v>
      </c>
      <c r="AC44" t="n">
        <v>101.249634620407</v>
      </c>
      <c r="AD44" t="n">
        <v>99.3435494344553</v>
      </c>
      <c r="AE44" t="n">
        <v>92.9687084891034</v>
      </c>
      <c r="AF44" t="n">
        <v>94.1032574017897</v>
      </c>
    </row>
    <row r="45">
      <c r="A45" t="s">
        <v>194</v>
      </c>
      <c r="B45" t="s">
        <v>283</v>
      </c>
      <c r="C45" t="s">
        <v>195</v>
      </c>
      <c r="D45" t="s">
        <v>284</v>
      </c>
      <c r="E45" t="s">
        <v>14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283</v>
      </c>
      <c r="C46" t="s">
        <v>197</v>
      </c>
      <c r="D46" t="s">
        <v>284</v>
      </c>
      <c r="E46" t="s">
        <v>14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283</v>
      </c>
      <c r="C47" t="s">
        <v>199</v>
      </c>
      <c r="D47" t="s">
        <v>284</v>
      </c>
      <c r="E47" t="s">
        <v>14</v>
      </c>
      <c r="F47" t="n">
        <v>99.8210977455379</v>
      </c>
      <c r="G47" t="n">
        <v>94.8530490728296</v>
      </c>
      <c r="H47" t="n">
        <v>94.3965566232508</v>
      </c>
      <c r="I47" t="n">
        <v>96.9159062424816</v>
      </c>
      <c r="J47" t="n">
        <v>96.366515410436</v>
      </c>
      <c r="K47" t="n">
        <v>100.139478127366</v>
      </c>
      <c r="L47" t="n">
        <v>96.6043525226793</v>
      </c>
      <c r="M47" t="n">
        <v>99.945100940762</v>
      </c>
      <c r="N47" t="n">
        <v>105.894426480844</v>
      </c>
      <c r="O47" t="n">
        <v>110.050530824706</v>
      </c>
      <c r="P47" t="n">
        <v>108.152683950656</v>
      </c>
      <c r="Q47" t="n">
        <v>107.715018033643</v>
      </c>
      <c r="R47" t="n">
        <v>107.608646692417</v>
      </c>
      <c r="S47" t="n">
        <v>103.759613948879</v>
      </c>
      <c r="T47" t="n">
        <v>103.943450803381</v>
      </c>
      <c r="U47" t="n">
        <v>102.169787973686</v>
      </c>
      <c r="V47" t="n">
        <v>101.826841219448</v>
      </c>
      <c r="W47" t="n">
        <v>102.718151742252</v>
      </c>
      <c r="X47" t="n">
        <v>101.589788980695</v>
      </c>
      <c r="Y47" t="n">
        <v>101.531185423571</v>
      </c>
      <c r="Z47" t="n">
        <v>100</v>
      </c>
      <c r="AA47" t="n">
        <v>98.6864743573544</v>
      </c>
      <c r="AB47" t="n">
        <v>100.471824892818</v>
      </c>
      <c r="AC47" t="n">
        <v>97.8673286658694</v>
      </c>
      <c r="AD47" t="n">
        <v>101.448667935934</v>
      </c>
      <c r="AE47" t="n">
        <v>100.359755751241</v>
      </c>
      <c r="AF47" t="n">
        <v>100.256714589988</v>
      </c>
    </row>
    <row r="48">
      <c r="A48" t="s">
        <v>200</v>
      </c>
      <c r="B48" t="s">
        <v>283</v>
      </c>
      <c r="C48" t="s">
        <v>201</v>
      </c>
      <c r="D48" t="s">
        <v>284</v>
      </c>
      <c r="E48" t="s">
        <v>14</v>
      </c>
      <c r="F48" t="n">
        <v>63.2404820486954</v>
      </c>
      <c r="G48" t="n">
        <v>63.0431282145312</v>
      </c>
      <c r="H48" t="n">
        <v>64.8930490998996</v>
      </c>
      <c r="I48" t="n">
        <v>67.5134381138296</v>
      </c>
      <c r="J48" t="n">
        <v>68.2578518523975</v>
      </c>
      <c r="K48" t="n">
        <v>70.733048923443</v>
      </c>
      <c r="L48" t="n">
        <v>70.7088872807904</v>
      </c>
      <c r="M48" t="n">
        <v>72.9052364956908</v>
      </c>
      <c r="N48" t="n">
        <v>78.0792805914917</v>
      </c>
      <c r="O48" t="n">
        <v>83.1043523499793</v>
      </c>
      <c r="P48" t="n">
        <v>84.6773154409417</v>
      </c>
      <c r="Q48" t="n">
        <v>87.4862985483541</v>
      </c>
      <c r="R48" t="n">
        <v>86.656340554175</v>
      </c>
      <c r="S48" t="n">
        <v>86.6571047249851</v>
      </c>
      <c r="T48" t="n">
        <v>89.5175051750038</v>
      </c>
      <c r="U48" t="n">
        <v>91.9567563069791</v>
      </c>
      <c r="V48" t="n">
        <v>93.4901094611327</v>
      </c>
      <c r="W48" t="n">
        <v>95.7864032202937</v>
      </c>
      <c r="X48" t="n">
        <v>96.7808141540542</v>
      </c>
      <c r="Y48" t="n">
        <v>98.2456446383915</v>
      </c>
      <c r="Z48" t="n">
        <v>100</v>
      </c>
      <c r="AA48" t="n">
        <v>101.385719566665</v>
      </c>
      <c r="AB48" t="n">
        <v>104.352037743432</v>
      </c>
      <c r="AC48" t="n">
        <v>103.772800404644</v>
      </c>
      <c r="AD48" t="n">
        <v>104.808803958479</v>
      </c>
      <c r="AE48" t="n">
        <v>101.137859056027</v>
      </c>
      <c r="AF48" t="n">
        <v>103.303118678165</v>
      </c>
    </row>
    <row r="49">
      <c r="A49" t="s">
        <v>202</v>
      </c>
      <c r="B49" t="s">
        <v>283</v>
      </c>
      <c r="C49" t="s">
        <v>203</v>
      </c>
      <c r="D49" t="s">
        <v>284</v>
      </c>
      <c r="E49" t="s">
        <v>14</v>
      </c>
      <c r="F49" t="n">
        <v>80.079317497744</v>
      </c>
      <c r="G49" t="n">
        <v>78.6837793458618</v>
      </c>
      <c r="H49" t="n">
        <v>81.2176071987607</v>
      </c>
      <c r="I49" t="n">
        <v>84.2622708184677</v>
      </c>
      <c r="J49" t="n">
        <v>83.976050935122</v>
      </c>
      <c r="K49" t="n">
        <v>83.3912671302809</v>
      </c>
      <c r="L49" t="n">
        <v>81.7969526348116</v>
      </c>
      <c r="M49" t="n">
        <v>81.3142044644215</v>
      </c>
      <c r="N49" t="n">
        <v>86.5961404371163</v>
      </c>
      <c r="O49" t="n">
        <v>91.9853332340235</v>
      </c>
      <c r="P49" t="n">
        <v>93.2261409172418</v>
      </c>
      <c r="Q49" t="n">
        <v>94.9571263585474</v>
      </c>
      <c r="R49" t="n">
        <v>92.6409075055569</v>
      </c>
      <c r="S49" t="n">
        <v>94.0265936577812</v>
      </c>
      <c r="T49" t="n">
        <v>97.3152416608718</v>
      </c>
      <c r="U49" t="n">
        <v>99.600374747124</v>
      </c>
      <c r="V49" t="n">
        <v>99.8592758646639</v>
      </c>
      <c r="W49" t="n">
        <v>98.4738370781317</v>
      </c>
      <c r="X49" t="n">
        <v>96.0095382948699</v>
      </c>
      <c r="Y49" t="n">
        <v>97.217262369988</v>
      </c>
      <c r="Z49" t="n">
        <v>100</v>
      </c>
      <c r="AA49" t="n">
        <v>101.569159933262</v>
      </c>
      <c r="AB49" t="n">
        <v>103.515907370005</v>
      </c>
      <c r="AC49" t="n">
        <v>103.023405290082</v>
      </c>
      <c r="AD49" t="n">
        <v>101.11824981918</v>
      </c>
      <c r="AE49" t="n">
        <v>96.7596384968507</v>
      </c>
      <c r="AF49" t="n">
        <v>98.8545905392018</v>
      </c>
    </row>
    <row r="50">
      <c r="A50" t="s">
        <v>204</v>
      </c>
      <c r="B50" t="s">
        <v>283</v>
      </c>
      <c r="C50" t="s">
        <v>205</v>
      </c>
      <c r="D50" t="s">
        <v>284</v>
      </c>
      <c r="E50" t="s">
        <v>14</v>
      </c>
      <c r="F50" t="n">
        <v>43.2396322716953</v>
      </c>
      <c r="G50" t="n">
        <v>45.3285024258172</v>
      </c>
      <c r="H50" t="n">
        <v>47.7575195311445</v>
      </c>
      <c r="I50" t="n">
        <v>50.4098067143421</v>
      </c>
      <c r="J50" t="n">
        <v>52.0035173242203</v>
      </c>
      <c r="K50" t="n">
        <v>55.245857307874</v>
      </c>
      <c r="L50" t="n">
        <v>56.9768380679109</v>
      </c>
      <c r="M50" t="n">
        <v>59.8016890182603</v>
      </c>
      <c r="N50" t="n">
        <v>64.467900935299</v>
      </c>
      <c r="O50" t="n">
        <v>69.6373423583496</v>
      </c>
      <c r="P50" t="n">
        <v>72.8474160238179</v>
      </c>
      <c r="Q50" t="n">
        <v>77.3433795374386</v>
      </c>
      <c r="R50" t="n">
        <v>76.7060912833997</v>
      </c>
      <c r="S50" t="n">
        <v>77.5614207066624</v>
      </c>
      <c r="T50" t="n">
        <v>81.2246843769246</v>
      </c>
      <c r="U50" t="n">
        <v>85.3393407478449</v>
      </c>
      <c r="V50" t="n">
        <v>87.8959603412405</v>
      </c>
      <c r="W50" t="n">
        <v>92.2249247322432</v>
      </c>
      <c r="X50" t="n">
        <v>95.2268640304586</v>
      </c>
      <c r="Y50" t="n">
        <v>97.2702271376621</v>
      </c>
      <c r="Z50" t="n">
        <v>100</v>
      </c>
      <c r="AA50" t="n">
        <v>102.286038073057</v>
      </c>
      <c r="AB50" t="n">
        <v>106.060047272569</v>
      </c>
      <c r="AC50" t="n">
        <v>106.096913347545</v>
      </c>
      <c r="AD50" t="n">
        <v>107.185585574967</v>
      </c>
      <c r="AE50" t="n">
        <v>102.457391330684</v>
      </c>
      <c r="AF50" t="n">
        <v>105.587238902365</v>
      </c>
    </row>
    <row r="51">
      <c r="A51" t="s">
        <v>206</v>
      </c>
      <c r="B51" t="s">
        <v>283</v>
      </c>
      <c r="C51" t="s">
        <v>207</v>
      </c>
      <c r="D51" t="s">
        <v>284</v>
      </c>
      <c r="E51" t="s">
        <v>14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283</v>
      </c>
      <c r="C52" t="s">
        <v>209</v>
      </c>
      <c r="D52" t="s">
        <v>284</v>
      </c>
      <c r="E52" t="s">
        <v>14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283</v>
      </c>
      <c r="C53" t="s">
        <v>211</v>
      </c>
      <c r="D53" t="s">
        <v>284</v>
      </c>
      <c r="E53" t="s">
        <v>14</v>
      </c>
      <c r="F53" t="n">
        <v>120.946142136502</v>
      </c>
      <c r="G53" t="n">
        <v>124.641718914294</v>
      </c>
      <c r="H53" t="n">
        <v>118.395913317636</v>
      </c>
      <c r="I53" t="n">
        <v>112.483157543408</v>
      </c>
      <c r="J53" t="n">
        <v>110.478078577932</v>
      </c>
      <c r="K53" t="n">
        <v>110.886104705485</v>
      </c>
      <c r="L53" t="n">
        <v>107.889583633033</v>
      </c>
      <c r="M53" t="n">
        <v>110.13583571756</v>
      </c>
      <c r="N53" t="n">
        <v>109.701741943252</v>
      </c>
      <c r="O53" t="n">
        <v>111.668894244494</v>
      </c>
      <c r="P53" t="n">
        <v>105.796130081793</v>
      </c>
      <c r="Q53" t="n">
        <v>108.650671903912</v>
      </c>
      <c r="R53" t="n">
        <v>104.09861365842</v>
      </c>
      <c r="S53" t="n">
        <v>105.551794747759</v>
      </c>
      <c r="T53" t="n">
        <v>108.481499102501</v>
      </c>
      <c r="U53" t="n">
        <v>109.308820604971</v>
      </c>
      <c r="V53" t="n">
        <v>105.78270912881</v>
      </c>
      <c r="W53" t="n">
        <v>105.968858029913</v>
      </c>
      <c r="X53" t="n">
        <v>102.160181122666</v>
      </c>
      <c r="Y53" t="n">
        <v>101.061742810894</v>
      </c>
      <c r="Z53" t="n">
        <v>100</v>
      </c>
      <c r="AA53" t="n">
        <v>102.963658983631</v>
      </c>
      <c r="AB53" t="n">
        <v>107.439955689403</v>
      </c>
      <c r="AC53" t="n">
        <v>108.8974629933</v>
      </c>
      <c r="AD53" t="n">
        <v>108.848789168697</v>
      </c>
      <c r="AE53" t="n">
        <v>99.9358086643911</v>
      </c>
      <c r="AF53" t="n">
        <v>99.5897898919728</v>
      </c>
    </row>
    <row r="54">
      <c r="A54" t="s">
        <v>212</v>
      </c>
      <c r="B54" t="s">
        <v>283</v>
      </c>
      <c r="C54" t="s">
        <v>213</v>
      </c>
      <c r="D54" t="s">
        <v>284</v>
      </c>
      <c r="E54" t="s">
        <v>14</v>
      </c>
      <c r="F54" t="n">
        <v>107.107460593176</v>
      </c>
      <c r="G54" t="n">
        <v>106.584609080547</v>
      </c>
      <c r="H54" t="n">
        <v>103.025543135699</v>
      </c>
      <c r="I54" t="n">
        <v>100.66549216396</v>
      </c>
      <c r="J54" t="n">
        <v>97.572091539169</v>
      </c>
      <c r="K54" t="n">
        <v>100.223544866705</v>
      </c>
      <c r="L54" t="n">
        <v>101.232263136283</v>
      </c>
      <c r="M54" t="n">
        <v>101.994425977306</v>
      </c>
      <c r="N54" t="n">
        <v>102.218456673582</v>
      </c>
      <c r="O54" t="n">
        <v>105.077537897864</v>
      </c>
      <c r="P54" t="n">
        <v>105.412303968962</v>
      </c>
      <c r="Q54" t="n">
        <v>111.691319162591</v>
      </c>
      <c r="R54" t="n">
        <v>106.899307336464</v>
      </c>
      <c r="S54" t="n">
        <v>106.096695599973</v>
      </c>
      <c r="T54" t="n">
        <v>106.156138136686</v>
      </c>
      <c r="U54" t="n">
        <v>107.906619952903</v>
      </c>
      <c r="V54" t="n">
        <v>106.041087119063</v>
      </c>
      <c r="W54" t="n">
        <v>106.035774536925</v>
      </c>
      <c r="X54" t="n">
        <v>103.3193354159</v>
      </c>
      <c r="Y54" t="n">
        <v>101.860541938499</v>
      </c>
      <c r="Z54" t="n">
        <v>100</v>
      </c>
      <c r="AA54" t="n">
        <v>99.3987149991535</v>
      </c>
      <c r="AB54" t="n">
        <v>101.81586913275</v>
      </c>
      <c r="AC54" t="n">
        <v>102.587817527293</v>
      </c>
      <c r="AD54" t="n">
        <v>102.871257451606</v>
      </c>
      <c r="AE54" t="n">
        <v>95.8874428150458</v>
      </c>
      <c r="AF54" t="n">
        <v>96.0741318962985</v>
      </c>
    </row>
    <row r="55">
      <c r="A55" t="s">
        <v>214</v>
      </c>
      <c r="B55" t="s">
        <v>283</v>
      </c>
      <c r="C55" t="s">
        <v>215</v>
      </c>
      <c r="D55" t="s">
        <v>284</v>
      </c>
      <c r="E55" t="s">
        <v>14</v>
      </c>
      <c r="F55" t="n">
        <v>103.588724218156</v>
      </c>
      <c r="G55" t="n">
        <v>101.995259640849</v>
      </c>
      <c r="H55" t="n">
        <v>99.0844703871401</v>
      </c>
      <c r="I55" t="n">
        <v>97.7270426689332</v>
      </c>
      <c r="J55" t="n">
        <v>94.2893714399392</v>
      </c>
      <c r="K55" t="n">
        <v>97.5619910572106</v>
      </c>
      <c r="L55" t="n">
        <v>99.5982804144215</v>
      </c>
      <c r="M55" t="n">
        <v>99.9895640687644</v>
      </c>
      <c r="N55" t="n">
        <v>100.309933068091</v>
      </c>
      <c r="O55" t="n">
        <v>103.443967409519</v>
      </c>
      <c r="P55" t="n">
        <v>105.486017019459</v>
      </c>
      <c r="Q55" t="n">
        <v>112.685871323904</v>
      </c>
      <c r="R55" t="n">
        <v>107.753104746314</v>
      </c>
      <c r="S55" t="n">
        <v>106.421220247981</v>
      </c>
      <c r="T55" t="n">
        <v>105.63741230889</v>
      </c>
      <c r="U55" t="n">
        <v>107.66789905155</v>
      </c>
      <c r="V55" t="n">
        <v>106.186915241088</v>
      </c>
      <c r="W55" t="n">
        <v>106.07485510965</v>
      </c>
      <c r="X55" t="n">
        <v>103.633569059654</v>
      </c>
      <c r="Y55" t="n">
        <v>102.021829513219</v>
      </c>
      <c r="Z55" t="n">
        <v>100</v>
      </c>
      <c r="AA55" t="n">
        <v>98.3870432978488</v>
      </c>
      <c r="AB55" t="n">
        <v>100.285959008565</v>
      </c>
      <c r="AC55" t="n">
        <v>100.850644418999</v>
      </c>
      <c r="AD55" t="n">
        <v>101.228075191869</v>
      </c>
      <c r="AE55" t="n">
        <v>94.698522100807</v>
      </c>
      <c r="AF55" t="n">
        <v>95.08589156333</v>
      </c>
    </row>
    <row r="56">
      <c r="A56" t="s">
        <v>216</v>
      </c>
      <c r="B56" t="s">
        <v>283</v>
      </c>
      <c r="C56" t="s">
        <v>217</v>
      </c>
      <c r="D56" t="s">
        <v>284</v>
      </c>
      <c r="E56" t="s">
        <v>14</v>
      </c>
      <c r="F56" t="n">
        <v>127.737593530422</v>
      </c>
      <c r="G56" t="n">
        <v>126.193837612648</v>
      </c>
      <c r="H56" t="n">
        <v>125.335511229302</v>
      </c>
      <c r="I56" t="n">
        <v>124.752219944725</v>
      </c>
      <c r="J56" t="n">
        <v>121.527435435029</v>
      </c>
      <c r="K56" t="n">
        <v>119.750579180993</v>
      </c>
      <c r="L56" t="n">
        <v>117.080955564597</v>
      </c>
      <c r="M56" t="n">
        <v>108.31290111676</v>
      </c>
      <c r="N56" t="n">
        <v>104.015884410057</v>
      </c>
      <c r="O56" t="n">
        <v>98.6738193371596</v>
      </c>
      <c r="P56" t="n">
        <v>101.159905416057</v>
      </c>
      <c r="Q56" t="n">
        <v>103.590878839914</v>
      </c>
      <c r="R56" t="n">
        <v>98.8719368955867</v>
      </c>
      <c r="S56" t="n">
        <v>95.8620666489651</v>
      </c>
      <c r="T56" t="n">
        <v>95.9013522688568</v>
      </c>
      <c r="U56" t="n">
        <v>99.4318016324157</v>
      </c>
      <c r="V56" t="n">
        <v>99.8527159623439</v>
      </c>
      <c r="W56" t="n">
        <v>100.342614138582</v>
      </c>
      <c r="X56" t="n">
        <v>103.311272078158</v>
      </c>
      <c r="Y56" t="n">
        <v>107.1687221862</v>
      </c>
      <c r="Z56" t="n">
        <v>100</v>
      </c>
      <c r="AA56" t="n">
        <v>93.0496508008714</v>
      </c>
      <c r="AB56" t="n">
        <v>93.6832855050621</v>
      </c>
      <c r="AC56" t="n">
        <v>93.4825815957727</v>
      </c>
      <c r="AD56" t="n">
        <v>91.4281627983798</v>
      </c>
      <c r="AE56" t="n">
        <v>85.3693536181595</v>
      </c>
      <c r="AF56" t="n">
        <v>86.6348954534253</v>
      </c>
    </row>
    <row r="57">
      <c r="A57" t="s">
        <v>218</v>
      </c>
      <c r="B57" t="s">
        <v>283</v>
      </c>
      <c r="C57" t="s">
        <v>219</v>
      </c>
      <c r="D57" t="s">
        <v>284</v>
      </c>
      <c r="E57" t="s">
        <v>14</v>
      </c>
      <c r="F57" t="n">
        <v>96.9587926087078</v>
      </c>
      <c r="G57" t="n">
        <v>97.2614749257997</v>
      </c>
      <c r="H57" t="n">
        <v>96.9363234678842</v>
      </c>
      <c r="I57" t="n">
        <v>96.3220498328862</v>
      </c>
      <c r="J57" t="n">
        <v>96.0672415200797</v>
      </c>
      <c r="K57" t="n">
        <v>97.9254348128912</v>
      </c>
      <c r="L57" t="n">
        <v>96.1766519834245</v>
      </c>
      <c r="M57" t="n">
        <v>94.9952296774985</v>
      </c>
      <c r="N57" t="n">
        <v>96.3835520815347</v>
      </c>
      <c r="O57" t="n">
        <v>98.8624268041353</v>
      </c>
      <c r="P57" t="n">
        <v>99.1697450917309</v>
      </c>
      <c r="Q57" t="n">
        <v>101.629023580971</v>
      </c>
      <c r="R57" t="n">
        <v>101.54406268781</v>
      </c>
      <c r="S57" t="n">
        <v>100.247548367462</v>
      </c>
      <c r="T57" t="n">
        <v>96.985088835795</v>
      </c>
      <c r="U57" t="n">
        <v>98.4849720117594</v>
      </c>
      <c r="V57" t="n">
        <v>98.3111824024943</v>
      </c>
      <c r="W57" t="n">
        <v>99.655632537382</v>
      </c>
      <c r="X57" t="n">
        <v>98.5819885538216</v>
      </c>
      <c r="Y57" t="n">
        <v>99.1024034293099</v>
      </c>
      <c r="Z57" t="n">
        <v>100</v>
      </c>
      <c r="AA57" t="n">
        <v>100.919093322036</v>
      </c>
      <c r="AB57" t="n">
        <v>102.747911966065</v>
      </c>
      <c r="AC57" t="n">
        <v>102.101963330869</v>
      </c>
      <c r="AD57" t="n">
        <v>100.803142513721</v>
      </c>
      <c r="AE57" t="n">
        <v>94.9576293515855</v>
      </c>
      <c r="AF57" t="n">
        <v>96.3779549185109</v>
      </c>
    </row>
    <row r="58">
      <c r="A58" t="s">
        <v>220</v>
      </c>
      <c r="B58" t="s">
        <v>283</v>
      </c>
      <c r="C58" t="s">
        <v>221</v>
      </c>
      <c r="D58" t="s">
        <v>284</v>
      </c>
      <c r="E58" t="s">
        <v>14</v>
      </c>
      <c r="F58" t="n">
        <v>96.9528695242359</v>
      </c>
      <c r="G58" t="n">
        <v>97.2558700057766</v>
      </c>
      <c r="H58" t="n">
        <v>96.9308632330988</v>
      </c>
      <c r="I58" t="n">
        <v>96.3166773389965</v>
      </c>
      <c r="J58" t="n">
        <v>96.0624637762249</v>
      </c>
      <c r="K58" t="n">
        <v>97.921355542948</v>
      </c>
      <c r="L58" t="n">
        <v>96.1728268663022</v>
      </c>
      <c r="M58" t="n">
        <v>94.9927742618687</v>
      </c>
      <c r="N58" t="n">
        <v>96.3821578791199</v>
      </c>
      <c r="O58" t="n">
        <v>98.8624120629113</v>
      </c>
      <c r="P58" t="n">
        <v>99.1694397164821</v>
      </c>
      <c r="Q58" t="n">
        <v>101.628756047804</v>
      </c>
      <c r="R58" t="n">
        <v>101.544625856193</v>
      </c>
      <c r="S58" t="n">
        <v>100.248420054587</v>
      </c>
      <c r="T58" t="n">
        <v>96.9854233663684</v>
      </c>
      <c r="U58" t="n">
        <v>98.4849969501135</v>
      </c>
      <c r="V58" t="n">
        <v>98.3110778456085</v>
      </c>
      <c r="W58" t="n">
        <v>99.6556411493255</v>
      </c>
      <c r="X58" t="n">
        <v>98.5813050571883</v>
      </c>
      <c r="Y58" t="n">
        <v>99.10112868575</v>
      </c>
      <c r="Z58" t="n">
        <v>100</v>
      </c>
      <c r="AA58" t="n">
        <v>100.9203597737</v>
      </c>
      <c r="AB58" t="n">
        <v>102.749338477057</v>
      </c>
      <c r="AC58" t="n">
        <v>102.103281915299</v>
      </c>
      <c r="AD58" t="n">
        <v>100.804548450138</v>
      </c>
      <c r="AE58" t="n">
        <v>94.9590958091679</v>
      </c>
      <c r="AF58" t="n">
        <v>96.3794135401964</v>
      </c>
    </row>
    <row r="59">
      <c r="A59" t="s">
        <v>222</v>
      </c>
      <c r="B59" t="s">
        <v>283</v>
      </c>
      <c r="C59" t="s">
        <v>223</v>
      </c>
      <c r="D59" t="s">
        <v>284</v>
      </c>
      <c r="E59" t="s">
        <v>14</v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100</v>
      </c>
      <c r="M59" t="n">
        <v>100</v>
      </c>
      <c r="N59" t="n">
        <v>100</v>
      </c>
      <c r="O59" t="n">
        <v>100</v>
      </c>
      <c r="P59" t="n">
        <v>100</v>
      </c>
      <c r="Q59" t="n">
        <v>100</v>
      </c>
      <c r="R59" t="n">
        <v>100</v>
      </c>
      <c r="S59" t="n">
        <v>100</v>
      </c>
      <c r="T59" t="n">
        <v>100</v>
      </c>
      <c r="U59" t="n">
        <v>100</v>
      </c>
      <c r="V59" t="n">
        <v>100</v>
      </c>
      <c r="W59" t="n">
        <v>100</v>
      </c>
      <c r="X59" t="n">
        <v>100</v>
      </c>
      <c r="Y59" t="n">
        <v>100</v>
      </c>
      <c r="Z59" t="n">
        <v>100</v>
      </c>
      <c r="AA59" t="n">
        <v>100</v>
      </c>
      <c r="AB59" t="n">
        <v>100</v>
      </c>
      <c r="AC59" t="n">
        <v>100</v>
      </c>
      <c r="AD59" t="n">
        <v>100</v>
      </c>
      <c r="AE59" t="n">
        <v>100</v>
      </c>
      <c r="AF5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283</v>
      </c>
      <c r="C2" t="s">
        <v>108</v>
      </c>
      <c r="D2" t="s">
        <v>284</v>
      </c>
      <c r="E2" t="s">
        <v>16</v>
      </c>
      <c r="F2" t="n">
        <v>212.963662601408</v>
      </c>
      <c r="G2" t="n">
        <v>206.871051310118</v>
      </c>
      <c r="H2" t="n">
        <v>201.435255719509</v>
      </c>
      <c r="I2" t="n">
        <v>196.707505058726</v>
      </c>
      <c r="J2" t="n">
        <v>191.492979974847</v>
      </c>
      <c r="K2" t="n">
        <v>184.141431860442</v>
      </c>
      <c r="L2" t="n">
        <v>176.762365138076</v>
      </c>
      <c r="M2" t="n">
        <v>168.664580415308</v>
      </c>
      <c r="N2" t="n">
        <v>161.095122251321</v>
      </c>
      <c r="O2" t="n">
        <v>154.484232205291</v>
      </c>
      <c r="P2" t="n">
        <v>148.470972512569</v>
      </c>
      <c r="Q2" t="n">
        <v>140.41728147664</v>
      </c>
      <c r="R2" t="n">
        <v>132.998218322923</v>
      </c>
      <c r="S2" t="n">
        <v>126.68960814431</v>
      </c>
      <c r="T2" t="n">
        <v>120.440317512841</v>
      </c>
      <c r="U2" t="n">
        <v>115.326088014673</v>
      </c>
      <c r="V2" t="n">
        <v>110.170265438162</v>
      </c>
      <c r="W2" t="n">
        <v>106.761809156573</v>
      </c>
      <c r="X2" t="n">
        <v>104.81517307647</v>
      </c>
      <c r="Y2" t="n">
        <v>101.778420818795</v>
      </c>
      <c r="Z2" t="n">
        <v>100</v>
      </c>
      <c r="AA2" t="n">
        <v>97.0179849326958</v>
      </c>
      <c r="AB2" t="n">
        <v>98.0355371324152</v>
      </c>
      <c r="AC2" t="n">
        <v>96.2730854593318</v>
      </c>
      <c r="AD2" t="n">
        <v>93.7768480181751</v>
      </c>
      <c r="AE2" t="n">
        <v>91.7649556217639</v>
      </c>
      <c r="AF2"/>
    </row>
    <row r="3">
      <c r="A3" t="s">
        <v>110</v>
      </c>
      <c r="B3" t="s">
        <v>283</v>
      </c>
      <c r="C3" t="s">
        <v>111</v>
      </c>
      <c r="D3" t="s">
        <v>284</v>
      </c>
      <c r="E3" t="s">
        <v>16</v>
      </c>
      <c r="F3" t="n">
        <v>153.823250143778</v>
      </c>
      <c r="G3" t="n">
        <v>148.426792797987</v>
      </c>
      <c r="H3" t="n">
        <v>143.332903217985</v>
      </c>
      <c r="I3" t="n">
        <v>138.700501241251</v>
      </c>
      <c r="J3" t="n">
        <v>132.241557010071</v>
      </c>
      <c r="K3" t="n">
        <v>129.89137354699</v>
      </c>
      <c r="L3" t="n">
        <v>125.594641285253</v>
      </c>
      <c r="M3" t="n">
        <v>124.075581632328</v>
      </c>
      <c r="N3" t="n">
        <v>117.572717543398</v>
      </c>
      <c r="O3" t="n">
        <v>110.927445904877</v>
      </c>
      <c r="P3" t="n">
        <v>105.254464218118</v>
      </c>
      <c r="Q3" t="n">
        <v>101.622740542861</v>
      </c>
      <c r="R3" t="n">
        <v>101.315572391976</v>
      </c>
      <c r="S3" t="n">
        <v>102.247672815262</v>
      </c>
      <c r="T3" t="n">
        <v>100.299784184217</v>
      </c>
      <c r="U3" t="n">
        <v>96.8906354609838</v>
      </c>
      <c r="V3" t="n">
        <v>94.0226401377267</v>
      </c>
      <c r="W3" t="n">
        <v>92.5674740101966</v>
      </c>
      <c r="X3" t="n">
        <v>95.1369403706003</v>
      </c>
      <c r="Y3" t="n">
        <v>98.7969284322365</v>
      </c>
      <c r="Z3" t="n">
        <v>100</v>
      </c>
      <c r="AA3" t="n">
        <v>99.1028293172467</v>
      </c>
      <c r="AB3" t="n">
        <v>102.543739786884</v>
      </c>
      <c r="AC3" t="n">
        <v>99.1820637107882</v>
      </c>
      <c r="AD3" t="n">
        <v>95.1363128119462</v>
      </c>
      <c r="AE3" t="n">
        <v>90.1916602479104</v>
      </c>
      <c r="AF3"/>
    </row>
    <row r="4">
      <c r="A4" t="s">
        <v>112</v>
      </c>
      <c r="B4" t="s">
        <v>283</v>
      </c>
      <c r="C4" t="s">
        <v>113</v>
      </c>
      <c r="D4" t="s">
        <v>284</v>
      </c>
      <c r="E4" t="s">
        <v>16</v>
      </c>
      <c r="F4" t="n">
        <v>79.1963728644316</v>
      </c>
      <c r="G4" t="n">
        <v>81.8607017317756</v>
      </c>
      <c r="H4" t="n">
        <v>84.5723358935134</v>
      </c>
      <c r="I4" t="n">
        <v>87.236164945072</v>
      </c>
      <c r="J4" t="n">
        <v>88.1339545043185</v>
      </c>
      <c r="K4" t="n">
        <v>89.7265896320271</v>
      </c>
      <c r="L4" t="n">
        <v>91.6220563598077</v>
      </c>
      <c r="M4" t="n">
        <v>91.3917190034888</v>
      </c>
      <c r="N4" t="n">
        <v>91.6076024949807</v>
      </c>
      <c r="O4" t="n">
        <v>92.4458935426824</v>
      </c>
      <c r="P4" t="n">
        <v>95.1238008063401</v>
      </c>
      <c r="Q4" t="n">
        <v>97.3461981004274</v>
      </c>
      <c r="R4" t="n">
        <v>100.770825661397</v>
      </c>
      <c r="S4" t="n">
        <v>103.376586187144</v>
      </c>
      <c r="T4" t="n">
        <v>101.654192427484</v>
      </c>
      <c r="U4" t="n">
        <v>99.6685632230294</v>
      </c>
      <c r="V4" t="n">
        <v>98.8422369323531</v>
      </c>
      <c r="W4" t="n">
        <v>98.5885211934801</v>
      </c>
      <c r="X4" t="n">
        <v>98.1788709360454</v>
      </c>
      <c r="Y4" t="n">
        <v>98.6107669015676</v>
      </c>
      <c r="Z4" t="n">
        <v>100</v>
      </c>
      <c r="AA4" t="n">
        <v>101.251513734891</v>
      </c>
      <c r="AB4" t="n">
        <v>102.555774276653</v>
      </c>
      <c r="AC4" t="n">
        <v>104.484564294549</v>
      </c>
      <c r="AD4" t="n">
        <v>105.625997598502</v>
      </c>
      <c r="AE4" t="n">
        <v>105.64871622765</v>
      </c>
      <c r="AF4"/>
    </row>
    <row r="5">
      <c r="A5" t="s">
        <v>114</v>
      </c>
      <c r="B5" t="s">
        <v>283</v>
      </c>
      <c r="C5" t="s">
        <v>115</v>
      </c>
      <c r="D5" t="s">
        <v>284</v>
      </c>
      <c r="E5" t="s">
        <v>16</v>
      </c>
      <c r="F5" t="n">
        <v>78.5467431517977</v>
      </c>
      <c r="G5" t="n">
        <v>80.9701785044162</v>
      </c>
      <c r="H5" t="n">
        <v>83.316705631724</v>
      </c>
      <c r="I5" t="n">
        <v>85.4949355947311</v>
      </c>
      <c r="J5" t="n">
        <v>86.7371732517982</v>
      </c>
      <c r="K5" t="n">
        <v>87.8731975995744</v>
      </c>
      <c r="L5" t="n">
        <v>89.712912344039</v>
      </c>
      <c r="M5" t="n">
        <v>91.3846943347864</v>
      </c>
      <c r="N5" t="n">
        <v>91.8040241455674</v>
      </c>
      <c r="O5" t="n">
        <v>92.8165986999135</v>
      </c>
      <c r="P5" t="n">
        <v>96.045781425949</v>
      </c>
      <c r="Q5" t="n">
        <v>97.9480430579047</v>
      </c>
      <c r="R5" t="n">
        <v>100.457453187597</v>
      </c>
      <c r="S5" t="n">
        <v>100.551380288736</v>
      </c>
      <c r="T5" t="n">
        <v>99.4413967177213</v>
      </c>
      <c r="U5" t="n">
        <v>98.6991828178058</v>
      </c>
      <c r="V5" t="n">
        <v>100.03111281509</v>
      </c>
      <c r="W5" t="n">
        <v>100.711220450986</v>
      </c>
      <c r="X5" t="n">
        <v>99.9112095427918</v>
      </c>
      <c r="Y5" t="n">
        <v>100.13520090124</v>
      </c>
      <c r="Z5" t="n">
        <v>100</v>
      </c>
      <c r="AA5" t="n">
        <v>101.208529914914</v>
      </c>
      <c r="AB5" t="n">
        <v>103.871458853688</v>
      </c>
      <c r="AC5" t="n">
        <v>106.231806397988</v>
      </c>
      <c r="AD5" t="n">
        <v>107.658596626031</v>
      </c>
      <c r="AE5" t="n">
        <v>106.857767686201</v>
      </c>
      <c r="AF5"/>
    </row>
    <row r="6">
      <c r="A6" t="s">
        <v>116</v>
      </c>
      <c r="B6" t="s">
        <v>283</v>
      </c>
      <c r="C6" t="s">
        <v>117</v>
      </c>
      <c r="D6" t="s">
        <v>284</v>
      </c>
      <c r="E6" t="s">
        <v>16</v>
      </c>
      <c r="F6" t="n">
        <v>248.52372068893</v>
      </c>
      <c r="G6" t="n">
        <v>234.918627992432</v>
      </c>
      <c r="H6" t="n">
        <v>224.880881093245</v>
      </c>
      <c r="I6" t="n">
        <v>215.235106717472</v>
      </c>
      <c r="J6" t="n">
        <v>201.828920704295</v>
      </c>
      <c r="K6" t="n">
        <v>189.562416529203</v>
      </c>
      <c r="L6" t="n">
        <v>179.340698994984</v>
      </c>
      <c r="M6" t="n">
        <v>168.732695175203</v>
      </c>
      <c r="N6" t="n">
        <v>156.665621299485</v>
      </c>
      <c r="O6" t="n">
        <v>147.353513973988</v>
      </c>
      <c r="P6" t="n">
        <v>142.973898281554</v>
      </c>
      <c r="Q6" t="n">
        <v>136.438623699045</v>
      </c>
      <c r="R6" t="n">
        <v>133.338782697338</v>
      </c>
      <c r="S6" t="n">
        <v>130.46112552008</v>
      </c>
      <c r="T6" t="n">
        <v>122.133595107703</v>
      </c>
      <c r="U6" t="n">
        <v>115.766101018222</v>
      </c>
      <c r="V6" t="n">
        <v>112.430645365828</v>
      </c>
      <c r="W6" t="n">
        <v>107.122336428766</v>
      </c>
      <c r="X6" t="n">
        <v>103.85742613075</v>
      </c>
      <c r="Y6" t="n">
        <v>101.162691464146</v>
      </c>
      <c r="Z6" t="n">
        <v>100</v>
      </c>
      <c r="AA6" t="n">
        <v>98.2048313389133</v>
      </c>
      <c r="AB6" t="n">
        <v>96.7424735363912</v>
      </c>
      <c r="AC6" t="n">
        <v>94.7616455356814</v>
      </c>
      <c r="AD6" t="n">
        <v>94.4046956731254</v>
      </c>
      <c r="AE6" t="n">
        <v>90.7830104070253</v>
      </c>
      <c r="AF6"/>
    </row>
    <row r="7">
      <c r="A7" t="s">
        <v>118</v>
      </c>
      <c r="B7" t="s">
        <v>283</v>
      </c>
      <c r="C7" t="s">
        <v>119</v>
      </c>
      <c r="D7" t="s">
        <v>284</v>
      </c>
      <c r="E7" t="s">
        <v>16</v>
      </c>
      <c r="F7" t="n">
        <v>113.315330787058</v>
      </c>
      <c r="G7" t="n">
        <v>116.347328797113</v>
      </c>
      <c r="H7" t="n">
        <v>120.346070303755</v>
      </c>
      <c r="I7" t="n">
        <v>122.512407930988</v>
      </c>
      <c r="J7" t="n">
        <v>121.037688793951</v>
      </c>
      <c r="K7" t="n">
        <v>120.311771924299</v>
      </c>
      <c r="L7" t="n">
        <v>119.797298380209</v>
      </c>
      <c r="M7" t="n">
        <v>117.525258196446</v>
      </c>
      <c r="N7" t="n">
        <v>115.352951336478</v>
      </c>
      <c r="O7" t="n">
        <v>112.777905031272</v>
      </c>
      <c r="P7" t="n">
        <v>114.341763095487</v>
      </c>
      <c r="Q7" t="n">
        <v>114.908911609998</v>
      </c>
      <c r="R7" t="n">
        <v>117.668397352574</v>
      </c>
      <c r="S7" t="n">
        <v>117.249421512574</v>
      </c>
      <c r="T7" t="n">
        <v>113.072629294486</v>
      </c>
      <c r="U7" t="n">
        <v>109.966232027759</v>
      </c>
      <c r="V7" t="n">
        <v>106.732144528474</v>
      </c>
      <c r="W7" t="n">
        <v>103.592987242056</v>
      </c>
      <c r="X7" t="n">
        <v>102.171140386676</v>
      </c>
      <c r="Y7" t="n">
        <v>101.394755793096</v>
      </c>
      <c r="Z7" t="n">
        <v>100</v>
      </c>
      <c r="AA7" t="n">
        <v>98.9170841099718</v>
      </c>
      <c r="AB7" t="n">
        <v>96.9553620270236</v>
      </c>
      <c r="AC7" t="n">
        <v>95.7302914389341</v>
      </c>
      <c r="AD7" t="n">
        <v>94.3651647953762</v>
      </c>
      <c r="AE7" t="n">
        <v>93.4624857198957</v>
      </c>
      <c r="AF7"/>
    </row>
    <row r="8">
      <c r="A8" t="s">
        <v>120</v>
      </c>
      <c r="B8" t="s">
        <v>283</v>
      </c>
      <c r="C8" t="s">
        <v>121</v>
      </c>
      <c r="D8" t="s">
        <v>284</v>
      </c>
      <c r="E8" t="s">
        <v>16</v>
      </c>
      <c r="F8" t="n">
        <v>121.36488021788</v>
      </c>
      <c r="G8" t="n">
        <v>123.12947637349</v>
      </c>
      <c r="H8" t="n">
        <v>119.243501675539</v>
      </c>
      <c r="I8" t="n">
        <v>116.183549627845</v>
      </c>
      <c r="J8" t="n">
        <v>113.030909559009</v>
      </c>
      <c r="K8" t="n">
        <v>108.051522016348</v>
      </c>
      <c r="L8" t="n">
        <v>103.929404930689</v>
      </c>
      <c r="M8" t="n">
        <v>103.014487491192</v>
      </c>
      <c r="N8" t="n">
        <v>102.28941200059</v>
      </c>
      <c r="O8" t="n">
        <v>102.935338554552</v>
      </c>
      <c r="P8" t="n">
        <v>103.815945979449</v>
      </c>
      <c r="Q8" t="n">
        <v>108.112929149971</v>
      </c>
      <c r="R8" t="n">
        <v>110.9219006966</v>
      </c>
      <c r="S8" t="n">
        <v>115.298860099979</v>
      </c>
      <c r="T8" t="n">
        <v>115.761694218284</v>
      </c>
      <c r="U8" t="n">
        <v>112.893302755669</v>
      </c>
      <c r="V8" t="n">
        <v>107.194943421446</v>
      </c>
      <c r="W8" t="n">
        <v>104.454749032078</v>
      </c>
      <c r="X8" t="n">
        <v>102.984436203045</v>
      </c>
      <c r="Y8" t="n">
        <v>102.112567173977</v>
      </c>
      <c r="Z8" t="n">
        <v>100</v>
      </c>
      <c r="AA8" t="n">
        <v>96.5511569454727</v>
      </c>
      <c r="AB8" t="n">
        <v>95.2667440383912</v>
      </c>
      <c r="AC8" t="n">
        <v>93.2343441915687</v>
      </c>
      <c r="AD8" t="n">
        <v>90.5775405400111</v>
      </c>
      <c r="AE8" t="n">
        <v>90.3030160121967</v>
      </c>
      <c r="AF8"/>
    </row>
    <row r="9">
      <c r="A9" t="s">
        <v>122</v>
      </c>
      <c r="B9" t="s">
        <v>283</v>
      </c>
      <c r="C9" t="s">
        <v>123</v>
      </c>
      <c r="D9" t="s">
        <v>284</v>
      </c>
      <c r="E9" t="s">
        <v>16</v>
      </c>
      <c r="F9" t="n">
        <v>87.0783129473486</v>
      </c>
      <c r="G9" t="n">
        <v>89.3944985826895</v>
      </c>
      <c r="H9" t="n">
        <v>91.5125182223075</v>
      </c>
      <c r="I9" t="n">
        <v>93.6023144723086</v>
      </c>
      <c r="J9" t="n">
        <v>93.938793278323</v>
      </c>
      <c r="K9" t="n">
        <v>93.459891526218</v>
      </c>
      <c r="L9" t="n">
        <v>94.5586536295434</v>
      </c>
      <c r="M9" t="n">
        <v>94.8825023884399</v>
      </c>
      <c r="N9" t="n">
        <v>95.043322771285</v>
      </c>
      <c r="O9" t="n">
        <v>94.2594444849308</v>
      </c>
      <c r="P9" t="n">
        <v>96.2204211928935</v>
      </c>
      <c r="Q9" t="n">
        <v>97.0094858388633</v>
      </c>
      <c r="R9" t="n">
        <v>99.7958417868455</v>
      </c>
      <c r="S9" t="n">
        <v>103.570048680067</v>
      </c>
      <c r="T9" t="n">
        <v>103.29538592317</v>
      </c>
      <c r="U9" t="n">
        <v>102.447851838069</v>
      </c>
      <c r="V9" t="n">
        <v>102.272399235628</v>
      </c>
      <c r="W9" t="n">
        <v>101.401695214224</v>
      </c>
      <c r="X9" t="n">
        <v>100.622551176343</v>
      </c>
      <c r="Y9" t="n">
        <v>100.584145528906</v>
      </c>
      <c r="Z9" t="n">
        <v>100</v>
      </c>
      <c r="AA9" t="n">
        <v>99.6045796177406</v>
      </c>
      <c r="AB9" t="n">
        <v>100.233486800056</v>
      </c>
      <c r="AC9" t="n">
        <v>102.516749348931</v>
      </c>
      <c r="AD9" t="n">
        <v>105.381714232608</v>
      </c>
      <c r="AE9" t="n">
        <v>106.616362482885</v>
      </c>
      <c r="AF9"/>
    </row>
    <row r="10">
      <c r="A10" t="s">
        <v>124</v>
      </c>
      <c r="B10" t="s">
        <v>283</v>
      </c>
      <c r="C10" t="s">
        <v>125</v>
      </c>
      <c r="D10" t="s">
        <v>284</v>
      </c>
      <c r="E10" t="s">
        <v>16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283</v>
      </c>
      <c r="C11" t="s">
        <v>127</v>
      </c>
      <c r="D11" t="s">
        <v>284</v>
      </c>
      <c r="E11" t="s">
        <v>16</v>
      </c>
      <c r="F11" t="n">
        <v>54.9379073535125</v>
      </c>
      <c r="G11" t="n">
        <v>55.619760402061</v>
      </c>
      <c r="H11" t="n">
        <v>57.2811735644453</v>
      </c>
      <c r="I11" t="n">
        <v>59.1196315582593</v>
      </c>
      <c r="J11" t="n">
        <v>60.1018199035719</v>
      </c>
      <c r="K11" t="n">
        <v>63.0682707420876</v>
      </c>
      <c r="L11" t="n">
        <v>65.9008321137204</v>
      </c>
      <c r="M11" t="n">
        <v>68.8137747381917</v>
      </c>
      <c r="N11" t="n">
        <v>71.2317082886842</v>
      </c>
      <c r="O11" t="n">
        <v>72.4568931554801</v>
      </c>
      <c r="P11" t="n">
        <v>74.4064076590398</v>
      </c>
      <c r="Q11" t="n">
        <v>77.3412356267452</v>
      </c>
      <c r="R11" t="n">
        <v>79.5305872184901</v>
      </c>
      <c r="S11" t="n">
        <v>81.1795814946257</v>
      </c>
      <c r="T11" t="n">
        <v>82.8954643638167</v>
      </c>
      <c r="U11" t="n">
        <v>84.2291886625095</v>
      </c>
      <c r="V11" t="n">
        <v>85.875803469731</v>
      </c>
      <c r="W11" t="n">
        <v>90.463859617798</v>
      </c>
      <c r="X11" t="n">
        <v>95.0264144959946</v>
      </c>
      <c r="Y11" t="n">
        <v>98.4340348905829</v>
      </c>
      <c r="Z11" t="n">
        <v>100</v>
      </c>
      <c r="AA11" t="n">
        <v>103.985920165241</v>
      </c>
      <c r="AB11" t="n">
        <v>106.910874962788</v>
      </c>
      <c r="AC11" t="n">
        <v>108.856296555956</v>
      </c>
      <c r="AD11" t="n">
        <v>109.584520104119</v>
      </c>
      <c r="AE11" t="n">
        <v>110.684158538962</v>
      </c>
      <c r="AF11"/>
    </row>
    <row r="12">
      <c r="A12" t="s">
        <v>128</v>
      </c>
      <c r="B12" t="s">
        <v>283</v>
      </c>
      <c r="C12" t="s">
        <v>129</v>
      </c>
      <c r="D12" t="s">
        <v>284</v>
      </c>
      <c r="E12" t="s">
        <v>16</v>
      </c>
      <c r="F12" t="n">
        <v>91.7147181701008</v>
      </c>
      <c r="G12" t="n">
        <v>93.7884533004122</v>
      </c>
      <c r="H12" t="n">
        <v>95.9316931004855</v>
      </c>
      <c r="I12" t="n">
        <v>97.5720594082892</v>
      </c>
      <c r="J12" t="n">
        <v>96.6563609475914</v>
      </c>
      <c r="K12" t="n">
        <v>97.3161782104003</v>
      </c>
      <c r="L12" t="n">
        <v>98.4066329853287</v>
      </c>
      <c r="M12" t="n">
        <v>95.9855352390133</v>
      </c>
      <c r="N12" t="n">
        <v>96.2544893976299</v>
      </c>
      <c r="O12" t="n">
        <v>96.9325741201629</v>
      </c>
      <c r="P12" t="n">
        <v>98.6270997752202</v>
      </c>
      <c r="Q12" t="n">
        <v>101.236926591109</v>
      </c>
      <c r="R12" t="n">
        <v>103.794291347243</v>
      </c>
      <c r="S12" t="n">
        <v>104.689760539698</v>
      </c>
      <c r="T12" t="n">
        <v>102.481691544938</v>
      </c>
      <c r="U12" t="n">
        <v>100.341107880578</v>
      </c>
      <c r="V12" t="n">
        <v>99.0137384852889</v>
      </c>
      <c r="W12" t="n">
        <v>98.5542010361801</v>
      </c>
      <c r="X12" t="n">
        <v>98.4651980928939</v>
      </c>
      <c r="Y12" t="n">
        <v>98.9728608719511</v>
      </c>
      <c r="Z12" t="n">
        <v>100</v>
      </c>
      <c r="AA12" t="n">
        <v>100.28500563768</v>
      </c>
      <c r="AB12" t="n">
        <v>100.985666666658</v>
      </c>
      <c r="AC12" t="n">
        <v>102.975784919922</v>
      </c>
      <c r="AD12" t="n">
        <v>103.981435911659</v>
      </c>
      <c r="AE12" t="n">
        <v>104.237807349346</v>
      </c>
      <c r="AF12"/>
    </row>
    <row r="13">
      <c r="A13" t="s">
        <v>130</v>
      </c>
      <c r="B13" t="s">
        <v>283</v>
      </c>
      <c r="C13" t="s">
        <v>131</v>
      </c>
      <c r="D13" t="s">
        <v>284</v>
      </c>
      <c r="E13" t="s">
        <v>16</v>
      </c>
      <c r="F13" t="n">
        <v>109.83578135855</v>
      </c>
      <c r="G13" t="n">
        <v>110.193609774883</v>
      </c>
      <c r="H13" t="n">
        <v>109.725981837334</v>
      </c>
      <c r="I13" t="n">
        <v>108.293931566816</v>
      </c>
      <c r="J13" t="n">
        <v>106.151100431263</v>
      </c>
      <c r="K13" t="n">
        <v>105.448187779743</v>
      </c>
      <c r="L13" t="n">
        <v>105.191585107211</v>
      </c>
      <c r="M13" t="n">
        <v>102.15137976628</v>
      </c>
      <c r="N13" t="n">
        <v>97.9830469661351</v>
      </c>
      <c r="O13" t="n">
        <v>95.8374609077791</v>
      </c>
      <c r="P13" t="n">
        <v>95.9186666799616</v>
      </c>
      <c r="Q13" t="n">
        <v>97.0784563447483</v>
      </c>
      <c r="R13" t="n">
        <v>100.504481660655</v>
      </c>
      <c r="S13" t="n">
        <v>103.619761320587</v>
      </c>
      <c r="T13" t="n">
        <v>102.612050971916</v>
      </c>
      <c r="U13" t="n">
        <v>101.548034346058</v>
      </c>
      <c r="V13" t="n">
        <v>100.83239491255</v>
      </c>
      <c r="W13" t="n">
        <v>100.600200864875</v>
      </c>
      <c r="X13" t="n">
        <v>98.9167810939221</v>
      </c>
      <c r="Y13" t="n">
        <v>98.9250024313325</v>
      </c>
      <c r="Z13" t="n">
        <v>100</v>
      </c>
      <c r="AA13" t="n">
        <v>100.645098407281</v>
      </c>
      <c r="AB13" t="n">
        <v>103.5264848889</v>
      </c>
      <c r="AC13" t="n">
        <v>104.694054549942</v>
      </c>
      <c r="AD13" t="n">
        <v>106.432638556807</v>
      </c>
      <c r="AE13" t="n">
        <v>106.037886691638</v>
      </c>
      <c r="AF13"/>
    </row>
    <row r="14">
      <c r="A14" t="s">
        <v>132</v>
      </c>
      <c r="B14" t="s">
        <v>283</v>
      </c>
      <c r="C14" t="s">
        <v>133</v>
      </c>
      <c r="D14" t="s">
        <v>284</v>
      </c>
      <c r="E14" t="s">
        <v>16</v>
      </c>
      <c r="F14" t="n">
        <v>72.6636272229567</v>
      </c>
      <c r="G14" t="n">
        <v>77.755799285786</v>
      </c>
      <c r="H14" t="n">
        <v>82.0901917307685</v>
      </c>
      <c r="I14" t="n">
        <v>87.0050154071383</v>
      </c>
      <c r="J14" t="n">
        <v>89.5825272343369</v>
      </c>
      <c r="K14" t="n">
        <v>94.3974206718408</v>
      </c>
      <c r="L14" t="n">
        <v>98.3938499117559</v>
      </c>
      <c r="M14" t="n">
        <v>97.8032452208122</v>
      </c>
      <c r="N14" t="n">
        <v>97.5852690884595</v>
      </c>
      <c r="O14" t="n">
        <v>99.5092256591165</v>
      </c>
      <c r="P14" t="n">
        <v>101.508047512726</v>
      </c>
      <c r="Q14" t="n">
        <v>104.211420773234</v>
      </c>
      <c r="R14" t="n">
        <v>107.359646166337</v>
      </c>
      <c r="S14" t="n">
        <v>110.570005219132</v>
      </c>
      <c r="T14" t="n">
        <v>108.126258507219</v>
      </c>
      <c r="U14" t="n">
        <v>105.350681585938</v>
      </c>
      <c r="V14" t="n">
        <v>103.860603743002</v>
      </c>
      <c r="W14" t="n">
        <v>102.667683512993</v>
      </c>
      <c r="X14" t="n">
        <v>100.395358916327</v>
      </c>
      <c r="Y14" t="n">
        <v>99.201120026765</v>
      </c>
      <c r="Z14" t="n">
        <v>100</v>
      </c>
      <c r="AA14" t="n">
        <v>99.5703270145744</v>
      </c>
      <c r="AB14" t="n">
        <v>99.1328765398244</v>
      </c>
      <c r="AC14" t="n">
        <v>100.982892647447</v>
      </c>
      <c r="AD14" t="n">
        <v>101.150094354201</v>
      </c>
      <c r="AE14" t="n">
        <v>101.531304180792</v>
      </c>
      <c r="AF14"/>
    </row>
    <row r="15">
      <c r="A15" t="s">
        <v>134</v>
      </c>
      <c r="B15" t="s">
        <v>283</v>
      </c>
      <c r="C15" t="s">
        <v>135</v>
      </c>
      <c r="D15" t="s">
        <v>284</v>
      </c>
      <c r="E15" t="s">
        <v>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283</v>
      </c>
      <c r="C16" t="s">
        <v>137</v>
      </c>
      <c r="D16" t="s">
        <v>284</v>
      </c>
      <c r="E16" t="s">
        <v>16</v>
      </c>
      <c r="F16" t="n">
        <v>62.6846444043784</v>
      </c>
      <c r="G16" t="n">
        <v>68.801005919113</v>
      </c>
      <c r="H16" t="n">
        <v>74.8990644146488</v>
      </c>
      <c r="I16" t="n">
        <v>79.6437476009815</v>
      </c>
      <c r="J16" t="n">
        <v>83.4996241074801</v>
      </c>
      <c r="K16" t="n">
        <v>88.6723496769023</v>
      </c>
      <c r="L16" t="n">
        <v>93.2463769711751</v>
      </c>
      <c r="M16" t="n">
        <v>94.2708087144775</v>
      </c>
      <c r="N16" t="n">
        <v>95.5014554400615</v>
      </c>
      <c r="O16" t="n">
        <v>97.382068637983</v>
      </c>
      <c r="P16" t="n">
        <v>100.3429139777</v>
      </c>
      <c r="Q16" t="n">
        <v>102.810911275213</v>
      </c>
      <c r="R16" t="n">
        <v>105.832157878008</v>
      </c>
      <c r="S16" t="n">
        <v>106.605626338831</v>
      </c>
      <c r="T16" t="n">
        <v>102.969381698369</v>
      </c>
      <c r="U16" t="n">
        <v>100.502568851271</v>
      </c>
      <c r="V16" t="n">
        <v>99.6543774229859</v>
      </c>
      <c r="W16" t="n">
        <v>99.1707029905047</v>
      </c>
      <c r="X16" t="n">
        <v>98.896169692815</v>
      </c>
      <c r="Y16" t="n">
        <v>99.3605606439111</v>
      </c>
      <c r="Z16" t="n">
        <v>100</v>
      </c>
      <c r="AA16" t="n">
        <v>101.061796181772</v>
      </c>
      <c r="AB16" t="n">
        <v>102.831225012635</v>
      </c>
      <c r="AC16" t="n">
        <v>104.39160144604</v>
      </c>
      <c r="AD16" t="n">
        <v>105.140767305261</v>
      </c>
      <c r="AE16" t="n">
        <v>103.44399726915</v>
      </c>
      <c r="AF16"/>
    </row>
    <row r="17">
      <c r="A17" t="s">
        <v>138</v>
      </c>
      <c r="B17" t="s">
        <v>283</v>
      </c>
      <c r="C17" t="s">
        <v>139</v>
      </c>
      <c r="D17" t="s">
        <v>284</v>
      </c>
      <c r="E17" t="s">
        <v>16</v>
      </c>
      <c r="F17" t="n">
        <v>63.3324312565493</v>
      </c>
      <c r="G17" t="n">
        <v>66.1450809535289</v>
      </c>
      <c r="H17" t="n">
        <v>69.0104637242974</v>
      </c>
      <c r="I17" t="n">
        <v>72.6320018443069</v>
      </c>
      <c r="J17" t="n">
        <v>74.1636847903222</v>
      </c>
      <c r="K17" t="n">
        <v>76.2288553505273</v>
      </c>
      <c r="L17" t="n">
        <v>77.9638787670469</v>
      </c>
      <c r="M17" t="n">
        <v>77.9754505512253</v>
      </c>
      <c r="N17" t="n">
        <v>78.9490746447435</v>
      </c>
      <c r="O17" t="n">
        <v>82.218862298496</v>
      </c>
      <c r="P17" t="n">
        <v>87.8391544656856</v>
      </c>
      <c r="Q17" t="n">
        <v>90.2797783604985</v>
      </c>
      <c r="R17" t="n">
        <v>96.3195908714727</v>
      </c>
      <c r="S17" t="n">
        <v>101.85234905175</v>
      </c>
      <c r="T17" t="n">
        <v>100.830113365107</v>
      </c>
      <c r="U17" t="n">
        <v>97.8678099316018</v>
      </c>
      <c r="V17" t="n">
        <v>97.1660540005421</v>
      </c>
      <c r="W17" t="n">
        <v>97.7251080102494</v>
      </c>
      <c r="X17" t="n">
        <v>97.1419112768751</v>
      </c>
      <c r="Y17" t="n">
        <v>97.4450378741664</v>
      </c>
      <c r="Z17" t="n">
        <v>100</v>
      </c>
      <c r="AA17" t="n">
        <v>101.107360414737</v>
      </c>
      <c r="AB17" t="n">
        <v>100.570788818338</v>
      </c>
      <c r="AC17" t="n">
        <v>102.669517230396</v>
      </c>
      <c r="AD17" t="n">
        <v>103.858251642937</v>
      </c>
      <c r="AE17" t="n">
        <v>101.696419431097</v>
      </c>
      <c r="AF17"/>
    </row>
    <row r="18">
      <c r="A18" t="s">
        <v>140</v>
      </c>
      <c r="B18" t="s">
        <v>283</v>
      </c>
      <c r="C18" t="s">
        <v>141</v>
      </c>
      <c r="D18" t="s">
        <v>284</v>
      </c>
      <c r="E18" t="s">
        <v>16</v>
      </c>
      <c r="F18" t="n">
        <v>65.8449588090928</v>
      </c>
      <c r="G18" t="n">
        <v>67.2975012020093</v>
      </c>
      <c r="H18" t="n">
        <v>70.1115303665825</v>
      </c>
      <c r="I18" t="n">
        <v>73.3087914714477</v>
      </c>
      <c r="J18" t="n">
        <v>74.5424707274621</v>
      </c>
      <c r="K18" t="n">
        <v>75.0106153808765</v>
      </c>
      <c r="L18" t="n">
        <v>76.5596106083077</v>
      </c>
      <c r="M18" t="n">
        <v>77.5013814916274</v>
      </c>
      <c r="N18" t="n">
        <v>79.9167881604241</v>
      </c>
      <c r="O18" t="n">
        <v>81.4983377032658</v>
      </c>
      <c r="P18" t="n">
        <v>85.9904951763744</v>
      </c>
      <c r="Q18" t="n">
        <v>89.230086763753</v>
      </c>
      <c r="R18" t="n">
        <v>93.7479139496007</v>
      </c>
      <c r="S18" t="n">
        <v>97.2478308289002</v>
      </c>
      <c r="T18" t="n">
        <v>95.4818641037263</v>
      </c>
      <c r="U18" t="n">
        <v>93.0140069307713</v>
      </c>
      <c r="V18" t="n">
        <v>91.9168420818332</v>
      </c>
      <c r="W18" t="n">
        <v>91.98198252413</v>
      </c>
      <c r="X18" t="n">
        <v>93.1527634429177</v>
      </c>
      <c r="Y18" t="n">
        <v>95.4503925324454</v>
      </c>
      <c r="Z18" t="n">
        <v>100</v>
      </c>
      <c r="AA18" t="n">
        <v>104.994981580273</v>
      </c>
      <c r="AB18" t="n">
        <v>109.038843583533</v>
      </c>
      <c r="AC18" t="n">
        <v>112.785649149315</v>
      </c>
      <c r="AD18" t="n">
        <v>115.093853204954</v>
      </c>
      <c r="AE18" t="n">
        <v>117.034985866233</v>
      </c>
      <c r="AF18"/>
    </row>
    <row r="19">
      <c r="A19" t="s">
        <v>142</v>
      </c>
      <c r="B19" t="s">
        <v>283</v>
      </c>
      <c r="C19" t="s">
        <v>143</v>
      </c>
      <c r="D19" t="s">
        <v>284</v>
      </c>
      <c r="E19" t="s">
        <v>16</v>
      </c>
      <c r="F19" t="n">
        <v>78.5498827209089</v>
      </c>
      <c r="G19" t="n">
        <v>82.0350357111522</v>
      </c>
      <c r="H19" t="n">
        <v>85.2260584267328</v>
      </c>
      <c r="I19" t="n">
        <v>89.1539306616564</v>
      </c>
      <c r="J19" t="n">
        <v>90.3564563583914</v>
      </c>
      <c r="K19" t="n">
        <v>89.953927862877</v>
      </c>
      <c r="L19" t="n">
        <v>92.5753176183988</v>
      </c>
      <c r="M19" t="n">
        <v>90.9379373095785</v>
      </c>
      <c r="N19" t="n">
        <v>92.7986898692559</v>
      </c>
      <c r="O19" t="n">
        <v>92.3744404277593</v>
      </c>
      <c r="P19" t="n">
        <v>96.175259290678</v>
      </c>
      <c r="Q19" t="n">
        <v>98.6577965905637</v>
      </c>
      <c r="R19" t="n">
        <v>102.123353413736</v>
      </c>
      <c r="S19" t="n">
        <v>102.668782922865</v>
      </c>
      <c r="T19" t="n">
        <v>100.692844909614</v>
      </c>
      <c r="U19" t="n">
        <v>100.076637248073</v>
      </c>
      <c r="V19" t="n">
        <v>100.667167950955</v>
      </c>
      <c r="W19" t="n">
        <v>99.3210286115266</v>
      </c>
      <c r="X19" t="n">
        <v>99.6580261034493</v>
      </c>
      <c r="Y19" t="n">
        <v>99.3138977634346</v>
      </c>
      <c r="Z19" t="n">
        <v>100</v>
      </c>
      <c r="AA19" t="n">
        <v>99.1917085762183</v>
      </c>
      <c r="AB19" t="n">
        <v>96.1323944999351</v>
      </c>
      <c r="AC19" t="n">
        <v>94.2694824312381</v>
      </c>
      <c r="AD19" t="n">
        <v>93.8837977843223</v>
      </c>
      <c r="AE19" t="n">
        <v>92.8361806763069</v>
      </c>
      <c r="AF19"/>
    </row>
    <row r="20">
      <c r="A20" t="s">
        <v>144</v>
      </c>
      <c r="B20" t="s">
        <v>283</v>
      </c>
      <c r="C20" t="s">
        <v>145</v>
      </c>
      <c r="D20" t="s">
        <v>284</v>
      </c>
      <c r="E20" t="s">
        <v>16</v>
      </c>
      <c r="F20" t="n">
        <v>90.9105915124846</v>
      </c>
      <c r="G20" t="n">
        <v>96.117276367444</v>
      </c>
      <c r="H20" t="n">
        <v>100.271909901787</v>
      </c>
      <c r="I20" t="n">
        <v>103.646649107664</v>
      </c>
      <c r="J20" t="n">
        <v>106.388570414988</v>
      </c>
      <c r="K20" t="n">
        <v>107.314532168786</v>
      </c>
      <c r="L20" t="n">
        <v>107.907681786783</v>
      </c>
      <c r="M20" t="n">
        <v>107.564995610079</v>
      </c>
      <c r="N20" t="n">
        <v>107.067285850045</v>
      </c>
      <c r="O20" t="n">
        <v>105.152750418205</v>
      </c>
      <c r="P20" t="n">
        <v>103.838581494865</v>
      </c>
      <c r="Q20" t="n">
        <v>102.14171962273</v>
      </c>
      <c r="R20" t="n">
        <v>101.125501111813</v>
      </c>
      <c r="S20" t="n">
        <v>101.042572667189</v>
      </c>
      <c r="T20" t="n">
        <v>100.597195696776</v>
      </c>
      <c r="U20" t="n">
        <v>100.221658529929</v>
      </c>
      <c r="V20" t="n">
        <v>99.8246668408788</v>
      </c>
      <c r="W20" t="n">
        <v>99.8523998755167</v>
      </c>
      <c r="X20" t="n">
        <v>99.9336593579945</v>
      </c>
      <c r="Y20" t="n">
        <v>99.6392493490858</v>
      </c>
      <c r="Z20" t="n">
        <v>100</v>
      </c>
      <c r="AA20" t="n">
        <v>100.204456431343</v>
      </c>
      <c r="AB20" t="n">
        <v>99.9998592190115</v>
      </c>
      <c r="AC20" t="n">
        <v>100.412151310839</v>
      </c>
      <c r="AD20" t="n">
        <v>99.4749073635694</v>
      </c>
      <c r="AE20" t="n">
        <v>98.3577606955676</v>
      </c>
      <c r="AF20"/>
    </row>
    <row r="21">
      <c r="A21" t="s">
        <v>146</v>
      </c>
      <c r="B21" t="s">
        <v>283</v>
      </c>
      <c r="C21" t="s">
        <v>147</v>
      </c>
      <c r="D21" t="s">
        <v>284</v>
      </c>
      <c r="E21" t="s">
        <v>16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283</v>
      </c>
      <c r="C22" t="s">
        <v>149</v>
      </c>
      <c r="D22" t="s">
        <v>284</v>
      </c>
      <c r="E22" t="s">
        <v>16</v>
      </c>
      <c r="F22" t="n">
        <v>80.4090682842641</v>
      </c>
      <c r="G22" t="n">
        <v>83.0648089573527</v>
      </c>
      <c r="H22" t="n">
        <v>85.4172767555709</v>
      </c>
      <c r="I22" t="n">
        <v>87.8847863470573</v>
      </c>
      <c r="J22" t="n">
        <v>90.2150739940159</v>
      </c>
      <c r="K22" t="n">
        <v>91.9094394367225</v>
      </c>
      <c r="L22" t="n">
        <v>93.601381692637</v>
      </c>
      <c r="M22" t="n">
        <v>95.2575675157016</v>
      </c>
      <c r="N22" t="n">
        <v>96.3634489371511</v>
      </c>
      <c r="O22" t="n">
        <v>96.6446818421555</v>
      </c>
      <c r="P22" t="n">
        <v>96.6391713721488</v>
      </c>
      <c r="Q22" t="n">
        <v>96.4793888636276</v>
      </c>
      <c r="R22" t="n">
        <v>95.9330587609279</v>
      </c>
      <c r="S22" t="n">
        <v>95.5047271319145</v>
      </c>
      <c r="T22" t="n">
        <v>95.4588527014646</v>
      </c>
      <c r="U22" t="n">
        <v>95.4576407236383</v>
      </c>
      <c r="V22" t="n">
        <v>96.0220807054757</v>
      </c>
      <c r="W22" t="n">
        <v>96.674196830923</v>
      </c>
      <c r="X22" t="n">
        <v>98.0487402556128</v>
      </c>
      <c r="Y22" t="n">
        <v>98.969703151199</v>
      </c>
      <c r="Z22" t="n">
        <v>100</v>
      </c>
      <c r="AA22" t="n">
        <v>101.525938615742</v>
      </c>
      <c r="AB22" t="n">
        <v>102.430762431689</v>
      </c>
      <c r="AC22" t="n">
        <v>103.434267314113</v>
      </c>
      <c r="AD22" t="n">
        <v>104.550894199333</v>
      </c>
      <c r="AE22" t="n">
        <v>106.359972045151</v>
      </c>
      <c r="AF22"/>
    </row>
    <row r="23">
      <c r="A23" t="s">
        <v>150</v>
      </c>
      <c r="B23" t="s">
        <v>283</v>
      </c>
      <c r="C23" t="s">
        <v>151</v>
      </c>
      <c r="D23" t="s">
        <v>284</v>
      </c>
      <c r="E23" t="s">
        <v>16</v>
      </c>
      <c r="F23" t="n">
        <v>105.829710860998</v>
      </c>
      <c r="G23" t="n">
        <v>111.136266678945</v>
      </c>
      <c r="H23" t="n">
        <v>112.863110628971</v>
      </c>
      <c r="I23" t="n">
        <v>111.944879911505</v>
      </c>
      <c r="J23" t="n">
        <v>111.364793433007</v>
      </c>
      <c r="K23" t="n">
        <v>112.654003647937</v>
      </c>
      <c r="L23" t="n">
        <v>111.462301831531</v>
      </c>
      <c r="M23" t="n">
        <v>108.562351212474</v>
      </c>
      <c r="N23" t="n">
        <v>103.343603158749</v>
      </c>
      <c r="O23" t="n">
        <v>99.3988745340786</v>
      </c>
      <c r="P23" t="n">
        <v>96.335428915275</v>
      </c>
      <c r="Q23" t="n">
        <v>93.5039043583692</v>
      </c>
      <c r="R23" t="n">
        <v>96.107473396401</v>
      </c>
      <c r="S23" t="n">
        <v>94.650742701728</v>
      </c>
      <c r="T23" t="n">
        <v>91.5335118975867</v>
      </c>
      <c r="U23" t="n">
        <v>91.606989575068</v>
      </c>
      <c r="V23" t="n">
        <v>91.2213161438097</v>
      </c>
      <c r="W23" t="n">
        <v>91.5368764154102</v>
      </c>
      <c r="X23" t="n">
        <v>94.6126054654168</v>
      </c>
      <c r="Y23" t="n">
        <v>97.6621482300893</v>
      </c>
      <c r="Z23" t="n">
        <v>100</v>
      </c>
      <c r="AA23" t="n">
        <v>101.308942766652</v>
      </c>
      <c r="AB23" t="n">
        <v>105.661324313407</v>
      </c>
      <c r="AC23" t="n">
        <v>108.10903032616</v>
      </c>
      <c r="AD23" t="n">
        <v>110.508956029802</v>
      </c>
      <c r="AE23" t="n">
        <v>113.625648098181</v>
      </c>
      <c r="AF23"/>
    </row>
    <row r="24">
      <c r="A24" t="s">
        <v>152</v>
      </c>
      <c r="B24" t="s">
        <v>283</v>
      </c>
      <c r="C24" t="s">
        <v>153</v>
      </c>
      <c r="D24" t="s">
        <v>284</v>
      </c>
      <c r="E24" t="s">
        <v>16</v>
      </c>
      <c r="F24" t="n">
        <v>73.1315431321981</v>
      </c>
      <c r="G24" t="n">
        <v>77.8100108402031</v>
      </c>
      <c r="H24" t="n">
        <v>81.3144992305387</v>
      </c>
      <c r="I24" t="n">
        <v>82.099825750835</v>
      </c>
      <c r="J24" t="n">
        <v>82.760425355572</v>
      </c>
      <c r="K24" t="n">
        <v>85.1623640565547</v>
      </c>
      <c r="L24" t="n">
        <v>85.6817170363768</v>
      </c>
      <c r="M24" t="n">
        <v>85.7038923373705</v>
      </c>
      <c r="N24" t="n">
        <v>85.4946568116783</v>
      </c>
      <c r="O24" t="n">
        <v>87.3170440206504</v>
      </c>
      <c r="P24" t="n">
        <v>89.754822018235</v>
      </c>
      <c r="Q24" t="n">
        <v>92.0328956490407</v>
      </c>
      <c r="R24" t="n">
        <v>93.6713000042061</v>
      </c>
      <c r="S24" t="n">
        <v>95.0815364553623</v>
      </c>
      <c r="T24" t="n">
        <v>94.6694909135042</v>
      </c>
      <c r="U24" t="n">
        <v>94.4457605941036</v>
      </c>
      <c r="V24" t="n">
        <v>94.742930489166</v>
      </c>
      <c r="W24" t="n">
        <v>95.6548199831962</v>
      </c>
      <c r="X24" t="n">
        <v>96.9211473025122</v>
      </c>
      <c r="Y24" t="n">
        <v>98.6897966082638</v>
      </c>
      <c r="Z24" t="n">
        <v>100</v>
      </c>
      <c r="AA24" t="n">
        <v>100.578927039625</v>
      </c>
      <c r="AB24" t="n">
        <v>101.023491804921</v>
      </c>
      <c r="AC24" t="n">
        <v>100.403863966596</v>
      </c>
      <c r="AD24" t="n">
        <v>101.268685048943</v>
      </c>
      <c r="AE24" t="n">
        <v>100.991195820451</v>
      </c>
      <c r="AF24"/>
    </row>
    <row r="25">
      <c r="A25" t="s">
        <v>154</v>
      </c>
      <c r="B25" t="s">
        <v>283</v>
      </c>
      <c r="C25" t="s">
        <v>155</v>
      </c>
      <c r="D25" t="s">
        <v>284</v>
      </c>
      <c r="E25" t="s">
        <v>16</v>
      </c>
      <c r="F25" t="n">
        <v>62.363660330842</v>
      </c>
      <c r="G25" t="n">
        <v>80.7480090818139</v>
      </c>
      <c r="H25" t="n">
        <v>94.8672944795648</v>
      </c>
      <c r="I25" t="n">
        <v>92.4369712142672</v>
      </c>
      <c r="J25" t="n">
        <v>99.3912011707288</v>
      </c>
      <c r="K25" t="n">
        <v>110.718506884507</v>
      </c>
      <c r="L25" t="n">
        <v>117.347817919086</v>
      </c>
      <c r="M25" t="n">
        <v>115.070012309602</v>
      </c>
      <c r="N25" t="n">
        <v>117.072275022554</v>
      </c>
      <c r="O25" t="n">
        <v>122.631743540476</v>
      </c>
      <c r="P25" t="n">
        <v>130.626188722245</v>
      </c>
      <c r="Q25" t="n">
        <v>134.641117618075</v>
      </c>
      <c r="R25" t="n">
        <v>132.648751112158</v>
      </c>
      <c r="S25" t="n">
        <v>144.596750279248</v>
      </c>
      <c r="T25" t="n">
        <v>144.740038420122</v>
      </c>
      <c r="U25" t="n">
        <v>131.779316648874</v>
      </c>
      <c r="V25" t="n">
        <v>119.802228992346</v>
      </c>
      <c r="W25" t="n">
        <v>109.32172673167</v>
      </c>
      <c r="X25" t="n">
        <v>102.77514645589</v>
      </c>
      <c r="Y25" t="n">
        <v>103.428223673967</v>
      </c>
      <c r="Z25" t="n">
        <v>100</v>
      </c>
      <c r="AA25" t="n">
        <v>94.5462406707301</v>
      </c>
      <c r="AB25" t="n">
        <v>91.5242849882884</v>
      </c>
      <c r="AC25" t="n">
        <v>85.580124311339</v>
      </c>
      <c r="AD25" t="n">
        <v>94.5755642891924</v>
      </c>
      <c r="AE25" t="n">
        <v>92.0146117086977</v>
      </c>
      <c r="AF25"/>
    </row>
    <row r="26">
      <c r="A26" t="s">
        <v>156</v>
      </c>
      <c r="B26" t="s">
        <v>283</v>
      </c>
      <c r="C26" t="s">
        <v>157</v>
      </c>
      <c r="D26" t="s">
        <v>284</v>
      </c>
      <c r="E26" t="s">
        <v>16</v>
      </c>
      <c r="F26" t="n">
        <v>80.8541993177266</v>
      </c>
      <c r="G26" t="n">
        <v>86.112359658204</v>
      </c>
      <c r="H26" t="n">
        <v>91.920755350637</v>
      </c>
      <c r="I26" t="n">
        <v>93.1029757831927</v>
      </c>
      <c r="J26" t="n">
        <v>93.3193594839138</v>
      </c>
      <c r="K26" t="n">
        <v>93.6250238280419</v>
      </c>
      <c r="L26" t="n">
        <v>92.355939506762</v>
      </c>
      <c r="M26" t="n">
        <v>92.1877449984028</v>
      </c>
      <c r="N26" t="n">
        <v>91.3343765126448</v>
      </c>
      <c r="O26" t="n">
        <v>91.2730702589787</v>
      </c>
      <c r="P26" t="n">
        <v>92.7629238138623</v>
      </c>
      <c r="Q26" t="n">
        <v>94.6891043833601</v>
      </c>
      <c r="R26" t="n">
        <v>96.6396388131161</v>
      </c>
      <c r="S26" t="n">
        <v>98.6869620656406</v>
      </c>
      <c r="T26" t="n">
        <v>98.341707022197</v>
      </c>
      <c r="U26" t="n">
        <v>98.322521963272</v>
      </c>
      <c r="V26" t="n">
        <v>98.6445811780141</v>
      </c>
      <c r="W26" t="n">
        <v>99.3650514987803</v>
      </c>
      <c r="X26" t="n">
        <v>99.8086417816109</v>
      </c>
      <c r="Y26" t="n">
        <v>100.038272134744</v>
      </c>
      <c r="Z26" t="n">
        <v>100</v>
      </c>
      <c r="AA26" t="n">
        <v>99.4400405392241</v>
      </c>
      <c r="AB26" t="n">
        <v>99.2964159659602</v>
      </c>
      <c r="AC26" t="n">
        <v>97.4630034296837</v>
      </c>
      <c r="AD26" t="n">
        <v>96.0926807832364</v>
      </c>
      <c r="AE26" t="n">
        <v>94.7007157220118</v>
      </c>
      <c r="AF26"/>
    </row>
    <row r="27">
      <c r="A27" t="s">
        <v>158</v>
      </c>
      <c r="B27" t="s">
        <v>283</v>
      </c>
      <c r="C27" t="s">
        <v>159</v>
      </c>
      <c r="D27" t="s">
        <v>284</v>
      </c>
      <c r="E27" t="s">
        <v>16</v>
      </c>
      <c r="F27" t="n">
        <v>67.5795141477782</v>
      </c>
      <c r="G27" t="n">
        <v>70.9010732462566</v>
      </c>
      <c r="H27" t="n">
        <v>71.9091976770385</v>
      </c>
      <c r="I27" t="n">
        <v>72.5736380366212</v>
      </c>
      <c r="J27" t="n">
        <v>73.1426900185923</v>
      </c>
      <c r="K27" t="n">
        <v>76.5508415119822</v>
      </c>
      <c r="L27" t="n">
        <v>78.0361260717879</v>
      </c>
      <c r="M27" t="n">
        <v>78.3563412970683</v>
      </c>
      <c r="N27" t="n">
        <v>78.5070220443424</v>
      </c>
      <c r="O27" t="n">
        <v>81.5588303992074</v>
      </c>
      <c r="P27" t="n">
        <v>84.3863528863242</v>
      </c>
      <c r="Q27" t="n">
        <v>86.8368964139941</v>
      </c>
      <c r="R27" t="n">
        <v>88.4652550493601</v>
      </c>
      <c r="S27" t="n">
        <v>88.6651318861238</v>
      </c>
      <c r="T27" t="n">
        <v>88.1690150849604</v>
      </c>
      <c r="U27" t="n">
        <v>88.6366433969205</v>
      </c>
      <c r="V27" t="n">
        <v>89.7497792220444</v>
      </c>
      <c r="W27" t="n">
        <v>91.5982259918019</v>
      </c>
      <c r="X27" t="n">
        <v>94.0928707818822</v>
      </c>
      <c r="Y27" t="n">
        <v>97.2311967894534</v>
      </c>
      <c r="Z27" t="n">
        <v>100</v>
      </c>
      <c r="AA27" t="n">
        <v>101.982911137853</v>
      </c>
      <c r="AB27" t="n">
        <v>103.177151128584</v>
      </c>
      <c r="AC27" t="n">
        <v>103.94411624683</v>
      </c>
      <c r="AD27" t="n">
        <v>106.155366953686</v>
      </c>
      <c r="AE27" t="n">
        <v>106.974506759844</v>
      </c>
      <c r="AF27"/>
    </row>
    <row r="28">
      <c r="A28" t="s">
        <v>160</v>
      </c>
      <c r="B28" t="s">
        <v>283</v>
      </c>
      <c r="C28" t="s">
        <v>161</v>
      </c>
      <c r="D28" t="s">
        <v>284</v>
      </c>
      <c r="E28" t="s">
        <v>16</v>
      </c>
      <c r="F28" t="n">
        <v>84.2148913765129</v>
      </c>
      <c r="G28" t="n">
        <v>86.0676289466499</v>
      </c>
      <c r="H28" t="n">
        <v>88.770411544812</v>
      </c>
      <c r="I28" t="n">
        <v>88.8905333663594</v>
      </c>
      <c r="J28" t="n">
        <v>89.5901242786681</v>
      </c>
      <c r="K28" t="n">
        <v>89.7424818144154</v>
      </c>
      <c r="L28" t="n">
        <v>89.3028059117461</v>
      </c>
      <c r="M28" t="n">
        <v>88.4954045734661</v>
      </c>
      <c r="N28" t="n">
        <v>89.7281327887236</v>
      </c>
      <c r="O28" t="n">
        <v>90.3652162487135</v>
      </c>
      <c r="P28" t="n">
        <v>91.0493841782167</v>
      </c>
      <c r="Q28" t="n">
        <v>91.2545681506782</v>
      </c>
      <c r="R28" t="n">
        <v>93.4611748685299</v>
      </c>
      <c r="S28" t="n">
        <v>95.4184373491897</v>
      </c>
      <c r="T28" t="n">
        <v>96.2456533227692</v>
      </c>
      <c r="U28" t="n">
        <v>96.7016000753772</v>
      </c>
      <c r="V28" t="n">
        <v>95.9372623002987</v>
      </c>
      <c r="W28" t="n">
        <v>97.3316437557272</v>
      </c>
      <c r="X28" t="n">
        <v>97.813789722462</v>
      </c>
      <c r="Y28" t="n">
        <v>99.1808349003162</v>
      </c>
      <c r="Z28" t="n">
        <v>100</v>
      </c>
      <c r="AA28" t="n">
        <v>100.408185097093</v>
      </c>
      <c r="AB28" t="n">
        <v>101.376404332295</v>
      </c>
      <c r="AC28" t="n">
        <v>103.796010695437</v>
      </c>
      <c r="AD28" t="n">
        <v>106.036013507781</v>
      </c>
      <c r="AE28" t="n">
        <v>106.46623458714</v>
      </c>
      <c r="AF28"/>
    </row>
    <row r="29">
      <c r="A29" t="s">
        <v>162</v>
      </c>
      <c r="B29" t="s">
        <v>283</v>
      </c>
      <c r="C29" t="s">
        <v>163</v>
      </c>
      <c r="D29" t="s">
        <v>284</v>
      </c>
      <c r="E29" t="s">
        <v>16</v>
      </c>
      <c r="F29" t="n">
        <v>92.5749702903244</v>
      </c>
      <c r="G29" t="n">
        <v>95.0492131437429</v>
      </c>
      <c r="H29" t="n">
        <v>99.2164274899376</v>
      </c>
      <c r="I29" t="n">
        <v>98.8764923802451</v>
      </c>
      <c r="J29" t="n">
        <v>98.3313308503141</v>
      </c>
      <c r="K29" t="n">
        <v>98.3982861776193</v>
      </c>
      <c r="L29" t="n">
        <v>96.6389237403762</v>
      </c>
      <c r="M29" t="n">
        <v>95.0475203250061</v>
      </c>
      <c r="N29" t="n">
        <v>95.5137336520332</v>
      </c>
      <c r="O29" t="n">
        <v>95.6985868990873</v>
      </c>
      <c r="P29" t="n">
        <v>96.3497015152494</v>
      </c>
      <c r="Q29" t="n">
        <v>96.0532629555888</v>
      </c>
      <c r="R29" t="n">
        <v>95.8630089970952</v>
      </c>
      <c r="S29" t="n">
        <v>96.8891485241296</v>
      </c>
      <c r="T29" t="n">
        <v>96.4696553789515</v>
      </c>
      <c r="U29" t="n">
        <v>96.5702634550737</v>
      </c>
      <c r="V29" t="n">
        <v>96.2162849336991</v>
      </c>
      <c r="W29" t="n">
        <v>97.2453360336035</v>
      </c>
      <c r="X29" t="n">
        <v>97.8008903060891</v>
      </c>
      <c r="Y29" t="n">
        <v>99.4824042294653</v>
      </c>
      <c r="Z29" t="n">
        <v>100</v>
      </c>
      <c r="AA29" t="n">
        <v>99.76257696465</v>
      </c>
      <c r="AB29" t="n">
        <v>99.6442576674469</v>
      </c>
      <c r="AC29" t="n">
        <v>102.775554593168</v>
      </c>
      <c r="AD29" t="n">
        <v>106.700953173953</v>
      </c>
      <c r="AE29" t="n">
        <v>107.526200756177</v>
      </c>
      <c r="AF29"/>
    </row>
    <row r="30">
      <c r="A30" t="s">
        <v>164</v>
      </c>
      <c r="B30" t="s">
        <v>283</v>
      </c>
      <c r="C30" t="s">
        <v>165</v>
      </c>
      <c r="D30" t="s">
        <v>284</v>
      </c>
      <c r="E30" t="s">
        <v>16</v>
      </c>
      <c r="F30" t="n">
        <v>107.595502684568</v>
      </c>
      <c r="G30" t="n">
        <v>102.086846335338</v>
      </c>
      <c r="H30" t="n">
        <v>94.4709187368646</v>
      </c>
      <c r="I30" t="n">
        <v>89.9240857917244</v>
      </c>
      <c r="J30" t="n">
        <v>86.5392255797457</v>
      </c>
      <c r="K30" t="n">
        <v>82.5929005798272</v>
      </c>
      <c r="L30" t="n">
        <v>82.7242133733129</v>
      </c>
      <c r="M30" t="n">
        <v>86.2936978066107</v>
      </c>
      <c r="N30" t="n">
        <v>93.2138509379943</v>
      </c>
      <c r="O30" t="n">
        <v>97.552570650355</v>
      </c>
      <c r="P30" t="n">
        <v>94.7351994469868</v>
      </c>
      <c r="Q30" t="n">
        <v>92.2165907834111</v>
      </c>
      <c r="R30" t="n">
        <v>89.6681503365951</v>
      </c>
      <c r="S30" t="n">
        <v>90.6490382770526</v>
      </c>
      <c r="T30" t="n">
        <v>93.9810350465525</v>
      </c>
      <c r="U30" t="n">
        <v>93.1936259023386</v>
      </c>
      <c r="V30" t="n">
        <v>94.7312085145362</v>
      </c>
      <c r="W30" t="n">
        <v>96.0641496140274</v>
      </c>
      <c r="X30" t="n">
        <v>97.2692495820071</v>
      </c>
      <c r="Y30" t="n">
        <v>97.757815538492</v>
      </c>
      <c r="Z30" t="n">
        <v>100</v>
      </c>
      <c r="AA30" t="n">
        <v>106.048675158137</v>
      </c>
      <c r="AB30" t="n">
        <v>112.631127884482</v>
      </c>
      <c r="AC30" t="n">
        <v>116.762659432026</v>
      </c>
      <c r="AD30" t="n">
        <v>115.945299549396</v>
      </c>
      <c r="AE30" t="n">
        <v>110.203736229173</v>
      </c>
      <c r="AF30"/>
    </row>
    <row r="31">
      <c r="A31" t="s">
        <v>166</v>
      </c>
      <c r="B31" t="s">
        <v>283</v>
      </c>
      <c r="C31" t="s">
        <v>167</v>
      </c>
      <c r="D31" t="s">
        <v>284</v>
      </c>
      <c r="E31" t="s">
        <v>16</v>
      </c>
      <c r="F31" t="n">
        <v>59.37365734392</v>
      </c>
      <c r="G31" t="n">
        <v>57.4290656238416</v>
      </c>
      <c r="H31" t="n">
        <v>60.1458063809055</v>
      </c>
      <c r="I31" t="n">
        <v>59.2052019140663</v>
      </c>
      <c r="J31" t="n">
        <v>57.1763825196997</v>
      </c>
      <c r="K31" t="n">
        <v>55.9177322538564</v>
      </c>
      <c r="L31" t="n">
        <v>54.5646776368644</v>
      </c>
      <c r="M31" t="n">
        <v>52.7338186462754</v>
      </c>
      <c r="N31" t="n">
        <v>54.3670465123178</v>
      </c>
      <c r="O31" t="n">
        <v>55.6377619917943</v>
      </c>
      <c r="P31" t="n">
        <v>60.4148530595812</v>
      </c>
      <c r="Q31" t="n">
        <v>63.6404428858046</v>
      </c>
      <c r="R31" t="n">
        <v>73.2491450241681</v>
      </c>
      <c r="S31" t="n">
        <v>88.4191821274622</v>
      </c>
      <c r="T31" t="n">
        <v>95.703557792445</v>
      </c>
      <c r="U31" t="n">
        <v>98.9109236632515</v>
      </c>
      <c r="V31" t="n">
        <v>93.263293454686</v>
      </c>
      <c r="W31" t="n">
        <v>95.8078220203924</v>
      </c>
      <c r="X31" t="n">
        <v>99.0483112683251</v>
      </c>
      <c r="Y31" t="n">
        <v>100.053180159002</v>
      </c>
      <c r="Z31" t="n">
        <v>100</v>
      </c>
      <c r="AA31" t="n">
        <v>100.94058077702</v>
      </c>
      <c r="AB31" t="n">
        <v>104.807791882294</v>
      </c>
      <c r="AC31" t="n">
        <v>106.095840386175</v>
      </c>
      <c r="AD31" t="n">
        <v>106.953948359139</v>
      </c>
      <c r="AE31" t="n">
        <v>113.25508753106</v>
      </c>
      <c r="AF31"/>
    </row>
    <row r="32">
      <c r="A32" t="s">
        <v>168</v>
      </c>
      <c r="B32" t="s">
        <v>283</v>
      </c>
      <c r="C32" t="s">
        <v>169</v>
      </c>
      <c r="D32" t="s">
        <v>284</v>
      </c>
      <c r="E32" t="s">
        <v>16</v>
      </c>
      <c r="F32" t="n">
        <v>75.6496061094534</v>
      </c>
      <c r="G32" t="n">
        <v>78.4307241779948</v>
      </c>
      <c r="H32" t="n">
        <v>79.389519891327</v>
      </c>
      <c r="I32" t="n">
        <v>81.2408340394922</v>
      </c>
      <c r="J32" t="n">
        <v>85.3647524545113</v>
      </c>
      <c r="K32" t="n">
        <v>87.2695678461394</v>
      </c>
      <c r="L32" t="n">
        <v>88.8878280818269</v>
      </c>
      <c r="M32" t="n">
        <v>88.6229395014379</v>
      </c>
      <c r="N32" t="n">
        <v>89.9127280134201</v>
      </c>
      <c r="O32" t="n">
        <v>90.4338734724009</v>
      </c>
      <c r="P32" t="n">
        <v>90.6946069651275</v>
      </c>
      <c r="Q32" t="n">
        <v>90.2716135632262</v>
      </c>
      <c r="R32" t="n">
        <v>90.8790327902502</v>
      </c>
      <c r="S32" t="n">
        <v>91.7951882655832</v>
      </c>
      <c r="T32" t="n">
        <v>93.1787424347965</v>
      </c>
      <c r="U32" t="n">
        <v>94.6184350252382</v>
      </c>
      <c r="V32" t="n">
        <v>95.2767426981769</v>
      </c>
      <c r="W32" t="n">
        <v>97.1631150355906</v>
      </c>
      <c r="X32" t="n">
        <v>97.066532384647</v>
      </c>
      <c r="Y32" t="n">
        <v>98.930470179967</v>
      </c>
      <c r="Z32" t="n">
        <v>100</v>
      </c>
      <c r="AA32" t="n">
        <v>99.8233394694786</v>
      </c>
      <c r="AB32" t="n">
        <v>100.225178135402</v>
      </c>
      <c r="AC32" t="n">
        <v>102.299673690874</v>
      </c>
      <c r="AD32" t="n">
        <v>103.970547950162</v>
      </c>
      <c r="AE32" t="n">
        <v>103.947172528168</v>
      </c>
      <c r="AF32"/>
    </row>
    <row r="33">
      <c r="A33" t="s">
        <v>170</v>
      </c>
      <c r="B33" t="s">
        <v>283</v>
      </c>
      <c r="C33" t="s">
        <v>171</v>
      </c>
      <c r="D33" t="s">
        <v>284</v>
      </c>
      <c r="E33" t="s">
        <v>16</v>
      </c>
      <c r="F33" t="n">
        <v>54.7045273859754</v>
      </c>
      <c r="G33" t="n">
        <v>64.7919380484732</v>
      </c>
      <c r="H33" t="n">
        <v>78.8978746200985</v>
      </c>
      <c r="I33" t="n">
        <v>85.1105041291895</v>
      </c>
      <c r="J33" t="n">
        <v>94.004411694619</v>
      </c>
      <c r="K33" t="n">
        <v>95.7562099410176</v>
      </c>
      <c r="L33" t="n">
        <v>99.7401192636633</v>
      </c>
      <c r="M33" t="n">
        <v>98.8963164917934</v>
      </c>
      <c r="N33" t="n">
        <v>96.9955671193288</v>
      </c>
      <c r="O33" t="n">
        <v>95.0594073246892</v>
      </c>
      <c r="P33" t="n">
        <v>95.6626434074006</v>
      </c>
      <c r="Q33" t="n">
        <v>103.075885222833</v>
      </c>
      <c r="R33" t="n">
        <v>134.272841093763</v>
      </c>
      <c r="S33" t="n">
        <v>126.197660874766</v>
      </c>
      <c r="T33" t="n">
        <v>119.258683436586</v>
      </c>
      <c r="U33" t="n">
        <v>114.100126470129</v>
      </c>
      <c r="V33" t="n">
        <v>106.674222928069</v>
      </c>
      <c r="W33" t="n">
        <v>106.673126725007</v>
      </c>
      <c r="X33" t="n">
        <v>101.052338095428</v>
      </c>
      <c r="Y33" t="n">
        <v>97.610298736963</v>
      </c>
      <c r="Z33" t="n">
        <v>100</v>
      </c>
      <c r="AA33" t="n">
        <v>97.9231450179898</v>
      </c>
      <c r="AB33" t="n">
        <v>94.6484014185393</v>
      </c>
      <c r="AC33" t="n">
        <v>88.7551350822213</v>
      </c>
      <c r="AD33" t="n">
        <v>82.9985680868406</v>
      </c>
      <c r="AE33" t="n">
        <v>77.1921263735699</v>
      </c>
      <c r="AF33"/>
    </row>
    <row r="34">
      <c r="A34" t="s">
        <v>172</v>
      </c>
      <c r="B34" t="s">
        <v>283</v>
      </c>
      <c r="C34" t="s">
        <v>173</v>
      </c>
      <c r="D34" t="s">
        <v>284</v>
      </c>
      <c r="E34" t="s">
        <v>16</v>
      </c>
      <c r="F34" t="n">
        <v>94.7018579332192</v>
      </c>
      <c r="G34" t="n">
        <v>99.0939596956835</v>
      </c>
      <c r="H34" t="n">
        <v>102.090104612296</v>
      </c>
      <c r="I34" t="n">
        <v>102.907794066123</v>
      </c>
      <c r="J34" t="n">
        <v>105.372104339579</v>
      </c>
      <c r="K34" t="n">
        <v>108.156432796063</v>
      </c>
      <c r="L34" t="n">
        <v>110.901518368586</v>
      </c>
      <c r="M34" t="n">
        <v>111.395126218588</v>
      </c>
      <c r="N34" t="n">
        <v>108.787403798959</v>
      </c>
      <c r="O34" t="n">
        <v>107.302696929782</v>
      </c>
      <c r="P34" t="n">
        <v>104.856516527557</v>
      </c>
      <c r="Q34" t="n">
        <v>110.361776763475</v>
      </c>
      <c r="R34" t="n">
        <v>115.851629540525</v>
      </c>
      <c r="S34" t="n">
        <v>116.372802983058</v>
      </c>
      <c r="T34" t="n">
        <v>113.157446013718</v>
      </c>
      <c r="U34" t="n">
        <v>110.142627178912</v>
      </c>
      <c r="V34" t="n">
        <v>107.28483890486</v>
      </c>
      <c r="W34" t="n">
        <v>106.560583405235</v>
      </c>
      <c r="X34" t="n">
        <v>102.568310237974</v>
      </c>
      <c r="Y34" t="n">
        <v>101.429853102033</v>
      </c>
      <c r="Z34" t="n">
        <v>100</v>
      </c>
      <c r="AA34" t="n">
        <v>96.8777867834353</v>
      </c>
      <c r="AB34" t="n">
        <v>94.8576768078545</v>
      </c>
      <c r="AC34" t="n">
        <v>92.6830420077834</v>
      </c>
      <c r="AD34" t="n">
        <v>90.0444729004223</v>
      </c>
      <c r="AE34" t="n">
        <v>86.1981734670375</v>
      </c>
      <c r="AF34"/>
    </row>
    <row r="35">
      <c r="A35" t="s">
        <v>174</v>
      </c>
      <c r="B35" t="s">
        <v>283</v>
      </c>
      <c r="C35" t="s">
        <v>175</v>
      </c>
      <c r="D35" t="s">
        <v>284</v>
      </c>
      <c r="E35" t="s">
        <v>16</v>
      </c>
      <c r="F35" t="n">
        <v>38.2250939680455</v>
      </c>
      <c r="G35" t="n">
        <v>45.0762627780794</v>
      </c>
      <c r="H35" t="n">
        <v>50.3845985213939</v>
      </c>
      <c r="I35" t="n">
        <v>55.3711094578875</v>
      </c>
      <c r="J35" t="n">
        <v>60.731384783432</v>
      </c>
      <c r="K35" t="n">
        <v>65.4163272820182</v>
      </c>
      <c r="L35" t="n">
        <v>69.6069860518568</v>
      </c>
      <c r="M35" t="n">
        <v>73.053055345788</v>
      </c>
      <c r="N35" t="n">
        <v>76.7451725504946</v>
      </c>
      <c r="O35" t="n">
        <v>79.6932014252657</v>
      </c>
      <c r="P35" t="n">
        <v>82.3153567633501</v>
      </c>
      <c r="Q35" t="n">
        <v>85.1205491292777</v>
      </c>
      <c r="R35" t="n">
        <v>86.3651136392105</v>
      </c>
      <c r="S35" t="n">
        <v>87.8999346092559</v>
      </c>
      <c r="T35" t="n">
        <v>88.5279384454987</v>
      </c>
      <c r="U35" t="n">
        <v>89.7431341459294</v>
      </c>
      <c r="V35" t="n">
        <v>90.8862950883576</v>
      </c>
      <c r="W35" t="n">
        <v>93.706885516822</v>
      </c>
      <c r="X35" t="n">
        <v>96.0602715552626</v>
      </c>
      <c r="Y35" t="n">
        <v>97.8956552627397</v>
      </c>
      <c r="Z35" t="n">
        <v>100</v>
      </c>
      <c r="AA35" t="n">
        <v>100.772050929245</v>
      </c>
      <c r="AB35" t="n">
        <v>101.394880989215</v>
      </c>
      <c r="AC35" t="n">
        <v>101.930869009993</v>
      </c>
      <c r="AD35" t="n">
        <v>102.599286489351</v>
      </c>
      <c r="AE35" t="n">
        <v>102.435885269859</v>
      </c>
      <c r="AF35"/>
    </row>
    <row r="36">
      <c r="A36" t="s">
        <v>176</v>
      </c>
      <c r="B36" t="s">
        <v>283</v>
      </c>
      <c r="C36" t="s">
        <v>177</v>
      </c>
      <c r="D36" t="s">
        <v>284</v>
      </c>
      <c r="E36" t="s">
        <v>16</v>
      </c>
      <c r="F36" t="n">
        <v>44.947982290831</v>
      </c>
      <c r="G36" t="n">
        <v>62.3511583985848</v>
      </c>
      <c r="H36" t="n">
        <v>69.9928028377793</v>
      </c>
      <c r="I36" t="n">
        <v>73.0958572112502</v>
      </c>
      <c r="J36" t="n">
        <v>77.9964349342338</v>
      </c>
      <c r="K36" t="n">
        <v>79.6130080070003</v>
      </c>
      <c r="L36" t="n">
        <v>82.2390470548173</v>
      </c>
      <c r="M36" t="n">
        <v>83.9758375356975</v>
      </c>
      <c r="N36" t="n">
        <v>89.1539150003355</v>
      </c>
      <c r="O36" t="n">
        <v>89.9527461503203</v>
      </c>
      <c r="P36" t="n">
        <v>92.8485244506294</v>
      </c>
      <c r="Q36" t="n">
        <v>95.7277434637928</v>
      </c>
      <c r="R36" t="n">
        <v>96.3696330505746</v>
      </c>
      <c r="S36" t="n">
        <v>95.3963992357523</v>
      </c>
      <c r="T36" t="n">
        <v>95.6559412461364</v>
      </c>
      <c r="U36" t="n">
        <v>96.6776566528175</v>
      </c>
      <c r="V36" t="n">
        <v>97.1448439313926</v>
      </c>
      <c r="W36" t="n">
        <v>98.4476994818955</v>
      </c>
      <c r="X36" t="n">
        <v>99.2090291833296</v>
      </c>
      <c r="Y36" t="n">
        <v>100.52205511621</v>
      </c>
      <c r="Z36" t="n">
        <v>100</v>
      </c>
      <c r="AA36" t="n">
        <v>99.4106006655511</v>
      </c>
      <c r="AB36" t="n">
        <v>98.5152423920085</v>
      </c>
      <c r="AC36" t="n">
        <v>96.775154467811</v>
      </c>
      <c r="AD36" t="n">
        <v>98.3455567626089</v>
      </c>
      <c r="AE36" t="n">
        <v>96.7142575099152</v>
      </c>
      <c r="AF36"/>
    </row>
    <row r="37">
      <c r="A37" t="s">
        <v>178</v>
      </c>
      <c r="B37" t="s">
        <v>283</v>
      </c>
      <c r="C37" t="s">
        <v>179</v>
      </c>
      <c r="D37" t="s">
        <v>284</v>
      </c>
      <c r="E37" t="s">
        <v>16</v>
      </c>
      <c r="F37" t="n">
        <v>35.4831915373169</v>
      </c>
      <c r="G37" t="n">
        <v>42.3774139161403</v>
      </c>
      <c r="H37" t="n">
        <v>48.8693582659214</v>
      </c>
      <c r="I37" t="n">
        <v>55.3923998022484</v>
      </c>
      <c r="J37" t="n">
        <v>62.5125380408281</v>
      </c>
      <c r="K37" t="n">
        <v>68.560120443004</v>
      </c>
      <c r="L37" t="n">
        <v>72.5840600375433</v>
      </c>
      <c r="M37" t="n">
        <v>74.1635410857076</v>
      </c>
      <c r="N37" t="n">
        <v>75.0306255588641</v>
      </c>
      <c r="O37" t="n">
        <v>74.7245212167949</v>
      </c>
      <c r="P37" t="n">
        <v>75.1642984729624</v>
      </c>
      <c r="Q37" t="n">
        <v>77.5276132633383</v>
      </c>
      <c r="R37" t="n">
        <v>79.6875927726018</v>
      </c>
      <c r="S37" t="n">
        <v>81.8924696976339</v>
      </c>
      <c r="T37" t="n">
        <v>84.1666347256803</v>
      </c>
      <c r="U37" t="n">
        <v>85.214554198931</v>
      </c>
      <c r="V37" t="n">
        <v>87.5186744838642</v>
      </c>
      <c r="W37" t="n">
        <v>92.4621845729865</v>
      </c>
      <c r="X37" t="n">
        <v>96.0521787113697</v>
      </c>
      <c r="Y37" t="n">
        <v>98.3952300101057</v>
      </c>
      <c r="Z37" t="n">
        <v>100</v>
      </c>
      <c r="AA37" t="n">
        <v>101.611900888156</v>
      </c>
      <c r="AB37" t="n">
        <v>103.210992224354</v>
      </c>
      <c r="AC37" t="n">
        <v>102.524027545313</v>
      </c>
      <c r="AD37" t="n">
        <v>103.027328827171</v>
      </c>
      <c r="AE37" t="n">
        <v>104.641194457086</v>
      </c>
      <c r="AF37"/>
    </row>
    <row r="38">
      <c r="A38" t="s">
        <v>180</v>
      </c>
      <c r="B38" t="s">
        <v>283</v>
      </c>
      <c r="C38" t="s">
        <v>181</v>
      </c>
      <c r="D38" t="s">
        <v>284</v>
      </c>
      <c r="E38" t="s">
        <v>16</v>
      </c>
      <c r="F38" t="n">
        <v>40.1580713878182</v>
      </c>
      <c r="G38" t="n">
        <v>41.0786418175152</v>
      </c>
      <c r="H38" t="n">
        <v>42.8744027182228</v>
      </c>
      <c r="I38" t="n">
        <v>46.2030542470686</v>
      </c>
      <c r="J38" t="n">
        <v>48.8046075043717</v>
      </c>
      <c r="K38" t="n">
        <v>52.8120745470998</v>
      </c>
      <c r="L38" t="n">
        <v>58.0102652319423</v>
      </c>
      <c r="M38" t="n">
        <v>65.1045941627387</v>
      </c>
      <c r="N38" t="n">
        <v>72.6272867494694</v>
      </c>
      <c r="O38" t="n">
        <v>82.3108025145106</v>
      </c>
      <c r="P38" t="n">
        <v>88.8359852666151</v>
      </c>
      <c r="Q38" t="n">
        <v>92.466050062948</v>
      </c>
      <c r="R38" t="n">
        <v>92.2741907060521</v>
      </c>
      <c r="S38" t="n">
        <v>93.8575820085885</v>
      </c>
      <c r="T38" t="n">
        <v>91.7522803299154</v>
      </c>
      <c r="U38" t="n">
        <v>93.3506200011233</v>
      </c>
      <c r="V38" t="n">
        <v>92.9385155841015</v>
      </c>
      <c r="W38" t="n">
        <v>93.1816471112436</v>
      </c>
      <c r="X38" t="n">
        <v>94.5367617773797</v>
      </c>
      <c r="Y38" t="n">
        <v>95.9532954314888</v>
      </c>
      <c r="Z38" t="n">
        <v>100</v>
      </c>
      <c r="AA38" t="n">
        <v>100.453421376967</v>
      </c>
      <c r="AB38" t="n">
        <v>100.689800218819</v>
      </c>
      <c r="AC38" t="n">
        <v>103.775203004646</v>
      </c>
      <c r="AD38" t="n">
        <v>104.214210633544</v>
      </c>
      <c r="AE38" t="n">
        <v>102.743928812921</v>
      </c>
      <c r="AF38"/>
    </row>
    <row r="39">
      <c r="A39" t="s">
        <v>182</v>
      </c>
      <c r="B39" t="s">
        <v>283</v>
      </c>
      <c r="C39" t="s">
        <v>183</v>
      </c>
      <c r="D39" t="s">
        <v>284</v>
      </c>
      <c r="E39" t="s">
        <v>16</v>
      </c>
      <c r="F39" t="n">
        <v>42.0370976272214</v>
      </c>
      <c r="G39" t="n">
        <v>48.0507092713866</v>
      </c>
      <c r="H39" t="n">
        <v>52.7200469929462</v>
      </c>
      <c r="I39" t="n">
        <v>58.3874469232451</v>
      </c>
      <c r="J39" t="n">
        <v>60.949560404909</v>
      </c>
      <c r="K39" t="n">
        <v>63.3091189240519</v>
      </c>
      <c r="L39" t="n">
        <v>68.7766871696183</v>
      </c>
      <c r="M39" t="n">
        <v>73.1490564725386</v>
      </c>
      <c r="N39" t="n">
        <v>79.3085378047626</v>
      </c>
      <c r="O39" t="n">
        <v>85.8983729201947</v>
      </c>
      <c r="P39" t="n">
        <v>86.6363679717752</v>
      </c>
      <c r="Q39" t="n">
        <v>86.7478611263615</v>
      </c>
      <c r="R39" t="n">
        <v>87.710444860049</v>
      </c>
      <c r="S39" t="n">
        <v>89.2160359492809</v>
      </c>
      <c r="T39" t="n">
        <v>95.2444576874145</v>
      </c>
      <c r="U39" t="n">
        <v>97.8503034561154</v>
      </c>
      <c r="V39" t="n">
        <v>96.0567830045481</v>
      </c>
      <c r="W39" t="n">
        <v>95.1943861417786</v>
      </c>
      <c r="X39" t="n">
        <v>95.6800639799008</v>
      </c>
      <c r="Y39" t="n">
        <v>98.1230009255584</v>
      </c>
      <c r="Z39" t="n">
        <v>100</v>
      </c>
      <c r="AA39" t="n">
        <v>99.8557925735024</v>
      </c>
      <c r="AB39" t="n">
        <v>100.338793512686</v>
      </c>
      <c r="AC39" t="n">
        <v>100.170198384868</v>
      </c>
      <c r="AD39" t="n">
        <v>100.572456336445</v>
      </c>
      <c r="AE39" t="n">
        <v>100.679471494241</v>
      </c>
      <c r="AF39"/>
    </row>
    <row r="40">
      <c r="A40" t="s">
        <v>184</v>
      </c>
      <c r="B40" t="s">
        <v>283</v>
      </c>
      <c r="C40" t="s">
        <v>185</v>
      </c>
      <c r="D40" t="s">
        <v>284</v>
      </c>
      <c r="E40" t="s">
        <v>16</v>
      </c>
      <c r="F40" t="n">
        <v>98.8508051313677</v>
      </c>
      <c r="G40" t="n">
        <v>101.804827509686</v>
      </c>
      <c r="H40" t="n">
        <v>103.648905377006</v>
      </c>
      <c r="I40" t="n">
        <v>104.407144263854</v>
      </c>
      <c r="J40" t="n">
        <v>105.19724277762</v>
      </c>
      <c r="K40" t="n">
        <v>105.994158740596</v>
      </c>
      <c r="L40" t="n">
        <v>106.489137166921</v>
      </c>
      <c r="M40" t="n">
        <v>106.68348606999</v>
      </c>
      <c r="N40" t="n">
        <v>106.680254872154</v>
      </c>
      <c r="O40" t="n">
        <v>106.664900155662</v>
      </c>
      <c r="P40" t="n">
        <v>107.228274220212</v>
      </c>
      <c r="Q40" t="n">
        <v>107.402978489144</v>
      </c>
      <c r="R40" t="n">
        <v>106.942527126524</v>
      </c>
      <c r="S40" t="n">
        <v>106.261142205943</v>
      </c>
      <c r="T40" t="n">
        <v>104.809700515273</v>
      </c>
      <c r="U40" t="n">
        <v>103.480475759023</v>
      </c>
      <c r="V40" t="n">
        <v>102.239720714436</v>
      </c>
      <c r="W40" t="n">
        <v>101.13055482475</v>
      </c>
      <c r="X40" t="n">
        <v>100.527287667969</v>
      </c>
      <c r="Y40" t="n">
        <v>100.229197181913</v>
      </c>
      <c r="Z40" t="n">
        <v>100</v>
      </c>
      <c r="AA40" t="n">
        <v>99.667429373279</v>
      </c>
      <c r="AB40" t="n">
        <v>99.3731793275687</v>
      </c>
      <c r="AC40" t="n">
        <v>99.4071267631196</v>
      </c>
      <c r="AD40" t="n">
        <v>100.318568212531</v>
      </c>
      <c r="AE40" t="n">
        <v>101.300039199301</v>
      </c>
      <c r="AF40"/>
    </row>
    <row r="41">
      <c r="A41" t="s">
        <v>186</v>
      </c>
      <c r="B41" t="s">
        <v>283</v>
      </c>
      <c r="C41" t="s">
        <v>187</v>
      </c>
      <c r="D41" t="s">
        <v>284</v>
      </c>
      <c r="E41" t="s">
        <v>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283</v>
      </c>
      <c r="C42" t="s">
        <v>189</v>
      </c>
      <c r="D42" t="s">
        <v>284</v>
      </c>
      <c r="E42" t="s">
        <v>16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283</v>
      </c>
      <c r="C43" t="s">
        <v>191</v>
      </c>
      <c r="D43" t="s">
        <v>284</v>
      </c>
      <c r="E43" t="s">
        <v>16</v>
      </c>
      <c r="F43" t="n">
        <v>52.1842799424041</v>
      </c>
      <c r="G43" t="n">
        <v>54.7343056608739</v>
      </c>
      <c r="H43" t="n">
        <v>60.8175346107822</v>
      </c>
      <c r="I43" t="n">
        <v>62.4819404497234</v>
      </c>
      <c r="J43" t="n">
        <v>61.4895088758557</v>
      </c>
      <c r="K43" t="n">
        <v>60.6681500385891</v>
      </c>
      <c r="L43" t="n">
        <v>61.3459655897932</v>
      </c>
      <c r="M43" t="n">
        <v>65.910163539647</v>
      </c>
      <c r="N43" t="n">
        <v>70.384542413599</v>
      </c>
      <c r="O43" t="n">
        <v>75.2472932014627</v>
      </c>
      <c r="P43" t="n">
        <v>80.1073746435153</v>
      </c>
      <c r="Q43" t="n">
        <v>90.0587216798089</v>
      </c>
      <c r="R43" t="n">
        <v>94.1580235251104</v>
      </c>
      <c r="S43" t="n">
        <v>94.0666030788663</v>
      </c>
      <c r="T43" t="n">
        <v>93.061151686326</v>
      </c>
      <c r="U43" t="n">
        <v>92.773206013503</v>
      </c>
      <c r="V43" t="n">
        <v>93.263762805739</v>
      </c>
      <c r="W43" t="n">
        <v>93.8559693250165</v>
      </c>
      <c r="X43" t="n">
        <v>95.8947184210051</v>
      </c>
      <c r="Y43" t="n">
        <v>96.7954447928566</v>
      </c>
      <c r="Z43" t="n">
        <v>100</v>
      </c>
      <c r="AA43" t="n">
        <v>102.877225894944</v>
      </c>
      <c r="AB43" t="n">
        <v>106.582196679942</v>
      </c>
      <c r="AC43" t="n">
        <v>109.599073600831</v>
      </c>
      <c r="AD43" t="n">
        <v>113.532911910983</v>
      </c>
      <c r="AE43" t="n">
        <v>114.419002776725</v>
      </c>
      <c r="AF43"/>
    </row>
    <row r="44">
      <c r="A44" t="s">
        <v>192</v>
      </c>
      <c r="B44" t="s">
        <v>283</v>
      </c>
      <c r="C44" t="s">
        <v>193</v>
      </c>
      <c r="D44" t="s">
        <v>284</v>
      </c>
      <c r="E44" t="s">
        <v>16</v>
      </c>
      <c r="F44" t="n">
        <v>74.8569608860559</v>
      </c>
      <c r="G44" t="n">
        <v>78.4984388447599</v>
      </c>
      <c r="H44" t="n">
        <v>81.9341339688779</v>
      </c>
      <c r="I44" t="n">
        <v>84.2269771648074</v>
      </c>
      <c r="J44" t="n">
        <v>85.6980843455</v>
      </c>
      <c r="K44" t="n">
        <v>87.3993605369535</v>
      </c>
      <c r="L44" t="n">
        <v>89.0738787216266</v>
      </c>
      <c r="M44" t="n">
        <v>89.6909424557157</v>
      </c>
      <c r="N44" t="n">
        <v>90.6632651599758</v>
      </c>
      <c r="O44" t="n">
        <v>92.0131910901277</v>
      </c>
      <c r="P44" t="n">
        <v>93.8495538071208</v>
      </c>
      <c r="Q44" t="n">
        <v>95.7735547127595</v>
      </c>
      <c r="R44" t="n">
        <v>97.8433506095105</v>
      </c>
      <c r="S44" t="n">
        <v>99.2916316149984</v>
      </c>
      <c r="T44" t="n">
        <v>98.4762321410678</v>
      </c>
      <c r="U44" t="n">
        <v>97.7141977479642</v>
      </c>
      <c r="V44" t="n">
        <v>97.2197400833911</v>
      </c>
      <c r="W44" t="n">
        <v>97.5253873012909</v>
      </c>
      <c r="X44" t="n">
        <v>97.944669068651</v>
      </c>
      <c r="Y44" t="n">
        <v>98.7373273185007</v>
      </c>
      <c r="Z44" t="n">
        <v>100</v>
      </c>
      <c r="AA44" t="n">
        <v>100.724321958394</v>
      </c>
      <c r="AB44" t="n">
        <v>101.75571908727</v>
      </c>
      <c r="AC44" t="n">
        <v>102.946863977845</v>
      </c>
      <c r="AD44" t="n">
        <v>103.943378704304</v>
      </c>
      <c r="AE44" t="n">
        <v>103.860893668403</v>
      </c>
      <c r="AF44"/>
    </row>
    <row r="45">
      <c r="A45" t="s">
        <v>194</v>
      </c>
      <c r="B45" t="s">
        <v>283</v>
      </c>
      <c r="C45" t="s">
        <v>195</v>
      </c>
      <c r="D45" t="s">
        <v>284</v>
      </c>
      <c r="E45" t="s">
        <v>16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283</v>
      </c>
      <c r="C46" t="s">
        <v>197</v>
      </c>
      <c r="D46" t="s">
        <v>284</v>
      </c>
      <c r="E46" t="s">
        <v>16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283</v>
      </c>
      <c r="C47" t="s">
        <v>199</v>
      </c>
      <c r="D47" t="s">
        <v>284</v>
      </c>
      <c r="E47" t="s">
        <v>16</v>
      </c>
      <c r="F47" t="n">
        <v>79.5446663102106</v>
      </c>
      <c r="G47" t="n">
        <v>83.6469789473564</v>
      </c>
      <c r="H47" t="n">
        <v>86.9064691986459</v>
      </c>
      <c r="I47" t="n">
        <v>88.9086283674614</v>
      </c>
      <c r="J47" t="n">
        <v>91.9225804646305</v>
      </c>
      <c r="K47" t="n">
        <v>94.2801852623814</v>
      </c>
      <c r="L47" t="n">
        <v>95.9025641069639</v>
      </c>
      <c r="M47" t="n">
        <v>97.2716591832582</v>
      </c>
      <c r="N47" t="n">
        <v>98.259164527434</v>
      </c>
      <c r="O47" t="n">
        <v>98.6892124445183</v>
      </c>
      <c r="P47" t="n">
        <v>98.8293420560159</v>
      </c>
      <c r="Q47" t="n">
        <v>98.7604536807543</v>
      </c>
      <c r="R47" t="n">
        <v>98.5291366962172</v>
      </c>
      <c r="S47" t="n">
        <v>98.1435612435548</v>
      </c>
      <c r="T47" t="n">
        <v>98.1376667905095</v>
      </c>
      <c r="U47" t="n">
        <v>98.4212494912285</v>
      </c>
      <c r="V47" t="n">
        <v>98.3183258695076</v>
      </c>
      <c r="W47" t="n">
        <v>97.9162169471531</v>
      </c>
      <c r="X47" t="n">
        <v>97.9332079640636</v>
      </c>
      <c r="Y47" t="n">
        <v>98.8414940526556</v>
      </c>
      <c r="Z47" t="n">
        <v>100</v>
      </c>
      <c r="AA47" t="n">
        <v>101.193066272002</v>
      </c>
      <c r="AB47" t="n">
        <v>102.546835769304</v>
      </c>
      <c r="AC47" t="n">
        <v>103.077185834523</v>
      </c>
      <c r="AD47" t="n">
        <v>103.74368273102</v>
      </c>
      <c r="AE47" t="n">
        <v>104.652488588648</v>
      </c>
      <c r="AF47"/>
    </row>
    <row r="48">
      <c r="A48" t="s">
        <v>200</v>
      </c>
      <c r="B48" t="s">
        <v>283</v>
      </c>
      <c r="C48" t="s">
        <v>201</v>
      </c>
      <c r="D48" t="s">
        <v>284</v>
      </c>
      <c r="E48" t="s">
        <v>16</v>
      </c>
      <c r="F48" t="n">
        <v>75.6215821625406</v>
      </c>
      <c r="G48" t="n">
        <v>79.8111965078734</v>
      </c>
      <c r="H48" t="n">
        <v>83.0717519434091</v>
      </c>
      <c r="I48" t="n">
        <v>85.4140553963707</v>
      </c>
      <c r="J48" t="n">
        <v>88.6462681170006</v>
      </c>
      <c r="K48" t="n">
        <v>90.9961449355721</v>
      </c>
      <c r="L48" t="n">
        <v>92.8253843228433</v>
      </c>
      <c r="M48" t="n">
        <v>94.5240375507595</v>
      </c>
      <c r="N48" t="n">
        <v>95.5366577734835</v>
      </c>
      <c r="O48" t="n">
        <v>96.3416386951221</v>
      </c>
      <c r="P48" t="n">
        <v>97.0069083793934</v>
      </c>
      <c r="Q48" t="n">
        <v>97.1437920948089</v>
      </c>
      <c r="R48" t="n">
        <v>97.0191165360501</v>
      </c>
      <c r="S48" t="n">
        <v>96.6101661253095</v>
      </c>
      <c r="T48" t="n">
        <v>96.5973917722379</v>
      </c>
      <c r="U48" t="n">
        <v>97.0900037110625</v>
      </c>
      <c r="V48" t="n">
        <v>97.3311371313783</v>
      </c>
      <c r="W48" t="n">
        <v>97.431699128487</v>
      </c>
      <c r="X48" t="n">
        <v>98.0387792334391</v>
      </c>
      <c r="Y48" t="n">
        <v>99.096355898861</v>
      </c>
      <c r="Z48" t="n">
        <v>100</v>
      </c>
      <c r="AA48" t="n">
        <v>100.710512384634</v>
      </c>
      <c r="AB48" t="n">
        <v>101.538231566403</v>
      </c>
      <c r="AC48" t="n">
        <v>101.812276881976</v>
      </c>
      <c r="AD48" t="n">
        <v>102.322336128867</v>
      </c>
      <c r="AE48" t="n">
        <v>102.878404026532</v>
      </c>
      <c r="AF48"/>
    </row>
    <row r="49">
      <c r="A49" t="s">
        <v>202</v>
      </c>
      <c r="B49" t="s">
        <v>283</v>
      </c>
      <c r="C49" t="s">
        <v>203</v>
      </c>
      <c r="D49" t="s">
        <v>284</v>
      </c>
      <c r="E49" t="s">
        <v>16</v>
      </c>
      <c r="F49" t="n">
        <v>87.0288865684715</v>
      </c>
      <c r="G49" t="n">
        <v>89.0484737886953</v>
      </c>
      <c r="H49" t="n">
        <v>90.3551289080527</v>
      </c>
      <c r="I49" t="n">
        <v>91.639403522524</v>
      </c>
      <c r="J49" t="n">
        <v>92.9541926526759</v>
      </c>
      <c r="K49" t="n">
        <v>93.2970269554593</v>
      </c>
      <c r="L49" t="n">
        <v>93.946324555985</v>
      </c>
      <c r="M49" t="n">
        <v>94.5052486962708</v>
      </c>
      <c r="N49" t="n">
        <v>94.5853848239244</v>
      </c>
      <c r="O49" t="n">
        <v>94.7242319156769</v>
      </c>
      <c r="P49" t="n">
        <v>95.3938009529094</v>
      </c>
      <c r="Q49" t="n">
        <v>95.7090909716802</v>
      </c>
      <c r="R49" t="n">
        <v>95.8412686307366</v>
      </c>
      <c r="S49" t="n">
        <v>95.8217344522638</v>
      </c>
      <c r="T49" t="n">
        <v>96.9385254270109</v>
      </c>
      <c r="U49" t="n">
        <v>97.9272148933039</v>
      </c>
      <c r="V49" t="n">
        <v>98.1407482840047</v>
      </c>
      <c r="W49" t="n">
        <v>98.4047038196164</v>
      </c>
      <c r="X49" t="n">
        <v>99.6370379959033</v>
      </c>
      <c r="Y49" t="n">
        <v>100.309127586218</v>
      </c>
      <c r="Z49" t="n">
        <v>100</v>
      </c>
      <c r="AA49" t="n">
        <v>99.1035672214184</v>
      </c>
      <c r="AB49" t="n">
        <v>97.8425672218319</v>
      </c>
      <c r="AC49" t="n">
        <v>97.1384628252361</v>
      </c>
      <c r="AD49" t="n">
        <v>96.8685144045256</v>
      </c>
      <c r="AE49" t="n">
        <v>97.0596285096574</v>
      </c>
      <c r="AF49"/>
    </row>
    <row r="50">
      <c r="A50" t="s">
        <v>204</v>
      </c>
      <c r="B50" t="s">
        <v>283</v>
      </c>
      <c r="C50" t="s">
        <v>205</v>
      </c>
      <c r="D50" t="s">
        <v>284</v>
      </c>
      <c r="E50" t="s">
        <v>16</v>
      </c>
      <c r="F50" t="n">
        <v>50.6552134887387</v>
      </c>
      <c r="G50" t="n">
        <v>57.0979301971179</v>
      </c>
      <c r="H50" t="n">
        <v>62.0261333039581</v>
      </c>
      <c r="I50" t="n">
        <v>66.5026875827643</v>
      </c>
      <c r="J50" t="n">
        <v>71.8929825550523</v>
      </c>
      <c r="K50" t="n">
        <v>75.6495361998215</v>
      </c>
      <c r="L50" t="n">
        <v>78.7349840787677</v>
      </c>
      <c r="M50" t="n">
        <v>82.1544438910746</v>
      </c>
      <c r="N50" t="n">
        <v>83.8319345976286</v>
      </c>
      <c r="O50" t="n">
        <v>86.5044752552178</v>
      </c>
      <c r="P50" t="n">
        <v>89.087833369667</v>
      </c>
      <c r="Q50" t="n">
        <v>89.8250222679502</v>
      </c>
      <c r="R50" t="n">
        <v>89.7717024058219</v>
      </c>
      <c r="S50" t="n">
        <v>88.6160993852268</v>
      </c>
      <c r="T50" t="n">
        <v>87.4975210421164</v>
      </c>
      <c r="U50" t="n">
        <v>88.7694988127054</v>
      </c>
      <c r="V50" t="n">
        <v>90.9678504366939</v>
      </c>
      <c r="W50" t="n">
        <v>93.1201933357365</v>
      </c>
      <c r="X50" t="n">
        <v>96.013609295531</v>
      </c>
      <c r="Y50" t="n">
        <v>98.514817115965</v>
      </c>
      <c r="Z50" t="n">
        <v>100</v>
      </c>
      <c r="AA50" t="n">
        <v>101.009224293897</v>
      </c>
      <c r="AB50" t="n">
        <v>102.622315170544</v>
      </c>
      <c r="AC50" t="n">
        <v>102.244507890304</v>
      </c>
      <c r="AD50" t="n">
        <v>102.422838984252</v>
      </c>
      <c r="AE50" t="n">
        <v>101.851896609776</v>
      </c>
      <c r="AF50"/>
    </row>
    <row r="51">
      <c r="A51" t="s">
        <v>206</v>
      </c>
      <c r="B51" t="s">
        <v>283</v>
      </c>
      <c r="C51" t="s">
        <v>207</v>
      </c>
      <c r="D51" t="s">
        <v>284</v>
      </c>
      <c r="E51" t="s">
        <v>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283</v>
      </c>
      <c r="C52" t="s">
        <v>209</v>
      </c>
      <c r="D52" t="s">
        <v>284</v>
      </c>
      <c r="E52" t="s">
        <v>16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283</v>
      </c>
      <c r="C53" t="s">
        <v>211</v>
      </c>
      <c r="D53" t="s">
        <v>284</v>
      </c>
      <c r="E53" t="s">
        <v>16</v>
      </c>
      <c r="F53" t="n">
        <v>72.7225902597298</v>
      </c>
      <c r="G53" t="n">
        <v>76.8295469220113</v>
      </c>
      <c r="H53" t="n">
        <v>81.6083437265385</v>
      </c>
      <c r="I53" t="n">
        <v>83.8210980045585</v>
      </c>
      <c r="J53" t="n">
        <v>85.950752724422</v>
      </c>
      <c r="K53" t="n">
        <v>89.3913698751615</v>
      </c>
      <c r="L53" t="n">
        <v>95.3576987915123</v>
      </c>
      <c r="M53" t="n">
        <v>97.3770138771058</v>
      </c>
      <c r="N53" t="n">
        <v>101.525227185948</v>
      </c>
      <c r="O53" t="n">
        <v>106.684256221627</v>
      </c>
      <c r="P53" t="n">
        <v>110.66992472117</v>
      </c>
      <c r="Q53" t="n">
        <v>113.279804138412</v>
      </c>
      <c r="R53" t="n">
        <v>112.238453169362</v>
      </c>
      <c r="S53" t="n">
        <v>113.391851910317</v>
      </c>
      <c r="T53" t="n">
        <v>110.79937516005</v>
      </c>
      <c r="U53" t="n">
        <v>108.241408833697</v>
      </c>
      <c r="V53" t="n">
        <v>105.543581228389</v>
      </c>
      <c r="W53" t="n">
        <v>103.384191205797</v>
      </c>
      <c r="X53" t="n">
        <v>102.006949254822</v>
      </c>
      <c r="Y53" t="n">
        <v>100.724577865834</v>
      </c>
      <c r="Z53" t="n">
        <v>100</v>
      </c>
      <c r="AA53" t="n">
        <v>97.5324227671758</v>
      </c>
      <c r="AB53" t="n">
        <v>94.9612124438584</v>
      </c>
      <c r="AC53" t="n">
        <v>94.2877956754146</v>
      </c>
      <c r="AD53" t="n">
        <v>92.9375101220893</v>
      </c>
      <c r="AE53" t="n">
        <v>87.3074584707182</v>
      </c>
      <c r="AF53"/>
    </row>
    <row r="54">
      <c r="A54" t="s">
        <v>212</v>
      </c>
      <c r="B54" t="s">
        <v>283</v>
      </c>
      <c r="C54" t="s">
        <v>213</v>
      </c>
      <c r="D54" t="s">
        <v>284</v>
      </c>
      <c r="E54" t="s">
        <v>16</v>
      </c>
      <c r="F54" t="n">
        <v>70.0731842227612</v>
      </c>
      <c r="G54" t="n">
        <v>74.7562258826021</v>
      </c>
      <c r="H54" t="n">
        <v>79.8748172993728</v>
      </c>
      <c r="I54" t="n">
        <v>82.1492997855297</v>
      </c>
      <c r="J54" t="n">
        <v>85.7531527956103</v>
      </c>
      <c r="K54" t="n">
        <v>90.176403606833</v>
      </c>
      <c r="L54" t="n">
        <v>95.3660455123191</v>
      </c>
      <c r="M54" t="n">
        <v>96.1638637110817</v>
      </c>
      <c r="N54" t="n">
        <v>99.5664060431903</v>
      </c>
      <c r="O54" t="n">
        <v>105.021979157502</v>
      </c>
      <c r="P54" t="n">
        <v>108.949933091285</v>
      </c>
      <c r="Q54" t="n">
        <v>110.914027944382</v>
      </c>
      <c r="R54" t="n">
        <v>110.517914843035</v>
      </c>
      <c r="S54" t="n">
        <v>112.287295000745</v>
      </c>
      <c r="T54" t="n">
        <v>109.797255679247</v>
      </c>
      <c r="U54" t="n">
        <v>107.754855283054</v>
      </c>
      <c r="V54" t="n">
        <v>105.23258117559</v>
      </c>
      <c r="W54" t="n">
        <v>102.86030464538</v>
      </c>
      <c r="X54" t="n">
        <v>101.993125067692</v>
      </c>
      <c r="Y54" t="n">
        <v>100.79281169079</v>
      </c>
      <c r="Z54" t="n">
        <v>100</v>
      </c>
      <c r="AA54" t="n">
        <v>97.6639497358241</v>
      </c>
      <c r="AB54" t="n">
        <v>95.7494933429598</v>
      </c>
      <c r="AC54" t="n">
        <v>95.271519607767</v>
      </c>
      <c r="AD54" t="n">
        <v>94.1220289731461</v>
      </c>
      <c r="AE54" t="n">
        <v>90.9367485376474</v>
      </c>
      <c r="AF54"/>
    </row>
    <row r="55">
      <c r="A55" t="s">
        <v>214</v>
      </c>
      <c r="B55" t="s">
        <v>283</v>
      </c>
      <c r="C55" t="s">
        <v>215</v>
      </c>
      <c r="D55" t="s">
        <v>284</v>
      </c>
      <c r="E55" t="s">
        <v>16</v>
      </c>
      <c r="F55" t="n">
        <v>64.2835614403822</v>
      </c>
      <c r="G55" t="n">
        <v>70.168276799312</v>
      </c>
      <c r="H55" t="n">
        <v>75.9955382230816</v>
      </c>
      <c r="I55" t="n">
        <v>78.3907813177213</v>
      </c>
      <c r="J55" t="n">
        <v>85.1675919755943</v>
      </c>
      <c r="K55" t="n">
        <v>91.7158248980527</v>
      </c>
      <c r="L55" t="n">
        <v>95.1961646374392</v>
      </c>
      <c r="M55" t="n">
        <v>93.3136115815914</v>
      </c>
      <c r="N55" t="n">
        <v>95.0779128487327</v>
      </c>
      <c r="O55" t="n">
        <v>101.172384428629</v>
      </c>
      <c r="P55" t="n">
        <v>104.974010142211</v>
      </c>
      <c r="Q55" t="n">
        <v>105.551389260072</v>
      </c>
      <c r="R55" t="n">
        <v>106.549181262141</v>
      </c>
      <c r="S55" t="n">
        <v>109.664989018795</v>
      </c>
      <c r="T55" t="n">
        <v>107.420803715301</v>
      </c>
      <c r="U55" t="n">
        <v>106.52861984811</v>
      </c>
      <c r="V55" t="n">
        <v>104.414872408805</v>
      </c>
      <c r="W55" t="n">
        <v>101.601978062166</v>
      </c>
      <c r="X55" t="n">
        <v>101.892355572252</v>
      </c>
      <c r="Y55" t="n">
        <v>100.921313224554</v>
      </c>
      <c r="Z55" t="n">
        <v>100</v>
      </c>
      <c r="AA55" t="n">
        <v>97.9850271700221</v>
      </c>
      <c r="AB55" t="n">
        <v>97.5630816713138</v>
      </c>
      <c r="AC55" t="n">
        <v>97.5227629558962</v>
      </c>
      <c r="AD55" t="n">
        <v>96.7879478821451</v>
      </c>
      <c r="AE55" t="n">
        <v>98.8589724774724</v>
      </c>
      <c r="AF55"/>
    </row>
    <row r="56">
      <c r="A56" t="s">
        <v>216</v>
      </c>
      <c r="B56" t="s">
        <v>283</v>
      </c>
      <c r="C56" t="s">
        <v>217</v>
      </c>
      <c r="D56" t="s">
        <v>284</v>
      </c>
      <c r="E56" t="s">
        <v>16</v>
      </c>
      <c r="F56" t="n">
        <v>100</v>
      </c>
      <c r="G56" t="n">
        <v>100</v>
      </c>
      <c r="H56" t="n">
        <v>100</v>
      </c>
      <c r="I56" t="n">
        <v>100</v>
      </c>
      <c r="J56" t="n">
        <v>100</v>
      </c>
      <c r="K56" t="n">
        <v>100</v>
      </c>
      <c r="L56" t="n">
        <v>100</v>
      </c>
      <c r="M56" t="n">
        <v>100</v>
      </c>
      <c r="N56" t="n">
        <v>100</v>
      </c>
      <c r="O56" t="n">
        <v>100</v>
      </c>
      <c r="P56" t="n">
        <v>100</v>
      </c>
      <c r="Q56" t="n">
        <v>100</v>
      </c>
      <c r="R56" t="n">
        <v>100</v>
      </c>
      <c r="S56" t="n">
        <v>100</v>
      </c>
      <c r="T56" t="n">
        <v>100</v>
      </c>
      <c r="U56" t="n">
        <v>100</v>
      </c>
      <c r="V56" t="n">
        <v>100</v>
      </c>
      <c r="W56" t="n">
        <v>100</v>
      </c>
      <c r="X56" t="n">
        <v>100</v>
      </c>
      <c r="Y56" t="n">
        <v>100</v>
      </c>
      <c r="Z56" t="n">
        <v>100</v>
      </c>
      <c r="AA56" t="n">
        <v>100</v>
      </c>
      <c r="AB56" t="n">
        <v>100</v>
      </c>
      <c r="AC56" t="n">
        <v>100</v>
      </c>
      <c r="AD56" t="n">
        <v>100</v>
      </c>
      <c r="AE56" t="n">
        <v>100</v>
      </c>
      <c r="AF56"/>
    </row>
    <row r="57">
      <c r="A57" t="s">
        <v>218</v>
      </c>
      <c r="B57" t="s">
        <v>283</v>
      </c>
      <c r="C57" t="s">
        <v>219</v>
      </c>
      <c r="D57" t="s">
        <v>284</v>
      </c>
      <c r="E57" t="s">
        <v>16</v>
      </c>
      <c r="F57" t="n">
        <v>79.2596809509168</v>
      </c>
      <c r="G57" t="n">
        <v>82.8782375726154</v>
      </c>
      <c r="H57" t="n">
        <v>85.9816806856652</v>
      </c>
      <c r="I57" t="n">
        <v>87.9863821951817</v>
      </c>
      <c r="J57" t="n">
        <v>89.6258526544874</v>
      </c>
      <c r="K57" t="n">
        <v>91.260399857346</v>
      </c>
      <c r="L57" t="n">
        <v>92.7438316948046</v>
      </c>
      <c r="M57" t="n">
        <v>93.4859632026042</v>
      </c>
      <c r="N57" t="n">
        <v>94.3011685650136</v>
      </c>
      <c r="O57" t="n">
        <v>95.336004365987</v>
      </c>
      <c r="P57" t="n">
        <v>96.7545048902451</v>
      </c>
      <c r="Q57" t="n">
        <v>98.0706292129725</v>
      </c>
      <c r="R57" t="n">
        <v>99.2987891235685</v>
      </c>
      <c r="S57" t="n">
        <v>100.022849134137</v>
      </c>
      <c r="T57" t="n">
        <v>99.234413012717</v>
      </c>
      <c r="U57" t="n">
        <v>98.5830822701649</v>
      </c>
      <c r="V57" t="n">
        <v>98.0854160320408</v>
      </c>
      <c r="W57" t="n">
        <v>98.1145622919966</v>
      </c>
      <c r="X57" t="n">
        <v>98.4016270154777</v>
      </c>
      <c r="Y57" t="n">
        <v>99.057893922965</v>
      </c>
      <c r="Z57" t="n">
        <v>100</v>
      </c>
      <c r="AA57" t="n">
        <v>100.537764697428</v>
      </c>
      <c r="AB57" t="n">
        <v>101.297216393807</v>
      </c>
      <c r="AC57" t="n">
        <v>102.125523561619</v>
      </c>
      <c r="AD57" t="n">
        <v>102.993405247245</v>
      </c>
      <c r="AE57" t="n">
        <v>103.105393639959</v>
      </c>
      <c r="AF57"/>
    </row>
    <row r="58">
      <c r="A58" t="s">
        <v>220</v>
      </c>
      <c r="B58" t="s">
        <v>283</v>
      </c>
      <c r="C58" t="s">
        <v>221</v>
      </c>
      <c r="D58" t="s">
        <v>284</v>
      </c>
      <c r="E58" t="s">
        <v>16</v>
      </c>
      <c r="F58" t="n">
        <v>79.2596809509168</v>
      </c>
      <c r="G58" t="n">
        <v>82.8782375726154</v>
      </c>
      <c r="H58" t="n">
        <v>85.9816806856652</v>
      </c>
      <c r="I58" t="n">
        <v>87.9863821951817</v>
      </c>
      <c r="J58" t="n">
        <v>89.6258526544874</v>
      </c>
      <c r="K58" t="n">
        <v>91.260399857346</v>
      </c>
      <c r="L58" t="n">
        <v>92.7438316948046</v>
      </c>
      <c r="M58" t="n">
        <v>93.4859632026042</v>
      </c>
      <c r="N58" t="n">
        <v>94.3011685650136</v>
      </c>
      <c r="O58" t="n">
        <v>95.336004365987</v>
      </c>
      <c r="P58" t="n">
        <v>96.7545048902451</v>
      </c>
      <c r="Q58" t="n">
        <v>98.0706292129725</v>
      </c>
      <c r="R58" t="n">
        <v>99.2987891235685</v>
      </c>
      <c r="S58" t="n">
        <v>100.022849134137</v>
      </c>
      <c r="T58" t="n">
        <v>99.234413012717</v>
      </c>
      <c r="U58" t="n">
        <v>98.5830822701649</v>
      </c>
      <c r="V58" t="n">
        <v>98.0854160320408</v>
      </c>
      <c r="W58" t="n">
        <v>98.1145622919966</v>
      </c>
      <c r="X58" t="n">
        <v>98.4016270154777</v>
      </c>
      <c r="Y58" t="n">
        <v>99.057893922965</v>
      </c>
      <c r="Z58" t="n">
        <v>100</v>
      </c>
      <c r="AA58" t="n">
        <v>100.537764697428</v>
      </c>
      <c r="AB58" t="n">
        <v>101.297216393807</v>
      </c>
      <c r="AC58" t="n">
        <v>102.125523561619</v>
      </c>
      <c r="AD58" t="n">
        <v>102.993405247245</v>
      </c>
      <c r="AE58" t="n">
        <v>103.105393639959</v>
      </c>
      <c r="AF58"/>
    </row>
    <row r="59">
      <c r="A59" t="s">
        <v>222</v>
      </c>
      <c r="B59" t="s">
        <v>283</v>
      </c>
      <c r="C59" t="s">
        <v>223</v>
      </c>
      <c r="D59" t="s">
        <v>284</v>
      </c>
      <c r="E59" t="s">
        <v>16</v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100</v>
      </c>
      <c r="M59" t="n">
        <v>100</v>
      </c>
      <c r="N59" t="n">
        <v>100</v>
      </c>
      <c r="O59" t="n">
        <v>100</v>
      </c>
      <c r="P59" t="n">
        <v>100</v>
      </c>
      <c r="Q59" t="n">
        <v>100</v>
      </c>
      <c r="R59" t="n">
        <v>100</v>
      </c>
      <c r="S59" t="n">
        <v>100</v>
      </c>
      <c r="T59" t="n">
        <v>100</v>
      </c>
      <c r="U59" t="n">
        <v>100</v>
      </c>
      <c r="V59" t="n">
        <v>100</v>
      </c>
      <c r="W59" t="n">
        <v>100</v>
      </c>
      <c r="X59" t="n">
        <v>100</v>
      </c>
      <c r="Y59" t="n">
        <v>100</v>
      </c>
      <c r="Z59" t="n">
        <v>100</v>
      </c>
      <c r="AA59" t="n">
        <v>100</v>
      </c>
      <c r="AB59" t="n">
        <v>100</v>
      </c>
      <c r="AC59" t="n">
        <v>100</v>
      </c>
      <c r="AD59" t="n">
        <v>100</v>
      </c>
      <c r="AE59" t="n">
        <v>100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283</v>
      </c>
      <c r="C2" t="s">
        <v>108</v>
      </c>
      <c r="D2" t="s">
        <v>284</v>
      </c>
      <c r="E2" t="s">
        <v>22</v>
      </c>
      <c r="F2" t="n">
        <v>214.779874208462</v>
      </c>
      <c r="G2" t="n">
        <v>208.752013125293</v>
      </c>
      <c r="H2" t="n">
        <v>203.295401208525</v>
      </c>
      <c r="I2" t="n">
        <v>198.411650501373</v>
      </c>
      <c r="J2" t="n">
        <v>192.983504803712</v>
      </c>
      <c r="K2" t="n">
        <v>185.469829128239</v>
      </c>
      <c r="L2" t="n">
        <v>177.868474079926</v>
      </c>
      <c r="M2" t="n">
        <v>169.429985877238</v>
      </c>
      <c r="N2" t="n">
        <v>161.692675652809</v>
      </c>
      <c r="O2" t="n">
        <v>155.032082741165</v>
      </c>
      <c r="P2" t="n">
        <v>148.987593808743</v>
      </c>
      <c r="Q2" t="n">
        <v>140.925877672273</v>
      </c>
      <c r="R2" t="n">
        <v>133.452934409336</v>
      </c>
      <c r="S2" t="n">
        <v>127.127717195274</v>
      </c>
      <c r="T2" t="n">
        <v>120.787331674941</v>
      </c>
      <c r="U2" t="n">
        <v>115.600859496038</v>
      </c>
      <c r="V2" t="n">
        <v>110.395186371775</v>
      </c>
      <c r="W2" t="n">
        <v>106.912234660224</v>
      </c>
      <c r="X2" t="n">
        <v>104.923758149517</v>
      </c>
      <c r="Y2" t="n">
        <v>101.834325778704</v>
      </c>
      <c r="Z2" t="n">
        <v>100</v>
      </c>
      <c r="AA2" t="n">
        <v>96.9325451393537</v>
      </c>
      <c r="AB2" t="n">
        <v>97.9367749968782</v>
      </c>
      <c r="AC2" t="n">
        <v>96.1563823350557</v>
      </c>
      <c r="AD2" t="n">
        <v>93.5947991999868</v>
      </c>
      <c r="AE2" t="n">
        <v>91.5467453898527</v>
      </c>
      <c r="AF2"/>
    </row>
    <row r="3">
      <c r="A3" t="s">
        <v>110</v>
      </c>
      <c r="B3" t="s">
        <v>283</v>
      </c>
      <c r="C3" t="s">
        <v>111</v>
      </c>
      <c r="D3" t="s">
        <v>284</v>
      </c>
      <c r="E3" t="s">
        <v>22</v>
      </c>
      <c r="F3" t="n">
        <v>149.212277874105</v>
      </c>
      <c r="G3" t="n">
        <v>143.581173577868</v>
      </c>
      <c r="H3" t="n">
        <v>138.268229743825</v>
      </c>
      <c r="I3" t="n">
        <v>133.212427159105</v>
      </c>
      <c r="J3" t="n">
        <v>126.11775616394</v>
      </c>
      <c r="K3" t="n">
        <v>123.486004574877</v>
      </c>
      <c r="L3" t="n">
        <v>118.70368690347</v>
      </c>
      <c r="M3" t="n">
        <v>117.604891226155</v>
      </c>
      <c r="N3" t="n">
        <v>111.464931706927</v>
      </c>
      <c r="O3" t="n">
        <v>105.139125886461</v>
      </c>
      <c r="P3" t="n">
        <v>99.5724548661149</v>
      </c>
      <c r="Q3" t="n">
        <v>96.481337585924</v>
      </c>
      <c r="R3" t="n">
        <v>96.7778008117278</v>
      </c>
      <c r="S3" t="n">
        <v>98.4943256663155</v>
      </c>
      <c r="T3" t="n">
        <v>97.1768005899612</v>
      </c>
      <c r="U3" t="n">
        <v>94.2957795457207</v>
      </c>
      <c r="V3" t="n">
        <v>91.8612341034746</v>
      </c>
      <c r="W3" t="n">
        <v>90.8436033141775</v>
      </c>
      <c r="X3" t="n">
        <v>93.9649482194029</v>
      </c>
      <c r="Y3" t="n">
        <v>98.2035446802974</v>
      </c>
      <c r="Z3" t="n">
        <v>100</v>
      </c>
      <c r="AA3" t="n">
        <v>99.4253567093172</v>
      </c>
      <c r="AB3" t="n">
        <v>103.48990832005</v>
      </c>
      <c r="AC3" t="n">
        <v>100.198003706949</v>
      </c>
      <c r="AD3" t="n">
        <v>96.145342456664</v>
      </c>
      <c r="AE3" t="n">
        <v>91.1640311114248</v>
      </c>
      <c r="AF3"/>
    </row>
    <row r="4">
      <c r="A4" t="s">
        <v>112</v>
      </c>
      <c r="B4" t="s">
        <v>283</v>
      </c>
      <c r="C4" t="s">
        <v>113</v>
      </c>
      <c r="D4" t="s">
        <v>284</v>
      </c>
      <c r="E4" t="s">
        <v>22</v>
      </c>
      <c r="F4" t="n">
        <v>89.1550621741311</v>
      </c>
      <c r="G4" t="n">
        <v>92.1023546635687</v>
      </c>
      <c r="H4" t="n">
        <v>94.8556433961895</v>
      </c>
      <c r="I4" t="n">
        <v>97.3934320231615</v>
      </c>
      <c r="J4" t="n">
        <v>97.3699378587819</v>
      </c>
      <c r="K4" t="n">
        <v>98.3762310403867</v>
      </c>
      <c r="L4" t="n">
        <v>99.7459864950329</v>
      </c>
      <c r="M4" t="n">
        <v>97.7142572565894</v>
      </c>
      <c r="N4" t="n">
        <v>96.6427196399816</v>
      </c>
      <c r="O4" t="n">
        <v>96.8313728882103</v>
      </c>
      <c r="P4" t="n">
        <v>99.5578788833614</v>
      </c>
      <c r="Q4" t="n">
        <v>101.457346868536</v>
      </c>
      <c r="R4" t="n">
        <v>105.316952536329</v>
      </c>
      <c r="S4" t="n">
        <v>108.284652214323</v>
      </c>
      <c r="T4" t="n">
        <v>105.218037603431</v>
      </c>
      <c r="U4" t="n">
        <v>102.050892646267</v>
      </c>
      <c r="V4" t="n">
        <v>100.767304935564</v>
      </c>
      <c r="W4" t="n">
        <v>100.234951676471</v>
      </c>
      <c r="X4" t="n">
        <v>98.8741644780545</v>
      </c>
      <c r="Y4" t="n">
        <v>98.6453331828455</v>
      </c>
      <c r="Z4" t="n">
        <v>100</v>
      </c>
      <c r="AA4" t="n">
        <v>101.409069380396</v>
      </c>
      <c r="AB4" t="n">
        <v>103.102910156418</v>
      </c>
      <c r="AC4" t="n">
        <v>105.819228049072</v>
      </c>
      <c r="AD4" t="n">
        <v>107.348938320592</v>
      </c>
      <c r="AE4" t="n">
        <v>107.178576904895</v>
      </c>
      <c r="AF4"/>
    </row>
    <row r="5">
      <c r="A5" t="s">
        <v>114</v>
      </c>
      <c r="B5" t="s">
        <v>283</v>
      </c>
      <c r="C5" t="s">
        <v>115</v>
      </c>
      <c r="D5" t="s">
        <v>284</v>
      </c>
      <c r="E5" t="s">
        <v>22</v>
      </c>
      <c r="F5" t="n">
        <v>79.7525130725784</v>
      </c>
      <c r="G5" t="n">
        <v>82.1648877674048</v>
      </c>
      <c r="H5" t="n">
        <v>84.3616306945246</v>
      </c>
      <c r="I5" t="n">
        <v>86.3053337737424</v>
      </c>
      <c r="J5" t="n">
        <v>87.0422218114828</v>
      </c>
      <c r="K5" t="n">
        <v>87.710226309038</v>
      </c>
      <c r="L5" t="n">
        <v>89.2168521702093</v>
      </c>
      <c r="M5" t="n">
        <v>90.7250149607222</v>
      </c>
      <c r="N5" t="n">
        <v>90.3837757427333</v>
      </c>
      <c r="O5" t="n">
        <v>91.0826722244341</v>
      </c>
      <c r="P5" t="n">
        <v>94.3281603393287</v>
      </c>
      <c r="Q5" t="n">
        <v>95.8377237030135</v>
      </c>
      <c r="R5" t="n">
        <v>98.382315036889</v>
      </c>
      <c r="S5" t="n">
        <v>98.3585948086766</v>
      </c>
      <c r="T5" t="n">
        <v>97.3096835043302</v>
      </c>
      <c r="U5" t="n">
        <v>96.781835757973</v>
      </c>
      <c r="V5" t="n">
        <v>98.7545682568093</v>
      </c>
      <c r="W5" t="n">
        <v>99.8830750707811</v>
      </c>
      <c r="X5" t="n">
        <v>99.1104324876925</v>
      </c>
      <c r="Y5" t="n">
        <v>99.6012674164667</v>
      </c>
      <c r="Z5" t="n">
        <v>100</v>
      </c>
      <c r="AA5" t="n">
        <v>101.906316351857</v>
      </c>
      <c r="AB5" t="n">
        <v>105.331137999727</v>
      </c>
      <c r="AC5" t="n">
        <v>108.225789982205</v>
      </c>
      <c r="AD5" t="n">
        <v>109.808063531758</v>
      </c>
      <c r="AE5" t="n">
        <v>108.801478056559</v>
      </c>
      <c r="AF5"/>
    </row>
    <row r="6">
      <c r="A6" t="s">
        <v>116</v>
      </c>
      <c r="B6" t="s">
        <v>283</v>
      </c>
      <c r="C6" t="s">
        <v>117</v>
      </c>
      <c r="D6" t="s">
        <v>284</v>
      </c>
      <c r="E6" t="s">
        <v>22</v>
      </c>
      <c r="F6" t="n">
        <v>260.276721875589</v>
      </c>
      <c r="G6" t="n">
        <v>247.160162788717</v>
      </c>
      <c r="H6" t="n">
        <v>237.68666621991</v>
      </c>
      <c r="I6" t="n">
        <v>228.216952915177</v>
      </c>
      <c r="J6" t="n">
        <v>213.525864604236</v>
      </c>
      <c r="K6" t="n">
        <v>199.840830990535</v>
      </c>
      <c r="L6" t="n">
        <v>188.286416349561</v>
      </c>
      <c r="M6" t="n">
        <v>176.163556158157</v>
      </c>
      <c r="N6" t="n">
        <v>162.559670561734</v>
      </c>
      <c r="O6" t="n">
        <v>152.31739777518</v>
      </c>
      <c r="P6" t="n">
        <v>147.961685722396</v>
      </c>
      <c r="Q6" t="n">
        <v>140.815680659307</v>
      </c>
      <c r="R6" t="n">
        <v>137.520021235447</v>
      </c>
      <c r="S6" t="n">
        <v>134.257316866804</v>
      </c>
      <c r="T6" t="n">
        <v>124.904386557776</v>
      </c>
      <c r="U6" t="n">
        <v>118.05879665589</v>
      </c>
      <c r="V6" t="n">
        <v>114.238834304492</v>
      </c>
      <c r="W6" t="n">
        <v>107.86184165729</v>
      </c>
      <c r="X6" t="n">
        <v>104.03506028968</v>
      </c>
      <c r="Y6" t="n">
        <v>100.56339741255</v>
      </c>
      <c r="Z6" t="n">
        <v>100</v>
      </c>
      <c r="AA6" t="n">
        <v>98.4527184079498</v>
      </c>
      <c r="AB6" t="n">
        <v>96.8500514413564</v>
      </c>
      <c r="AC6" t="n">
        <v>94.259902944675</v>
      </c>
      <c r="AD6" t="n">
        <v>93.7218171799589</v>
      </c>
      <c r="AE6" t="n">
        <v>89.7148213058201</v>
      </c>
      <c r="AF6"/>
    </row>
    <row r="7">
      <c r="A7" t="s">
        <v>118</v>
      </c>
      <c r="B7" t="s">
        <v>283</v>
      </c>
      <c r="C7" t="s">
        <v>119</v>
      </c>
      <c r="D7" t="s">
        <v>284</v>
      </c>
      <c r="E7" t="s">
        <v>22</v>
      </c>
      <c r="F7" t="n">
        <v>121.077916209019</v>
      </c>
      <c r="G7" t="n">
        <v>123.763830880417</v>
      </c>
      <c r="H7" t="n">
        <v>127.500296840535</v>
      </c>
      <c r="I7" t="n">
        <v>129.076477253699</v>
      </c>
      <c r="J7" t="n">
        <v>126.408155133903</v>
      </c>
      <c r="K7" t="n">
        <v>124.677059865058</v>
      </c>
      <c r="L7" t="n">
        <v>123.108725648268</v>
      </c>
      <c r="M7" t="n">
        <v>119.527490580508</v>
      </c>
      <c r="N7" t="n">
        <v>116.050551728943</v>
      </c>
      <c r="O7" t="n">
        <v>112.301895233259</v>
      </c>
      <c r="P7" t="n">
        <v>113.435868745048</v>
      </c>
      <c r="Q7" t="n">
        <v>113.598425927489</v>
      </c>
      <c r="R7" t="n">
        <v>116.661681581555</v>
      </c>
      <c r="S7" t="n">
        <v>116.030481305176</v>
      </c>
      <c r="T7" t="n">
        <v>111.437563764593</v>
      </c>
      <c r="U7" t="n">
        <v>108.103151445914</v>
      </c>
      <c r="V7" t="n">
        <v>104.957683433694</v>
      </c>
      <c r="W7" t="n">
        <v>101.770426296373</v>
      </c>
      <c r="X7" t="n">
        <v>100.574522343666</v>
      </c>
      <c r="Y7" t="n">
        <v>100.081296029669</v>
      </c>
      <c r="Z7" t="n">
        <v>100</v>
      </c>
      <c r="AA7" t="n">
        <v>99.8807332111532</v>
      </c>
      <c r="AB7" t="n">
        <v>98.3391143299505</v>
      </c>
      <c r="AC7" t="n">
        <v>97.5018778331162</v>
      </c>
      <c r="AD7" t="n">
        <v>96.287213060622</v>
      </c>
      <c r="AE7" t="n">
        <v>95.6137631888259</v>
      </c>
      <c r="AF7"/>
    </row>
    <row r="8">
      <c r="A8" t="s">
        <v>120</v>
      </c>
      <c r="B8" t="s">
        <v>283</v>
      </c>
      <c r="C8" t="s">
        <v>121</v>
      </c>
      <c r="D8" t="s">
        <v>284</v>
      </c>
      <c r="E8" t="s">
        <v>22</v>
      </c>
      <c r="F8" t="n">
        <v>126.2401031539</v>
      </c>
      <c r="G8" t="n">
        <v>128.374337797463</v>
      </c>
      <c r="H8" t="n">
        <v>123.23730053798</v>
      </c>
      <c r="I8" t="n">
        <v>119.245050583445</v>
      </c>
      <c r="J8" t="n">
        <v>115.272583943945</v>
      </c>
      <c r="K8" t="n">
        <v>108.755674959236</v>
      </c>
      <c r="L8" t="n">
        <v>102.843839730006</v>
      </c>
      <c r="M8" t="n">
        <v>101.208590860455</v>
      </c>
      <c r="N8" t="n">
        <v>100.010829108588</v>
      </c>
      <c r="O8" t="n">
        <v>100.60052289382</v>
      </c>
      <c r="P8" t="n">
        <v>100.916476495904</v>
      </c>
      <c r="Q8" t="n">
        <v>105.437544004667</v>
      </c>
      <c r="R8" t="n">
        <v>108.315133381785</v>
      </c>
      <c r="S8" t="n">
        <v>113.438101166764</v>
      </c>
      <c r="T8" t="n">
        <v>114.485307300829</v>
      </c>
      <c r="U8" t="n">
        <v>111.393934066683</v>
      </c>
      <c r="V8" t="n">
        <v>104.44083417774</v>
      </c>
      <c r="W8" t="n">
        <v>101.240526867453</v>
      </c>
      <c r="X8" t="n">
        <v>99.5275922746097</v>
      </c>
      <c r="Y8" t="n">
        <v>98.6035549045196</v>
      </c>
      <c r="Z8" t="n">
        <v>100</v>
      </c>
      <c r="AA8" t="n">
        <v>98.4000874131603</v>
      </c>
      <c r="AB8" t="n">
        <v>98.8523107174008</v>
      </c>
      <c r="AC8" t="n">
        <v>97.641200724788</v>
      </c>
      <c r="AD8" t="n">
        <v>95.1349134036256</v>
      </c>
      <c r="AE8" t="n">
        <v>95.7279314014585</v>
      </c>
      <c r="AF8"/>
    </row>
    <row r="9">
      <c r="A9" t="s">
        <v>122</v>
      </c>
      <c r="B9" t="s">
        <v>283</v>
      </c>
      <c r="C9" t="s">
        <v>123</v>
      </c>
      <c r="D9" t="s">
        <v>284</v>
      </c>
      <c r="E9" t="s">
        <v>22</v>
      </c>
      <c r="F9" t="n">
        <v>97.4677973353359</v>
      </c>
      <c r="G9" t="n">
        <v>99.4480286292604</v>
      </c>
      <c r="H9" t="n">
        <v>101.532699654192</v>
      </c>
      <c r="I9" t="n">
        <v>104.237593784806</v>
      </c>
      <c r="J9" t="n">
        <v>103.655076376876</v>
      </c>
      <c r="K9" t="n">
        <v>102.961469624697</v>
      </c>
      <c r="L9" t="n">
        <v>103.836732099047</v>
      </c>
      <c r="M9" t="n">
        <v>103.267770673672</v>
      </c>
      <c r="N9" t="n">
        <v>102.814283992764</v>
      </c>
      <c r="O9" t="n">
        <v>100.851712547317</v>
      </c>
      <c r="P9" t="n">
        <v>103.130849481686</v>
      </c>
      <c r="Q9" t="n">
        <v>103.375659254594</v>
      </c>
      <c r="R9" t="n">
        <v>105.876865200419</v>
      </c>
      <c r="S9" t="n">
        <v>110.617247730245</v>
      </c>
      <c r="T9" t="n">
        <v>109.630963059997</v>
      </c>
      <c r="U9" t="n">
        <v>108.737965062831</v>
      </c>
      <c r="V9" t="n">
        <v>108.63232413353</v>
      </c>
      <c r="W9" t="n">
        <v>106.507778209821</v>
      </c>
      <c r="X9" t="n">
        <v>103.555331918226</v>
      </c>
      <c r="Y9" t="n">
        <v>101.302380526168</v>
      </c>
      <c r="Z9" t="n">
        <v>100</v>
      </c>
      <c r="AA9" t="n">
        <v>98.5262290041967</v>
      </c>
      <c r="AB9" t="n">
        <v>98.2032617400232</v>
      </c>
      <c r="AC9" t="n">
        <v>101.67180680857</v>
      </c>
      <c r="AD9" t="n">
        <v>106.883978639735</v>
      </c>
      <c r="AE9" t="n">
        <v>108.80194896105</v>
      </c>
      <c r="AF9"/>
    </row>
    <row r="10">
      <c r="A10" t="s">
        <v>124</v>
      </c>
      <c r="B10" t="s">
        <v>283</v>
      </c>
      <c r="C10" t="s">
        <v>125</v>
      </c>
      <c r="D10" t="s">
        <v>284</v>
      </c>
      <c r="E10" t="s">
        <v>22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283</v>
      </c>
      <c r="C11" t="s">
        <v>127</v>
      </c>
      <c r="D11" t="s">
        <v>284</v>
      </c>
      <c r="E11" t="s">
        <v>22</v>
      </c>
      <c r="F11" t="n">
        <v>43.0851815193902</v>
      </c>
      <c r="G11" t="n">
        <v>46.6538754388413</v>
      </c>
      <c r="H11" t="n">
        <v>50.8715835501404</v>
      </c>
      <c r="I11" t="n">
        <v>53.6929463597267</v>
      </c>
      <c r="J11" t="n">
        <v>55.460767996108</v>
      </c>
      <c r="K11" t="n">
        <v>58.0607797034388</v>
      </c>
      <c r="L11" t="n">
        <v>61.4347292281889</v>
      </c>
      <c r="M11" t="n">
        <v>64.2128522401238</v>
      </c>
      <c r="N11" t="n">
        <v>66.6550934748543</v>
      </c>
      <c r="O11" t="n">
        <v>67.7128097197177</v>
      </c>
      <c r="P11" t="n">
        <v>69.4760600509181</v>
      </c>
      <c r="Q11" t="n">
        <v>71.4063197219026</v>
      </c>
      <c r="R11" t="n">
        <v>73.1224260285414</v>
      </c>
      <c r="S11" t="n">
        <v>73.8204496629467</v>
      </c>
      <c r="T11" t="n">
        <v>74.6832078474801</v>
      </c>
      <c r="U11" t="n">
        <v>73.8586641478731</v>
      </c>
      <c r="V11" t="n">
        <v>75.4211883854295</v>
      </c>
      <c r="W11" t="n">
        <v>83.7670161632558</v>
      </c>
      <c r="X11" t="n">
        <v>91.2886809561785</v>
      </c>
      <c r="Y11" t="n">
        <v>96.8847348812983</v>
      </c>
      <c r="Z11" t="n">
        <v>100</v>
      </c>
      <c r="AA11" t="n">
        <v>109.606258547617</v>
      </c>
      <c r="AB11" t="n">
        <v>116.213211444696</v>
      </c>
      <c r="AC11" t="n">
        <v>121.128077384147</v>
      </c>
      <c r="AD11" t="n">
        <v>123.979539898436</v>
      </c>
      <c r="AE11" t="n">
        <v>127.723221060016</v>
      </c>
      <c r="AF11"/>
    </row>
    <row r="12">
      <c r="A12" t="s">
        <v>128</v>
      </c>
      <c r="B12" t="s">
        <v>283</v>
      </c>
      <c r="C12" t="s">
        <v>129</v>
      </c>
      <c r="D12" t="s">
        <v>284</v>
      </c>
      <c r="E12" t="s">
        <v>22</v>
      </c>
      <c r="F12" t="n">
        <v>95.4334404691144</v>
      </c>
      <c r="G12" t="n">
        <v>97.4874115046536</v>
      </c>
      <c r="H12" t="n">
        <v>99.6020948460224</v>
      </c>
      <c r="I12" t="n">
        <v>100.998734110718</v>
      </c>
      <c r="J12" t="n">
        <v>99.2456735159571</v>
      </c>
      <c r="K12" t="n">
        <v>99.6253410902117</v>
      </c>
      <c r="L12" t="n">
        <v>100.53962461778</v>
      </c>
      <c r="M12" t="n">
        <v>97.3704233320684</v>
      </c>
      <c r="N12" t="n">
        <v>97.7334027322351</v>
      </c>
      <c r="O12" t="n">
        <v>98.4054098895382</v>
      </c>
      <c r="P12" t="n">
        <v>100.378674713497</v>
      </c>
      <c r="Q12" t="n">
        <v>103.582147511111</v>
      </c>
      <c r="R12" t="n">
        <v>106.605163883747</v>
      </c>
      <c r="S12" t="n">
        <v>107.520496449465</v>
      </c>
      <c r="T12" t="n">
        <v>104.649351197491</v>
      </c>
      <c r="U12" t="n">
        <v>101.936781281902</v>
      </c>
      <c r="V12" t="n">
        <v>100.289109391203</v>
      </c>
      <c r="W12" t="n">
        <v>99.7034564741883</v>
      </c>
      <c r="X12" t="n">
        <v>99.2913838184084</v>
      </c>
      <c r="Y12" t="n">
        <v>99.2487133986362</v>
      </c>
      <c r="Z12" t="n">
        <v>100</v>
      </c>
      <c r="AA12" t="n">
        <v>99.7171830238658</v>
      </c>
      <c r="AB12" t="n">
        <v>100.192248397359</v>
      </c>
      <c r="AC12" t="n">
        <v>102.289060056686</v>
      </c>
      <c r="AD12" t="n">
        <v>103.313533795174</v>
      </c>
      <c r="AE12" t="n">
        <v>103.541364737177</v>
      </c>
      <c r="AF12"/>
    </row>
    <row r="13">
      <c r="A13" t="s">
        <v>130</v>
      </c>
      <c r="B13" t="s">
        <v>283</v>
      </c>
      <c r="C13" t="s">
        <v>131</v>
      </c>
      <c r="D13" t="s">
        <v>284</v>
      </c>
      <c r="E13" t="s">
        <v>22</v>
      </c>
      <c r="F13" t="n">
        <v>109.359635247846</v>
      </c>
      <c r="G13" t="n">
        <v>110.086543117127</v>
      </c>
      <c r="H13" t="n">
        <v>109.737352437244</v>
      </c>
      <c r="I13" t="n">
        <v>108.194999123715</v>
      </c>
      <c r="J13" t="n">
        <v>106.042261131806</v>
      </c>
      <c r="K13" t="n">
        <v>105.479499591968</v>
      </c>
      <c r="L13" t="n">
        <v>105.69354538031</v>
      </c>
      <c r="M13" t="n">
        <v>102.266740343165</v>
      </c>
      <c r="N13" t="n">
        <v>97.8025780964845</v>
      </c>
      <c r="O13" t="n">
        <v>95.4074831233794</v>
      </c>
      <c r="P13" t="n">
        <v>95.5330219731405</v>
      </c>
      <c r="Q13" t="n">
        <v>96.951290699393</v>
      </c>
      <c r="R13" t="n">
        <v>101.183406225689</v>
      </c>
      <c r="S13" t="n">
        <v>104.961979423347</v>
      </c>
      <c r="T13" t="n">
        <v>103.713005928327</v>
      </c>
      <c r="U13" t="n">
        <v>102.587067916568</v>
      </c>
      <c r="V13" t="n">
        <v>101.946077504407</v>
      </c>
      <c r="W13" t="n">
        <v>101.836613274179</v>
      </c>
      <c r="X13" t="n">
        <v>99.7746240144649</v>
      </c>
      <c r="Y13" t="n">
        <v>99.7054634130263</v>
      </c>
      <c r="Z13" t="n">
        <v>100</v>
      </c>
      <c r="AA13" t="n">
        <v>100.100353183045</v>
      </c>
      <c r="AB13" t="n">
        <v>103.438569194395</v>
      </c>
      <c r="AC13" t="n">
        <v>105.032980323828</v>
      </c>
      <c r="AD13" t="n">
        <v>107.086873408049</v>
      </c>
      <c r="AE13" t="n">
        <v>106.876565210653</v>
      </c>
      <c r="AF13"/>
    </row>
    <row r="14">
      <c r="A14" t="s">
        <v>132</v>
      </c>
      <c r="B14" t="s">
        <v>283</v>
      </c>
      <c r="C14" t="s">
        <v>133</v>
      </c>
      <c r="D14" t="s">
        <v>284</v>
      </c>
      <c r="E14" t="s">
        <v>22</v>
      </c>
      <c r="F14" t="n">
        <v>73.0556196941125</v>
      </c>
      <c r="G14" t="n">
        <v>79.8233255447237</v>
      </c>
      <c r="H14" t="n">
        <v>84.9520687500524</v>
      </c>
      <c r="I14" t="n">
        <v>90.9046405622368</v>
      </c>
      <c r="J14" t="n">
        <v>93.3019261548113</v>
      </c>
      <c r="K14" t="n">
        <v>99.9179953015644</v>
      </c>
      <c r="L14" t="n">
        <v>105.13680834659</v>
      </c>
      <c r="M14" t="n">
        <v>101.078935309658</v>
      </c>
      <c r="N14" t="n">
        <v>98.4590676132856</v>
      </c>
      <c r="O14" t="n">
        <v>100.946264202053</v>
      </c>
      <c r="P14" t="n">
        <v>103.072243707788</v>
      </c>
      <c r="Q14" t="n">
        <v>106.352929301654</v>
      </c>
      <c r="R14" t="n">
        <v>110.080140841311</v>
      </c>
      <c r="S14" t="n">
        <v>114.640139603646</v>
      </c>
      <c r="T14" t="n">
        <v>109.600189231179</v>
      </c>
      <c r="U14" t="n">
        <v>105.227716710589</v>
      </c>
      <c r="V14" t="n">
        <v>103.456985079889</v>
      </c>
      <c r="W14" t="n">
        <v>102.388061095568</v>
      </c>
      <c r="X14" t="n">
        <v>98.5555682541833</v>
      </c>
      <c r="Y14" t="n">
        <v>97.3478550222857</v>
      </c>
      <c r="Z14" t="n">
        <v>100</v>
      </c>
      <c r="AA14" t="n">
        <v>100.223740854325</v>
      </c>
      <c r="AB14" t="n">
        <v>100.87146062608</v>
      </c>
      <c r="AC14" t="n">
        <v>106.370847817018</v>
      </c>
      <c r="AD14" t="n">
        <v>108.661760480264</v>
      </c>
      <c r="AE14" t="n">
        <v>110.365597500515</v>
      </c>
      <c r="AF14"/>
    </row>
    <row r="15">
      <c r="A15" t="s">
        <v>134</v>
      </c>
      <c r="B15" t="s">
        <v>283</v>
      </c>
      <c r="C15" t="s">
        <v>135</v>
      </c>
      <c r="D15" t="s">
        <v>284</v>
      </c>
      <c r="E15" t="s">
        <v>22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283</v>
      </c>
      <c r="C16" t="s">
        <v>137</v>
      </c>
      <c r="D16" t="s">
        <v>284</v>
      </c>
      <c r="E16" t="s">
        <v>22</v>
      </c>
      <c r="F16" t="n">
        <v>78.4991877010411</v>
      </c>
      <c r="G16" t="n">
        <v>87.6792937890544</v>
      </c>
      <c r="H16" t="n">
        <v>95.8087074902115</v>
      </c>
      <c r="I16" t="n">
        <v>100.657209382126</v>
      </c>
      <c r="J16" t="n">
        <v>103.524796965159</v>
      </c>
      <c r="K16" t="n">
        <v>108.477965155688</v>
      </c>
      <c r="L16" t="n">
        <v>111.579518995373</v>
      </c>
      <c r="M16" t="n">
        <v>107.936542938176</v>
      </c>
      <c r="N16" t="n">
        <v>106.316438146583</v>
      </c>
      <c r="O16" t="n">
        <v>106.836391303735</v>
      </c>
      <c r="P16" t="n">
        <v>108.560481130315</v>
      </c>
      <c r="Q16" t="n">
        <v>109.519295671815</v>
      </c>
      <c r="R16" t="n">
        <v>113.287099725689</v>
      </c>
      <c r="S16" t="n">
        <v>113.459400556368</v>
      </c>
      <c r="T16" t="n">
        <v>107.069181639294</v>
      </c>
      <c r="U16" t="n">
        <v>103.454830364508</v>
      </c>
      <c r="V16" t="n">
        <v>103.11293543384</v>
      </c>
      <c r="W16" t="n">
        <v>102.032781320225</v>
      </c>
      <c r="X16" t="n">
        <v>100.15910107396</v>
      </c>
      <c r="Y16" t="n">
        <v>99.5577693782113</v>
      </c>
      <c r="Z16" t="n">
        <v>100</v>
      </c>
      <c r="AA16" t="n">
        <v>101.875286243926</v>
      </c>
      <c r="AB16" t="n">
        <v>106.478910481541</v>
      </c>
      <c r="AC16" t="n">
        <v>109.15162358124</v>
      </c>
      <c r="AD16" t="n">
        <v>108.562728728962</v>
      </c>
      <c r="AE16" t="n">
        <v>107.811566803996</v>
      </c>
      <c r="AF16"/>
    </row>
    <row r="17">
      <c r="A17" t="s">
        <v>138</v>
      </c>
      <c r="B17" t="s">
        <v>283</v>
      </c>
      <c r="C17" t="s">
        <v>139</v>
      </c>
      <c r="D17" t="s">
        <v>284</v>
      </c>
      <c r="E17" t="s">
        <v>22</v>
      </c>
      <c r="F17" t="n">
        <v>80.5606324231941</v>
      </c>
      <c r="G17" t="n">
        <v>82.9380278901149</v>
      </c>
      <c r="H17" t="n">
        <v>85.2039980387759</v>
      </c>
      <c r="I17" t="n">
        <v>88.7535831473426</v>
      </c>
      <c r="J17" t="n">
        <v>88.744495815088</v>
      </c>
      <c r="K17" t="n">
        <v>89.9345822647584</v>
      </c>
      <c r="L17" t="n">
        <v>90.4711983014039</v>
      </c>
      <c r="M17" t="n">
        <v>88.1921493566423</v>
      </c>
      <c r="N17" t="n">
        <v>86.8950769125028</v>
      </c>
      <c r="O17" t="n">
        <v>89.5914004947694</v>
      </c>
      <c r="P17" t="n">
        <v>95.6402915645244</v>
      </c>
      <c r="Q17" t="n">
        <v>97.0267129980687</v>
      </c>
      <c r="R17" t="n">
        <v>104.586458094604</v>
      </c>
      <c r="S17" t="n">
        <v>112.165458547891</v>
      </c>
      <c r="T17" t="n">
        <v>109.320101895238</v>
      </c>
      <c r="U17" t="n">
        <v>103.486168872974</v>
      </c>
      <c r="V17" t="n">
        <v>101.582259741136</v>
      </c>
      <c r="W17" t="n">
        <v>101.827431180045</v>
      </c>
      <c r="X17" t="n">
        <v>99.2969912835803</v>
      </c>
      <c r="Y17" t="n">
        <v>98.0308020180259</v>
      </c>
      <c r="Z17" t="n">
        <v>100</v>
      </c>
      <c r="AA17" t="n">
        <v>100.449809925392</v>
      </c>
      <c r="AB17" t="n">
        <v>98.5424039088925</v>
      </c>
      <c r="AC17" t="n">
        <v>100.926519408155</v>
      </c>
      <c r="AD17" t="n">
        <v>102.351147627431</v>
      </c>
      <c r="AE17" t="n">
        <v>99.2720365603605</v>
      </c>
      <c r="AF17"/>
    </row>
    <row r="18">
      <c r="A18" t="s">
        <v>140</v>
      </c>
      <c r="B18" t="s">
        <v>283</v>
      </c>
      <c r="C18" t="s">
        <v>141</v>
      </c>
      <c r="D18" t="s">
        <v>284</v>
      </c>
      <c r="E18" t="s">
        <v>22</v>
      </c>
      <c r="F18" t="n">
        <v>79.644863050837</v>
      </c>
      <c r="G18" t="n">
        <v>80.8154356555831</v>
      </c>
      <c r="H18" t="n">
        <v>83.945260433194</v>
      </c>
      <c r="I18" t="n">
        <v>87.7873697943078</v>
      </c>
      <c r="J18" t="n">
        <v>88.8384133864736</v>
      </c>
      <c r="K18" t="n">
        <v>88.6497471480073</v>
      </c>
      <c r="L18" t="n">
        <v>89.9796593562107</v>
      </c>
      <c r="M18" t="n">
        <v>90.0755968486341</v>
      </c>
      <c r="N18" t="n">
        <v>92.6295535102972</v>
      </c>
      <c r="O18" t="n">
        <v>93.6804043322817</v>
      </c>
      <c r="P18" t="n">
        <v>99.2960817538482</v>
      </c>
      <c r="Q18" t="n">
        <v>102.394011877818</v>
      </c>
      <c r="R18" t="n">
        <v>107.319825330101</v>
      </c>
      <c r="S18" t="n">
        <v>111.205244097043</v>
      </c>
      <c r="T18" t="n">
        <v>106.899403679195</v>
      </c>
      <c r="U18" t="n">
        <v>101.27244123845</v>
      </c>
      <c r="V18" t="n">
        <v>97.9202768242704</v>
      </c>
      <c r="W18" t="n">
        <v>96.5899618171584</v>
      </c>
      <c r="X18" t="n">
        <v>96.3945456436285</v>
      </c>
      <c r="Y18" t="n">
        <v>96.9794290189846</v>
      </c>
      <c r="Z18" t="n">
        <v>100</v>
      </c>
      <c r="AA18" t="n">
        <v>104.773060215754</v>
      </c>
      <c r="AB18" t="n">
        <v>108.381456877272</v>
      </c>
      <c r="AC18" t="n">
        <v>112.012702611905</v>
      </c>
      <c r="AD18" t="n">
        <v>113.584032480966</v>
      </c>
      <c r="AE18" t="n">
        <v>112.86851447897</v>
      </c>
      <c r="AF18"/>
    </row>
    <row r="19">
      <c r="A19" t="s">
        <v>142</v>
      </c>
      <c r="B19" t="s">
        <v>283</v>
      </c>
      <c r="C19" t="s">
        <v>143</v>
      </c>
      <c r="D19" t="s">
        <v>284</v>
      </c>
      <c r="E19" t="s">
        <v>22</v>
      </c>
      <c r="F19" t="n">
        <v>77.5461046011073</v>
      </c>
      <c r="G19" t="n">
        <v>80.278079488137</v>
      </c>
      <c r="H19" t="n">
        <v>82.4191801579504</v>
      </c>
      <c r="I19" t="n">
        <v>85.2426617143782</v>
      </c>
      <c r="J19" t="n">
        <v>84.6478405843511</v>
      </c>
      <c r="K19" t="n">
        <v>81.9894699350228</v>
      </c>
      <c r="L19" t="n">
        <v>83.2575368882536</v>
      </c>
      <c r="M19" t="n">
        <v>79.8291649939461</v>
      </c>
      <c r="N19" t="n">
        <v>81.8905934088856</v>
      </c>
      <c r="O19" t="n">
        <v>81.6947291090013</v>
      </c>
      <c r="P19" t="n">
        <v>86.7392880722466</v>
      </c>
      <c r="Q19" t="n">
        <v>89.8109191223251</v>
      </c>
      <c r="R19" t="n">
        <v>94.6428032452003</v>
      </c>
      <c r="S19" t="n">
        <v>95.2189977485388</v>
      </c>
      <c r="T19" t="n">
        <v>93.4650234737632</v>
      </c>
      <c r="U19" t="n">
        <v>94.4267519223279</v>
      </c>
      <c r="V19" t="n">
        <v>96.6197033777226</v>
      </c>
      <c r="W19" t="n">
        <v>95.5035394968027</v>
      </c>
      <c r="X19" t="n">
        <v>96.1226885046511</v>
      </c>
      <c r="Y19" t="n">
        <v>96.2495824178354</v>
      </c>
      <c r="Z19" t="n">
        <v>100</v>
      </c>
      <c r="AA19" t="n">
        <v>101.284340360111</v>
      </c>
      <c r="AB19" t="n">
        <v>98.5215198401366</v>
      </c>
      <c r="AC19" t="n">
        <v>95.9914252099273</v>
      </c>
      <c r="AD19" t="n">
        <v>95.2093396062415</v>
      </c>
      <c r="AE19" t="n">
        <v>93.5495493369964</v>
      </c>
      <c r="AF19"/>
    </row>
    <row r="20">
      <c r="A20" t="s">
        <v>144</v>
      </c>
      <c r="B20" t="s">
        <v>283</v>
      </c>
      <c r="C20" t="s">
        <v>145</v>
      </c>
      <c r="D20" t="s">
        <v>284</v>
      </c>
      <c r="E20" t="s">
        <v>22</v>
      </c>
      <c r="F20" t="n">
        <v>91.086652604283</v>
      </c>
      <c r="G20" t="n">
        <v>96.3038973002453</v>
      </c>
      <c r="H20" t="n">
        <v>100.45406901121</v>
      </c>
      <c r="I20" t="n">
        <v>103.832140417505</v>
      </c>
      <c r="J20" t="n">
        <v>106.54901477217</v>
      </c>
      <c r="K20" t="n">
        <v>107.441618476316</v>
      </c>
      <c r="L20" t="n">
        <v>108.014372541476</v>
      </c>
      <c r="M20" t="n">
        <v>107.619696592916</v>
      </c>
      <c r="N20" t="n">
        <v>107.078105609902</v>
      </c>
      <c r="O20" t="n">
        <v>105.119659906667</v>
      </c>
      <c r="P20" t="n">
        <v>103.740390610849</v>
      </c>
      <c r="Q20" t="n">
        <v>101.978052615431</v>
      </c>
      <c r="R20" t="n">
        <v>100.916673368867</v>
      </c>
      <c r="S20" t="n">
        <v>100.819187195119</v>
      </c>
      <c r="T20" t="n">
        <v>100.423512585986</v>
      </c>
      <c r="U20" t="n">
        <v>100.093615894044</v>
      </c>
      <c r="V20" t="n">
        <v>99.7533355788452</v>
      </c>
      <c r="W20" t="n">
        <v>99.8136048737704</v>
      </c>
      <c r="X20" t="n">
        <v>99.9282641990309</v>
      </c>
      <c r="Y20" t="n">
        <v>99.6619910600014</v>
      </c>
      <c r="Z20" t="n">
        <v>100</v>
      </c>
      <c r="AA20" t="n">
        <v>100.226792406739</v>
      </c>
      <c r="AB20" t="n">
        <v>100.011081699886</v>
      </c>
      <c r="AC20" t="n">
        <v>100.426551568416</v>
      </c>
      <c r="AD20" t="n">
        <v>99.4381368893929</v>
      </c>
      <c r="AE20" t="n">
        <v>98.3343130531627</v>
      </c>
      <c r="AF20"/>
    </row>
    <row r="21">
      <c r="A21" t="s">
        <v>146</v>
      </c>
      <c r="B21" t="s">
        <v>283</v>
      </c>
      <c r="C21" t="s">
        <v>147</v>
      </c>
      <c r="D21" t="s">
        <v>284</v>
      </c>
      <c r="E21" t="s">
        <v>22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283</v>
      </c>
      <c r="C22" t="s">
        <v>149</v>
      </c>
      <c r="D22" t="s">
        <v>284</v>
      </c>
      <c r="E22" t="s">
        <v>22</v>
      </c>
      <c r="F22" t="n">
        <v>80.8201185450953</v>
      </c>
      <c r="G22" t="n">
        <v>83.5154355674752</v>
      </c>
      <c r="H22" t="n">
        <v>85.8781723010613</v>
      </c>
      <c r="I22" t="n">
        <v>88.3457012903094</v>
      </c>
      <c r="J22" t="n">
        <v>90.6558433494925</v>
      </c>
      <c r="K22" t="n">
        <v>92.3242090364222</v>
      </c>
      <c r="L22" t="n">
        <v>93.952531404273</v>
      </c>
      <c r="M22" t="n">
        <v>95.569890622367</v>
      </c>
      <c r="N22" t="n">
        <v>96.6524053183724</v>
      </c>
      <c r="O22" t="n">
        <v>96.9302682763806</v>
      </c>
      <c r="P22" t="n">
        <v>96.9116392637198</v>
      </c>
      <c r="Q22" t="n">
        <v>96.6936415595398</v>
      </c>
      <c r="R22" t="n">
        <v>96.0793372827084</v>
      </c>
      <c r="S22" t="n">
        <v>95.588279932962</v>
      </c>
      <c r="T22" t="n">
        <v>95.5236038588596</v>
      </c>
      <c r="U22" t="n">
        <v>95.534855818005</v>
      </c>
      <c r="V22" t="n">
        <v>96.0794019396183</v>
      </c>
      <c r="W22" t="n">
        <v>96.724521900585</v>
      </c>
      <c r="X22" t="n">
        <v>98.0872265723291</v>
      </c>
      <c r="Y22" t="n">
        <v>99.0031588953098</v>
      </c>
      <c r="Z22" t="n">
        <v>100</v>
      </c>
      <c r="AA22" t="n">
        <v>101.517901971451</v>
      </c>
      <c r="AB22" t="n">
        <v>102.412977614837</v>
      </c>
      <c r="AC22" t="n">
        <v>103.379842275608</v>
      </c>
      <c r="AD22" t="n">
        <v>104.461821875318</v>
      </c>
      <c r="AE22" t="n">
        <v>106.257862905417</v>
      </c>
      <c r="AF22"/>
    </row>
    <row r="23">
      <c r="A23" t="s">
        <v>150</v>
      </c>
      <c r="B23" t="s">
        <v>283</v>
      </c>
      <c r="C23" t="s">
        <v>151</v>
      </c>
      <c r="D23" t="s">
        <v>284</v>
      </c>
      <c r="E23" t="s">
        <v>22</v>
      </c>
      <c r="F23" t="n">
        <v>107.981213348787</v>
      </c>
      <c r="G23" t="n">
        <v>113.502031379642</v>
      </c>
      <c r="H23" t="n">
        <v>115.06961523188</v>
      </c>
      <c r="I23" t="n">
        <v>113.868557106139</v>
      </c>
      <c r="J23" t="n">
        <v>113.0080170117</v>
      </c>
      <c r="K23" t="n">
        <v>114.201191527242</v>
      </c>
      <c r="L23" t="n">
        <v>112.780030599613</v>
      </c>
      <c r="M23" t="n">
        <v>109.4326403205</v>
      </c>
      <c r="N23" t="n">
        <v>103.458906381059</v>
      </c>
      <c r="O23" t="n">
        <v>98.9759613849644</v>
      </c>
      <c r="P23" t="n">
        <v>95.4106584136651</v>
      </c>
      <c r="Q23" t="n">
        <v>92.2096756369963</v>
      </c>
      <c r="R23" t="n">
        <v>95.1094983878416</v>
      </c>
      <c r="S23" t="n">
        <v>93.4897099818826</v>
      </c>
      <c r="T23" t="n">
        <v>90.2655739794118</v>
      </c>
      <c r="U23" t="n">
        <v>90.5096159279326</v>
      </c>
      <c r="V23" t="n">
        <v>90.230007098142</v>
      </c>
      <c r="W23" t="n">
        <v>90.5974390477968</v>
      </c>
      <c r="X23" t="n">
        <v>94.0522329024892</v>
      </c>
      <c r="Y23" t="n">
        <v>97.624758962834</v>
      </c>
      <c r="Z23" t="n">
        <v>100</v>
      </c>
      <c r="AA23" t="n">
        <v>101.229248398773</v>
      </c>
      <c r="AB23" t="n">
        <v>105.986487435567</v>
      </c>
      <c r="AC23" t="n">
        <v>108.62797494709</v>
      </c>
      <c r="AD23" t="n">
        <v>111.1202250838</v>
      </c>
      <c r="AE23" t="n">
        <v>114.559269680016</v>
      </c>
      <c r="AF23"/>
    </row>
    <row r="24">
      <c r="A24" t="s">
        <v>152</v>
      </c>
      <c r="B24" t="s">
        <v>283</v>
      </c>
      <c r="C24" t="s">
        <v>153</v>
      </c>
      <c r="D24" t="s">
        <v>284</v>
      </c>
      <c r="E24" t="s">
        <v>22</v>
      </c>
      <c r="F24" t="n">
        <v>77.7078892040465</v>
      </c>
      <c r="G24" t="n">
        <v>82.9231871445855</v>
      </c>
      <c r="H24" t="n">
        <v>86.7185588048092</v>
      </c>
      <c r="I24" t="n">
        <v>87.3730735855423</v>
      </c>
      <c r="J24" t="n">
        <v>87.8705242067818</v>
      </c>
      <c r="K24" t="n">
        <v>90.4201852922517</v>
      </c>
      <c r="L24" t="n">
        <v>90.5132493650281</v>
      </c>
      <c r="M24" t="n">
        <v>89.8807312853778</v>
      </c>
      <c r="N24" t="n">
        <v>88.9457071966434</v>
      </c>
      <c r="O24" t="n">
        <v>90.5736453142064</v>
      </c>
      <c r="P24" t="n">
        <v>92.6500647374572</v>
      </c>
      <c r="Q24" t="n">
        <v>94.4801950434973</v>
      </c>
      <c r="R24" t="n">
        <v>95.5969387229603</v>
      </c>
      <c r="S24" t="n">
        <v>96.5315228165241</v>
      </c>
      <c r="T24" t="n">
        <v>95.9262920661631</v>
      </c>
      <c r="U24" t="n">
        <v>95.2830601206383</v>
      </c>
      <c r="V24" t="n">
        <v>95.0973152494538</v>
      </c>
      <c r="W24" t="n">
        <v>95.5944387491277</v>
      </c>
      <c r="X24" t="n">
        <v>96.5257918589773</v>
      </c>
      <c r="Y24" t="n">
        <v>98.2044717667814</v>
      </c>
      <c r="Z24" t="n">
        <v>100</v>
      </c>
      <c r="AA24" t="n">
        <v>100.893681922452</v>
      </c>
      <c r="AB24" t="n">
        <v>101.626242176469</v>
      </c>
      <c r="AC24" t="n">
        <v>101.088376081324</v>
      </c>
      <c r="AD24" t="n">
        <v>102.044281360715</v>
      </c>
      <c r="AE24" t="n">
        <v>101.863271206054</v>
      </c>
      <c r="AF24"/>
    </row>
    <row r="25">
      <c r="A25" t="s">
        <v>154</v>
      </c>
      <c r="B25" t="s">
        <v>283</v>
      </c>
      <c r="C25" t="s">
        <v>155</v>
      </c>
      <c r="D25" t="s">
        <v>284</v>
      </c>
      <c r="E25" t="s">
        <v>22</v>
      </c>
      <c r="F25" t="n">
        <v>57.4549016987217</v>
      </c>
      <c r="G25" t="n">
        <v>73.8756094595179</v>
      </c>
      <c r="H25" t="n">
        <v>86.8656066703864</v>
      </c>
      <c r="I25" t="n">
        <v>83.985058549538</v>
      </c>
      <c r="J25" t="n">
        <v>91.0842509560748</v>
      </c>
      <c r="K25" t="n">
        <v>103.792840697653</v>
      </c>
      <c r="L25" t="n">
        <v>111.3135350542</v>
      </c>
      <c r="M25" t="n">
        <v>109.260745138102</v>
      </c>
      <c r="N25" t="n">
        <v>111.907675907649</v>
      </c>
      <c r="O25" t="n">
        <v>119.498716144181</v>
      </c>
      <c r="P25" t="n">
        <v>128.787719083249</v>
      </c>
      <c r="Q25" t="n">
        <v>133.647795454983</v>
      </c>
      <c r="R25" t="n">
        <v>132.125904205471</v>
      </c>
      <c r="S25" t="n">
        <v>144.70411867099</v>
      </c>
      <c r="T25" t="n">
        <v>145.241715575484</v>
      </c>
      <c r="U25" t="n">
        <v>132.334457011427</v>
      </c>
      <c r="V25" t="n">
        <v>120.398304248933</v>
      </c>
      <c r="W25" t="n">
        <v>109.866643157586</v>
      </c>
      <c r="X25" t="n">
        <v>103.166809476266</v>
      </c>
      <c r="Y25" t="n">
        <v>103.806883077959</v>
      </c>
      <c r="Z25" t="n">
        <v>100</v>
      </c>
      <c r="AA25" t="n">
        <v>93.4319957562105</v>
      </c>
      <c r="AB25" t="n">
        <v>89.6924924101972</v>
      </c>
      <c r="AC25" t="n">
        <v>82.9157983293067</v>
      </c>
      <c r="AD25" t="n">
        <v>91.1974327486457</v>
      </c>
      <c r="AE25" t="n">
        <v>87.6436487926659</v>
      </c>
      <c r="AF25"/>
    </row>
    <row r="26">
      <c r="A26" t="s">
        <v>156</v>
      </c>
      <c r="B26" t="s">
        <v>283</v>
      </c>
      <c r="C26" t="s">
        <v>157</v>
      </c>
      <c r="D26" t="s">
        <v>284</v>
      </c>
      <c r="E26" t="s">
        <v>22</v>
      </c>
      <c r="F26" t="n">
        <v>89.9722985807566</v>
      </c>
      <c r="G26" t="n">
        <v>95.3734339264134</v>
      </c>
      <c r="H26" t="n">
        <v>101.697782184688</v>
      </c>
      <c r="I26" t="n">
        <v>102.619856178902</v>
      </c>
      <c r="J26" t="n">
        <v>102.448815883502</v>
      </c>
      <c r="K26" t="n">
        <v>102.563138784686</v>
      </c>
      <c r="L26" t="n">
        <v>100.402149148198</v>
      </c>
      <c r="M26" t="n">
        <v>98.9676543010687</v>
      </c>
      <c r="N26" t="n">
        <v>96.3495319355801</v>
      </c>
      <c r="O26" t="n">
        <v>95.0374257185737</v>
      </c>
      <c r="P26" t="n">
        <v>94.7933165134149</v>
      </c>
      <c r="Q26" t="n">
        <v>95.772409534965</v>
      </c>
      <c r="R26" t="n">
        <v>97.1129672700184</v>
      </c>
      <c r="S26" t="n">
        <v>98.5790559294098</v>
      </c>
      <c r="T26" t="n">
        <v>98.6584058340248</v>
      </c>
      <c r="U26" t="n">
        <v>98.3277586876373</v>
      </c>
      <c r="V26" t="n">
        <v>98.190910535692</v>
      </c>
      <c r="W26" t="n">
        <v>98.4419521818131</v>
      </c>
      <c r="X26" t="n">
        <v>98.605539345311</v>
      </c>
      <c r="Y26" t="n">
        <v>99.065300131178</v>
      </c>
      <c r="Z26" t="n">
        <v>100</v>
      </c>
      <c r="AA26" t="n">
        <v>99.9543934758033</v>
      </c>
      <c r="AB26" t="n">
        <v>100.378313587026</v>
      </c>
      <c r="AC26" t="n">
        <v>98.7586910791651</v>
      </c>
      <c r="AD26" t="n">
        <v>97.2722111049625</v>
      </c>
      <c r="AE26" t="n">
        <v>96.1960904186292</v>
      </c>
      <c r="AF26"/>
    </row>
    <row r="27">
      <c r="A27" t="s">
        <v>158</v>
      </c>
      <c r="B27" t="s">
        <v>283</v>
      </c>
      <c r="C27" t="s">
        <v>159</v>
      </c>
      <c r="D27" t="s">
        <v>284</v>
      </c>
      <c r="E27" t="s">
        <v>22</v>
      </c>
      <c r="F27" t="n">
        <v>70.3840859954261</v>
      </c>
      <c r="G27" t="n">
        <v>74.6428024424274</v>
      </c>
      <c r="H27" t="n">
        <v>75.979344668925</v>
      </c>
      <c r="I27" t="n">
        <v>76.6716090129269</v>
      </c>
      <c r="J27" t="n">
        <v>77.1348111262387</v>
      </c>
      <c r="K27" t="n">
        <v>80.6177694690115</v>
      </c>
      <c r="L27" t="n">
        <v>81.723817759671</v>
      </c>
      <c r="M27" t="n">
        <v>81.7470784169935</v>
      </c>
      <c r="N27" t="n">
        <v>81.7270925664399</v>
      </c>
      <c r="O27" t="n">
        <v>84.9925141684189</v>
      </c>
      <c r="P27" t="n">
        <v>88.2071041983183</v>
      </c>
      <c r="Q27" t="n">
        <v>90.4400539390776</v>
      </c>
      <c r="R27" t="n">
        <v>91.5891414228179</v>
      </c>
      <c r="S27" t="n">
        <v>91.297120687982</v>
      </c>
      <c r="T27" t="n">
        <v>90.1249367407271</v>
      </c>
      <c r="U27" t="n">
        <v>90.1649014348209</v>
      </c>
      <c r="V27" t="n">
        <v>90.8273926233856</v>
      </c>
      <c r="W27" t="n">
        <v>92.3376620605678</v>
      </c>
      <c r="X27" t="n">
        <v>94.4295981799697</v>
      </c>
      <c r="Y27" t="n">
        <v>97.1165928941843</v>
      </c>
      <c r="Z27" t="n">
        <v>100</v>
      </c>
      <c r="AA27" t="n">
        <v>102.18292674258</v>
      </c>
      <c r="AB27" t="n">
        <v>103.515968791728</v>
      </c>
      <c r="AC27" t="n">
        <v>104.269844273283</v>
      </c>
      <c r="AD27" t="n">
        <v>106.516867131439</v>
      </c>
      <c r="AE27" t="n">
        <v>107.27101599155</v>
      </c>
      <c r="AF27"/>
    </row>
    <row r="28">
      <c r="A28" t="s">
        <v>160</v>
      </c>
      <c r="B28" t="s">
        <v>283</v>
      </c>
      <c r="C28" t="s">
        <v>161</v>
      </c>
      <c r="D28" t="s">
        <v>284</v>
      </c>
      <c r="E28" t="s">
        <v>22</v>
      </c>
      <c r="F28" t="n">
        <v>85.8883984084524</v>
      </c>
      <c r="G28" t="n">
        <v>87.7569589105884</v>
      </c>
      <c r="H28" t="n">
        <v>90.4500035995744</v>
      </c>
      <c r="I28" t="n">
        <v>90.4084033025839</v>
      </c>
      <c r="J28" t="n">
        <v>90.9074490004027</v>
      </c>
      <c r="K28" t="n">
        <v>90.772274915569</v>
      </c>
      <c r="L28" t="n">
        <v>90.0039010069519</v>
      </c>
      <c r="M28" t="n">
        <v>88.9082693970637</v>
      </c>
      <c r="N28" t="n">
        <v>90.0391339273597</v>
      </c>
      <c r="O28" t="n">
        <v>90.5850134162152</v>
      </c>
      <c r="P28" t="n">
        <v>91.177530755442</v>
      </c>
      <c r="Q28" t="n">
        <v>91.2029999809941</v>
      </c>
      <c r="R28" t="n">
        <v>93.2585627528208</v>
      </c>
      <c r="S28" t="n">
        <v>94.9655400960338</v>
      </c>
      <c r="T28" t="n">
        <v>95.715143876136</v>
      </c>
      <c r="U28" t="n">
        <v>96.1579949695309</v>
      </c>
      <c r="V28" t="n">
        <v>95.4731307098165</v>
      </c>
      <c r="W28" t="n">
        <v>97.0942558288192</v>
      </c>
      <c r="X28" t="n">
        <v>97.7285983016957</v>
      </c>
      <c r="Y28" t="n">
        <v>99.2577448752358</v>
      </c>
      <c r="Z28" t="n">
        <v>100</v>
      </c>
      <c r="AA28" t="n">
        <v>100.413972539506</v>
      </c>
      <c r="AB28" t="n">
        <v>101.396426074002</v>
      </c>
      <c r="AC28" t="n">
        <v>103.709967336379</v>
      </c>
      <c r="AD28" t="n">
        <v>105.829803548785</v>
      </c>
      <c r="AE28" t="n">
        <v>106.185320249382</v>
      </c>
      <c r="AF28"/>
    </row>
    <row r="29">
      <c r="A29" t="s">
        <v>162</v>
      </c>
      <c r="B29" t="s">
        <v>283</v>
      </c>
      <c r="C29" t="s">
        <v>163</v>
      </c>
      <c r="D29" t="s">
        <v>284</v>
      </c>
      <c r="E29" t="s">
        <v>22</v>
      </c>
      <c r="F29" t="n">
        <v>94.9253070679054</v>
      </c>
      <c r="G29" t="n">
        <v>97.3593759945093</v>
      </c>
      <c r="H29" t="n">
        <v>101.537088299818</v>
      </c>
      <c r="I29" t="n">
        <v>101.047985634213</v>
      </c>
      <c r="J29" t="n">
        <v>100.363177303112</v>
      </c>
      <c r="K29" t="n">
        <v>100.216825522702</v>
      </c>
      <c r="L29" t="n">
        <v>98.144185252145</v>
      </c>
      <c r="M29" t="n">
        <v>96.1647169367476</v>
      </c>
      <c r="N29" t="n">
        <v>96.3980418917997</v>
      </c>
      <c r="O29" t="n">
        <v>96.3006296418105</v>
      </c>
      <c r="P29" t="n">
        <v>96.835797931165</v>
      </c>
      <c r="Q29" t="n">
        <v>96.2689039774591</v>
      </c>
      <c r="R29" t="n">
        <v>95.8563927108976</v>
      </c>
      <c r="S29" t="n">
        <v>96.477179930026</v>
      </c>
      <c r="T29" t="n">
        <v>95.7983432503505</v>
      </c>
      <c r="U29" t="n">
        <v>95.9286863082932</v>
      </c>
      <c r="V29" t="n">
        <v>95.6544194702918</v>
      </c>
      <c r="W29" t="n">
        <v>96.9284449939651</v>
      </c>
      <c r="X29" t="n">
        <v>97.6139012075589</v>
      </c>
      <c r="Y29" t="n">
        <v>99.4606301195883</v>
      </c>
      <c r="Z29" t="n">
        <v>100</v>
      </c>
      <c r="AA29" t="n">
        <v>99.6994888994525</v>
      </c>
      <c r="AB29" t="n">
        <v>99.4543658803783</v>
      </c>
      <c r="AC29" t="n">
        <v>102.491118570708</v>
      </c>
      <c r="AD29" t="n">
        <v>106.396598282958</v>
      </c>
      <c r="AE29" t="n">
        <v>106.992484255697</v>
      </c>
      <c r="AF29"/>
    </row>
    <row r="30">
      <c r="A30" t="s">
        <v>164</v>
      </c>
      <c r="B30" t="s">
        <v>283</v>
      </c>
      <c r="C30" t="s">
        <v>165</v>
      </c>
      <c r="D30" t="s">
        <v>284</v>
      </c>
      <c r="E30" t="s">
        <v>22</v>
      </c>
      <c r="F30" t="n">
        <v>109.82096876495</v>
      </c>
      <c r="G30" t="n">
        <v>104.069185367698</v>
      </c>
      <c r="H30" t="n">
        <v>96.0450631963302</v>
      </c>
      <c r="I30" t="n">
        <v>91.131870980238</v>
      </c>
      <c r="J30" t="n">
        <v>87.3983250972719</v>
      </c>
      <c r="K30" t="n">
        <v>82.9811080261762</v>
      </c>
      <c r="L30" t="n">
        <v>82.8017547632949</v>
      </c>
      <c r="M30" t="n">
        <v>86.364351443212</v>
      </c>
      <c r="N30" t="n">
        <v>93.4843692330622</v>
      </c>
      <c r="O30" t="n">
        <v>97.9715250081954</v>
      </c>
      <c r="P30" t="n">
        <v>95.0007445748356</v>
      </c>
      <c r="Q30" t="n">
        <v>92.1974787590372</v>
      </c>
      <c r="R30" t="n">
        <v>89.2060965079237</v>
      </c>
      <c r="S30" t="n">
        <v>89.7564013503317</v>
      </c>
      <c r="T30" t="n">
        <v>93.1594405966132</v>
      </c>
      <c r="U30" t="n">
        <v>92.260568074819</v>
      </c>
      <c r="V30" t="n">
        <v>93.964585044126</v>
      </c>
      <c r="W30" t="n">
        <v>95.6907433844162</v>
      </c>
      <c r="X30" t="n">
        <v>97.1412961110119</v>
      </c>
      <c r="Y30" t="n">
        <v>97.7665538940968</v>
      </c>
      <c r="Z30" t="n">
        <v>100</v>
      </c>
      <c r="AA30" t="n">
        <v>106.37881703347</v>
      </c>
      <c r="AB30" t="n">
        <v>113.205162612499</v>
      </c>
      <c r="AC30" t="n">
        <v>117.388968525641</v>
      </c>
      <c r="AD30" t="n">
        <v>116.682068012502</v>
      </c>
      <c r="AE30" t="n">
        <v>110.71733353492</v>
      </c>
      <c r="AF30"/>
    </row>
    <row r="31">
      <c r="A31" t="s">
        <v>166</v>
      </c>
      <c r="B31" t="s">
        <v>283</v>
      </c>
      <c r="C31" t="s">
        <v>167</v>
      </c>
      <c r="D31" t="s">
        <v>284</v>
      </c>
      <c r="E31" t="s">
        <v>22</v>
      </c>
      <c r="F31" t="n">
        <v>58.9795550558386</v>
      </c>
      <c r="G31" t="n">
        <v>56.6112298534768</v>
      </c>
      <c r="H31" t="n">
        <v>59.0775802583792</v>
      </c>
      <c r="I31" t="n">
        <v>57.8709798529574</v>
      </c>
      <c r="J31" t="n">
        <v>55.7197865224096</v>
      </c>
      <c r="K31" t="n">
        <v>54.2353698799553</v>
      </c>
      <c r="L31" t="n">
        <v>52.8289808941098</v>
      </c>
      <c r="M31" t="n">
        <v>51.0561136783962</v>
      </c>
      <c r="N31" t="n">
        <v>53.0816029369088</v>
      </c>
      <c r="O31" t="n">
        <v>54.8299188748042</v>
      </c>
      <c r="P31" t="n">
        <v>60.3328492618999</v>
      </c>
      <c r="Q31" t="n">
        <v>63.8391605264493</v>
      </c>
      <c r="R31" t="n">
        <v>73.6829373106764</v>
      </c>
      <c r="S31" t="n">
        <v>88.9283239977434</v>
      </c>
      <c r="T31" t="n">
        <v>96.0343832380792</v>
      </c>
      <c r="U31" t="n">
        <v>99.0775255207472</v>
      </c>
      <c r="V31" t="n">
        <v>93.2132295953352</v>
      </c>
      <c r="W31" t="n">
        <v>95.8028367503355</v>
      </c>
      <c r="X31" t="n">
        <v>99.1023429220866</v>
      </c>
      <c r="Y31" t="n">
        <v>100.16434110434</v>
      </c>
      <c r="Z31" t="n">
        <v>100</v>
      </c>
      <c r="AA31" t="n">
        <v>100.830528633725</v>
      </c>
      <c r="AB31" t="n">
        <v>104.666392146574</v>
      </c>
      <c r="AC31" t="n">
        <v>105.750141548233</v>
      </c>
      <c r="AD31" t="n">
        <v>106.481493337432</v>
      </c>
      <c r="AE31" t="n">
        <v>112.768499963012</v>
      </c>
      <c r="AF31"/>
    </row>
    <row r="32">
      <c r="A32" t="s">
        <v>168</v>
      </c>
      <c r="B32" t="s">
        <v>283</v>
      </c>
      <c r="C32" t="s">
        <v>169</v>
      </c>
      <c r="D32" t="s">
        <v>284</v>
      </c>
      <c r="E32" t="s">
        <v>22</v>
      </c>
      <c r="F32" t="n">
        <v>79.5575461196513</v>
      </c>
      <c r="G32" t="n">
        <v>82.0149466067782</v>
      </c>
      <c r="H32" t="n">
        <v>82.4874300654326</v>
      </c>
      <c r="I32" t="n">
        <v>83.8728144675541</v>
      </c>
      <c r="J32" t="n">
        <v>87.4812907606937</v>
      </c>
      <c r="K32" t="n">
        <v>88.8072179866914</v>
      </c>
      <c r="L32" t="n">
        <v>89.8603345381509</v>
      </c>
      <c r="M32" t="n">
        <v>89.1999778192577</v>
      </c>
      <c r="N32" t="n">
        <v>90.3559900558724</v>
      </c>
      <c r="O32" t="n">
        <v>90.8774868300231</v>
      </c>
      <c r="P32" t="n">
        <v>90.8417661063542</v>
      </c>
      <c r="Q32" t="n">
        <v>90.2256812542456</v>
      </c>
      <c r="R32" t="n">
        <v>90.478668912633</v>
      </c>
      <c r="S32" t="n">
        <v>91.2061900218457</v>
      </c>
      <c r="T32" t="n">
        <v>92.8069068747208</v>
      </c>
      <c r="U32" t="n">
        <v>94.1808293668356</v>
      </c>
      <c r="V32" t="n">
        <v>95.0750087989624</v>
      </c>
      <c r="W32" t="n">
        <v>97.1376334536827</v>
      </c>
      <c r="X32" t="n">
        <v>97.1906681723778</v>
      </c>
      <c r="Y32" t="n">
        <v>99.2861154215783</v>
      </c>
      <c r="Z32" t="n">
        <v>100</v>
      </c>
      <c r="AA32" t="n">
        <v>99.8432891200763</v>
      </c>
      <c r="AB32" t="n">
        <v>100.438069447181</v>
      </c>
      <c r="AC32" t="n">
        <v>102.387943382255</v>
      </c>
      <c r="AD32" t="n">
        <v>103.642963230056</v>
      </c>
      <c r="AE32" t="n">
        <v>103.868305689285</v>
      </c>
      <c r="AF32"/>
    </row>
    <row r="33">
      <c r="A33" t="s">
        <v>170</v>
      </c>
      <c r="B33" t="s">
        <v>283</v>
      </c>
      <c r="C33" t="s">
        <v>171</v>
      </c>
      <c r="D33" t="s">
        <v>284</v>
      </c>
      <c r="E33" t="s">
        <v>22</v>
      </c>
      <c r="F33" t="n">
        <v>40.7159120880072</v>
      </c>
      <c r="G33" t="n">
        <v>54.4472015958163</v>
      </c>
      <c r="H33" t="n">
        <v>71.1144098714411</v>
      </c>
      <c r="I33" t="n">
        <v>79.2562255038572</v>
      </c>
      <c r="J33" t="n">
        <v>89.5259131944374</v>
      </c>
      <c r="K33" t="n">
        <v>92.2837141555628</v>
      </c>
      <c r="L33" t="n">
        <v>96.7801227846603</v>
      </c>
      <c r="M33" t="n">
        <v>96.1976042106812</v>
      </c>
      <c r="N33" t="n">
        <v>94.251291125218</v>
      </c>
      <c r="O33" t="n">
        <v>92.2299819194074</v>
      </c>
      <c r="P33" t="n">
        <v>92.255586410859</v>
      </c>
      <c r="Q33" t="n">
        <v>99.3238978627525</v>
      </c>
      <c r="R33" t="n">
        <v>130.50329945081</v>
      </c>
      <c r="S33" t="n">
        <v>122.935599917029</v>
      </c>
      <c r="T33" t="n">
        <v>116.551848974312</v>
      </c>
      <c r="U33" t="n">
        <v>112.029626775055</v>
      </c>
      <c r="V33" t="n">
        <v>105.060700040088</v>
      </c>
      <c r="W33" t="n">
        <v>105.603726432808</v>
      </c>
      <c r="X33" t="n">
        <v>100.36404189521</v>
      </c>
      <c r="Y33" t="n">
        <v>97.271194250451</v>
      </c>
      <c r="Z33" t="n">
        <v>100</v>
      </c>
      <c r="AA33" t="n">
        <v>98.1293213575441</v>
      </c>
      <c r="AB33" t="n">
        <v>94.9570874859155</v>
      </c>
      <c r="AC33" t="n">
        <v>89.0122812164905</v>
      </c>
      <c r="AD33" t="n">
        <v>83.1565760741171</v>
      </c>
      <c r="AE33" t="n">
        <v>77.2841616728109</v>
      </c>
      <c r="AF33"/>
    </row>
    <row r="34">
      <c r="A34" t="s">
        <v>172</v>
      </c>
      <c r="B34" t="s">
        <v>283</v>
      </c>
      <c r="C34" t="s">
        <v>173</v>
      </c>
      <c r="D34" t="s">
        <v>284</v>
      </c>
      <c r="E34" t="s">
        <v>22</v>
      </c>
      <c r="F34" t="n">
        <v>100.625099957717</v>
      </c>
      <c r="G34" t="n">
        <v>105.313876106863</v>
      </c>
      <c r="H34" t="n">
        <v>108.200427566893</v>
      </c>
      <c r="I34" t="n">
        <v>108.477593959535</v>
      </c>
      <c r="J34" t="n">
        <v>110.350810731206</v>
      </c>
      <c r="K34" t="n">
        <v>112.437803015775</v>
      </c>
      <c r="L34" t="n">
        <v>114.376341296067</v>
      </c>
      <c r="M34" t="n">
        <v>114.00644502865</v>
      </c>
      <c r="N34" t="n">
        <v>110.497905933672</v>
      </c>
      <c r="O34" t="n">
        <v>108.375378828755</v>
      </c>
      <c r="P34" t="n">
        <v>105.05723331037</v>
      </c>
      <c r="Q34" t="n">
        <v>110.629356973206</v>
      </c>
      <c r="R34" t="n">
        <v>116.33345976355</v>
      </c>
      <c r="S34" t="n">
        <v>116.724732599479</v>
      </c>
      <c r="T34" t="n">
        <v>113.469115963867</v>
      </c>
      <c r="U34" t="n">
        <v>110.50893219477</v>
      </c>
      <c r="V34" t="n">
        <v>107.573583487041</v>
      </c>
      <c r="W34" t="n">
        <v>106.835619653312</v>
      </c>
      <c r="X34" t="n">
        <v>102.395539366638</v>
      </c>
      <c r="Y34" t="n">
        <v>101.112892303632</v>
      </c>
      <c r="Z34" t="n">
        <v>100</v>
      </c>
      <c r="AA34" t="n">
        <v>96.9161559002042</v>
      </c>
      <c r="AB34" t="n">
        <v>94.9418902047721</v>
      </c>
      <c r="AC34" t="n">
        <v>92.7615816852159</v>
      </c>
      <c r="AD34" t="n">
        <v>89.8670186625312</v>
      </c>
      <c r="AE34" t="n">
        <v>85.8026606069625</v>
      </c>
      <c r="AF34"/>
    </row>
    <row r="35">
      <c r="A35" t="s">
        <v>174</v>
      </c>
      <c r="B35" t="s">
        <v>283</v>
      </c>
      <c r="C35" t="s">
        <v>175</v>
      </c>
      <c r="D35" t="s">
        <v>284</v>
      </c>
      <c r="E35" t="s">
        <v>22</v>
      </c>
      <c r="F35" t="n">
        <v>32.242596662161</v>
      </c>
      <c r="G35" t="n">
        <v>40.8304611944744</v>
      </c>
      <c r="H35" t="n">
        <v>47.1429273227449</v>
      </c>
      <c r="I35" t="n">
        <v>52.5820181614721</v>
      </c>
      <c r="J35" t="n">
        <v>58.6173019583171</v>
      </c>
      <c r="K35" t="n">
        <v>63.5283909996679</v>
      </c>
      <c r="L35" t="n">
        <v>67.6623283938313</v>
      </c>
      <c r="M35" t="n">
        <v>70.3224105713323</v>
      </c>
      <c r="N35" t="n">
        <v>73.6855057784516</v>
      </c>
      <c r="O35" t="n">
        <v>75.9657592119895</v>
      </c>
      <c r="P35" t="n">
        <v>77.9634489659145</v>
      </c>
      <c r="Q35" t="n">
        <v>81.0528434044805</v>
      </c>
      <c r="R35" t="n">
        <v>82.3574543012384</v>
      </c>
      <c r="S35" t="n">
        <v>83.9763192598561</v>
      </c>
      <c r="T35" t="n">
        <v>85.5310397939364</v>
      </c>
      <c r="U35" t="n">
        <v>87.2320812886678</v>
      </c>
      <c r="V35" t="n">
        <v>89.4117727310526</v>
      </c>
      <c r="W35" t="n">
        <v>93.2001248938839</v>
      </c>
      <c r="X35" t="n">
        <v>96.08939829741</v>
      </c>
      <c r="Y35" t="n">
        <v>98.2358593435487</v>
      </c>
      <c r="Z35" t="n">
        <v>100</v>
      </c>
      <c r="AA35" t="n">
        <v>100.362775037577</v>
      </c>
      <c r="AB35" t="n">
        <v>101.455130824379</v>
      </c>
      <c r="AC35" t="n">
        <v>103.50696349348</v>
      </c>
      <c r="AD35" t="n">
        <v>105.410253609629</v>
      </c>
      <c r="AE35" t="n">
        <v>107.289632747305</v>
      </c>
      <c r="AF35"/>
    </row>
    <row r="36">
      <c r="A36" t="s">
        <v>176</v>
      </c>
      <c r="B36" t="s">
        <v>283</v>
      </c>
      <c r="C36" t="s">
        <v>177</v>
      </c>
      <c r="D36" t="s">
        <v>284</v>
      </c>
      <c r="E36" t="s">
        <v>22</v>
      </c>
      <c r="F36" t="n">
        <v>28.7430377632078</v>
      </c>
      <c r="G36" t="n">
        <v>53.714369629082</v>
      </c>
      <c r="H36" t="n">
        <v>64.2056173998249</v>
      </c>
      <c r="I36" t="n">
        <v>67.9793535040039</v>
      </c>
      <c r="J36" t="n">
        <v>75.171259642876</v>
      </c>
      <c r="K36" t="n">
        <v>75.9886660208194</v>
      </c>
      <c r="L36" t="n">
        <v>79.1714933078579</v>
      </c>
      <c r="M36" t="n">
        <v>80.5190297074537</v>
      </c>
      <c r="N36" t="n">
        <v>88.4068847605874</v>
      </c>
      <c r="O36" t="n">
        <v>88.6589772427676</v>
      </c>
      <c r="P36" t="n">
        <v>92.5068991490408</v>
      </c>
      <c r="Q36" t="n">
        <v>96.7762955911328</v>
      </c>
      <c r="R36" t="n">
        <v>97.2535690636176</v>
      </c>
      <c r="S36" t="n">
        <v>94.6014734354766</v>
      </c>
      <c r="T36" t="n">
        <v>95.1689999852439</v>
      </c>
      <c r="U36" t="n">
        <v>96.4739581120437</v>
      </c>
      <c r="V36" t="n">
        <v>97.2997039988119</v>
      </c>
      <c r="W36" t="n">
        <v>99.5241752620187</v>
      </c>
      <c r="X36" t="n">
        <v>100.83272990638</v>
      </c>
      <c r="Y36" t="n">
        <v>102.424553040333</v>
      </c>
      <c r="Z36" t="n">
        <v>100</v>
      </c>
      <c r="AA36" t="n">
        <v>97.6794795470092</v>
      </c>
      <c r="AB36" t="n">
        <v>96.2201584767288</v>
      </c>
      <c r="AC36" t="n">
        <v>93.088574503865</v>
      </c>
      <c r="AD36" t="n">
        <v>97.2031306014105</v>
      </c>
      <c r="AE36" t="n">
        <v>96.3595022143149</v>
      </c>
      <c r="AF36"/>
    </row>
    <row r="37">
      <c r="A37" t="s">
        <v>178</v>
      </c>
      <c r="B37" t="s">
        <v>283</v>
      </c>
      <c r="C37" t="s">
        <v>179</v>
      </c>
      <c r="D37" t="s">
        <v>284</v>
      </c>
      <c r="E37" t="s">
        <v>22</v>
      </c>
      <c r="F37" t="n">
        <v>32.7083193508831</v>
      </c>
      <c r="G37" t="n">
        <v>40.3483629438766</v>
      </c>
      <c r="H37" t="n">
        <v>47.461914273237</v>
      </c>
      <c r="I37" t="n">
        <v>54.4771937035847</v>
      </c>
      <c r="J37" t="n">
        <v>61.7735995304267</v>
      </c>
      <c r="K37" t="n">
        <v>67.7056182829175</v>
      </c>
      <c r="L37" t="n">
        <v>71.6088713885063</v>
      </c>
      <c r="M37" t="n">
        <v>72.9215922676954</v>
      </c>
      <c r="N37" t="n">
        <v>73.4995525039526</v>
      </c>
      <c r="O37" t="n">
        <v>73.1021770582489</v>
      </c>
      <c r="P37" t="n">
        <v>73.6850258378833</v>
      </c>
      <c r="Q37" t="n">
        <v>76.349222476295</v>
      </c>
      <c r="R37" t="n">
        <v>78.8533770829903</v>
      </c>
      <c r="S37" t="n">
        <v>81.291753017672</v>
      </c>
      <c r="T37" t="n">
        <v>83.9860648673391</v>
      </c>
      <c r="U37" t="n">
        <v>85.3686340939748</v>
      </c>
      <c r="V37" t="n">
        <v>88.0511952477111</v>
      </c>
      <c r="W37" t="n">
        <v>93.3165914521513</v>
      </c>
      <c r="X37" t="n">
        <v>97.1049463963797</v>
      </c>
      <c r="Y37" t="n">
        <v>99.1728209578082</v>
      </c>
      <c r="Z37" t="n">
        <v>100</v>
      </c>
      <c r="AA37" t="n">
        <v>101.212188778307</v>
      </c>
      <c r="AB37" t="n">
        <v>102.922551552866</v>
      </c>
      <c r="AC37" t="n">
        <v>102.450474224546</v>
      </c>
      <c r="AD37" t="n">
        <v>103.346734329043</v>
      </c>
      <c r="AE37" t="n">
        <v>105.834723150087</v>
      </c>
      <c r="AF37"/>
    </row>
    <row r="38">
      <c r="A38" t="s">
        <v>180</v>
      </c>
      <c r="B38" t="s">
        <v>283</v>
      </c>
      <c r="C38" t="s">
        <v>181</v>
      </c>
      <c r="D38" t="s">
        <v>284</v>
      </c>
      <c r="E38" t="s">
        <v>22</v>
      </c>
      <c r="F38" t="n">
        <v>34.5727620768005</v>
      </c>
      <c r="G38" t="n">
        <v>33.6391949570231</v>
      </c>
      <c r="H38" t="n">
        <v>33.3744990821134</v>
      </c>
      <c r="I38" t="n">
        <v>33.9761739569657</v>
      </c>
      <c r="J38" t="n">
        <v>34.1423941729591</v>
      </c>
      <c r="K38" t="n">
        <v>38.3035312534086</v>
      </c>
      <c r="L38" t="n">
        <v>44.0316906167413</v>
      </c>
      <c r="M38" t="n">
        <v>52.8719551244309</v>
      </c>
      <c r="N38" t="n">
        <v>64.5372542428187</v>
      </c>
      <c r="O38" t="n">
        <v>81.2792534129355</v>
      </c>
      <c r="P38" t="n">
        <v>89.289575662596</v>
      </c>
      <c r="Q38" t="n">
        <v>93.9490352025412</v>
      </c>
      <c r="R38" t="n">
        <v>89.1203146706502</v>
      </c>
      <c r="S38" t="n">
        <v>89.9174764103207</v>
      </c>
      <c r="T38" t="n">
        <v>85.8294695581679</v>
      </c>
      <c r="U38" t="n">
        <v>89.7973436269755</v>
      </c>
      <c r="V38" t="n">
        <v>90.3221157090806</v>
      </c>
      <c r="W38" t="n">
        <v>86.7312170797856</v>
      </c>
      <c r="X38" t="n">
        <v>85.9972061093455</v>
      </c>
      <c r="Y38" t="n">
        <v>89.0815935068167</v>
      </c>
      <c r="Z38" t="n">
        <v>100</v>
      </c>
      <c r="AA38" t="n">
        <v>98.8974293522512</v>
      </c>
      <c r="AB38" t="n">
        <v>99.5439155520087</v>
      </c>
      <c r="AC38" t="n">
        <v>119.347015767362</v>
      </c>
      <c r="AD38" t="n">
        <v>124.097383642595</v>
      </c>
      <c r="AE38" t="n">
        <v>125.652206956985</v>
      </c>
      <c r="AF38"/>
    </row>
    <row r="39">
      <c r="A39" t="s">
        <v>182</v>
      </c>
      <c r="B39" t="s">
        <v>283</v>
      </c>
      <c r="C39" t="s">
        <v>183</v>
      </c>
      <c r="D39" t="s">
        <v>284</v>
      </c>
      <c r="E39" t="s">
        <v>22</v>
      </c>
      <c r="F39" t="n">
        <v>37.3705679298908</v>
      </c>
      <c r="G39" t="n">
        <v>44.7273837442532</v>
      </c>
      <c r="H39" t="n">
        <v>49.9855058793716</v>
      </c>
      <c r="I39" t="n">
        <v>55.0988341819788</v>
      </c>
      <c r="J39" t="n">
        <v>56.4444241041865</v>
      </c>
      <c r="K39" t="n">
        <v>57.4093796306461</v>
      </c>
      <c r="L39" t="n">
        <v>59.7765292062947</v>
      </c>
      <c r="M39" t="n">
        <v>60.9266518006002</v>
      </c>
      <c r="N39" t="n">
        <v>64.6497428387119</v>
      </c>
      <c r="O39" t="n">
        <v>71.0839208417442</v>
      </c>
      <c r="P39" t="n">
        <v>73.2143349109835</v>
      </c>
      <c r="Q39" t="n">
        <v>74.6181510626483</v>
      </c>
      <c r="R39" t="n">
        <v>78.8009692790385</v>
      </c>
      <c r="S39" t="n">
        <v>81.9996060230621</v>
      </c>
      <c r="T39" t="n">
        <v>86.5528032268165</v>
      </c>
      <c r="U39" t="n">
        <v>89.4400500204227</v>
      </c>
      <c r="V39" t="n">
        <v>89.5448051042431</v>
      </c>
      <c r="W39" t="n">
        <v>89.3029019488985</v>
      </c>
      <c r="X39" t="n">
        <v>91.1329767145251</v>
      </c>
      <c r="Y39" t="n">
        <v>97.65595341789</v>
      </c>
      <c r="Z39" t="n">
        <v>100</v>
      </c>
      <c r="AA39" t="n">
        <v>98.490962628802</v>
      </c>
      <c r="AB39" t="n">
        <v>99.8395833104313</v>
      </c>
      <c r="AC39" t="n">
        <v>99.9796584710945</v>
      </c>
      <c r="AD39" t="n">
        <v>99.1444646712748</v>
      </c>
      <c r="AE39" t="n">
        <v>101.672490142929</v>
      </c>
      <c r="AF39"/>
    </row>
    <row r="40">
      <c r="A40" t="s">
        <v>184</v>
      </c>
      <c r="B40" t="s">
        <v>283</v>
      </c>
      <c r="C40" t="s">
        <v>185</v>
      </c>
      <c r="D40" t="s">
        <v>284</v>
      </c>
      <c r="E40" t="s">
        <v>22</v>
      </c>
      <c r="F40" t="n">
        <v>98.9143536369571</v>
      </c>
      <c r="G40" t="n">
        <v>101.869035013072</v>
      </c>
      <c r="H40" t="n">
        <v>103.712595973033</v>
      </c>
      <c r="I40" t="n">
        <v>104.467664566575</v>
      </c>
      <c r="J40" t="n">
        <v>105.255373249175</v>
      </c>
      <c r="K40" t="n">
        <v>106.040608781883</v>
      </c>
      <c r="L40" t="n">
        <v>106.52644872918</v>
      </c>
      <c r="M40" t="n">
        <v>106.713598733661</v>
      </c>
      <c r="N40" t="n">
        <v>106.698918968405</v>
      </c>
      <c r="O40" t="n">
        <v>106.672415425327</v>
      </c>
      <c r="P40" t="n">
        <v>107.220979758393</v>
      </c>
      <c r="Q40" t="n">
        <v>107.376506475289</v>
      </c>
      <c r="R40" t="n">
        <v>106.88985731776</v>
      </c>
      <c r="S40" t="n">
        <v>106.193739367689</v>
      </c>
      <c r="T40" t="n">
        <v>104.751628485695</v>
      </c>
      <c r="U40" t="n">
        <v>103.435278813739</v>
      </c>
      <c r="V40" t="n">
        <v>102.200125993898</v>
      </c>
      <c r="W40" t="n">
        <v>101.093324063003</v>
      </c>
      <c r="X40" t="n">
        <v>100.49587250433</v>
      </c>
      <c r="Y40" t="n">
        <v>100.227446580954</v>
      </c>
      <c r="Z40" t="n">
        <v>100</v>
      </c>
      <c r="AA40" t="n">
        <v>99.669880154387</v>
      </c>
      <c r="AB40" t="n">
        <v>99.3754140000575</v>
      </c>
      <c r="AC40" t="n">
        <v>99.386826791777</v>
      </c>
      <c r="AD40" t="n">
        <v>100.28629024129</v>
      </c>
      <c r="AE40" t="n">
        <v>101.275329278316</v>
      </c>
      <c r="AF40"/>
    </row>
    <row r="41">
      <c r="A41" t="s">
        <v>186</v>
      </c>
      <c r="B41" t="s">
        <v>283</v>
      </c>
      <c r="C41" t="s">
        <v>187</v>
      </c>
      <c r="D41" t="s">
        <v>284</v>
      </c>
      <c r="E41" t="s">
        <v>22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283</v>
      </c>
      <c r="C42" t="s">
        <v>189</v>
      </c>
      <c r="D42" t="s">
        <v>284</v>
      </c>
      <c r="E42" t="s">
        <v>22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283</v>
      </c>
      <c r="C43" t="s">
        <v>191</v>
      </c>
      <c r="D43" t="s">
        <v>284</v>
      </c>
      <c r="E43" t="s">
        <v>22</v>
      </c>
      <c r="F43" t="n">
        <v>41.2683875271347</v>
      </c>
      <c r="G43" t="n">
        <v>44.0245499078298</v>
      </c>
      <c r="H43" t="n">
        <v>51.5752851184738</v>
      </c>
      <c r="I43" t="n">
        <v>52.841419919784</v>
      </c>
      <c r="J43" t="n">
        <v>50.2431850932787</v>
      </c>
      <c r="K43" t="n">
        <v>47.9943065664947</v>
      </c>
      <c r="L43" t="n">
        <v>47.661766853371</v>
      </c>
      <c r="M43" t="n">
        <v>52.8984263517566</v>
      </c>
      <c r="N43" t="n">
        <v>58.5580820741014</v>
      </c>
      <c r="O43" t="n">
        <v>64.8343558294648</v>
      </c>
      <c r="P43" t="n">
        <v>71.5287332850877</v>
      </c>
      <c r="Q43" t="n">
        <v>86.8577523258265</v>
      </c>
      <c r="R43" t="n">
        <v>93.3028727851723</v>
      </c>
      <c r="S43" t="n">
        <v>93.0569436161745</v>
      </c>
      <c r="T43" t="n">
        <v>91.463634178748</v>
      </c>
      <c r="U43" t="n">
        <v>91.450702907413</v>
      </c>
      <c r="V43" t="n">
        <v>92.7642032407121</v>
      </c>
      <c r="W43" t="n">
        <v>93.4532055086095</v>
      </c>
      <c r="X43" t="n">
        <v>95.9944161493462</v>
      </c>
      <c r="Y43" t="n">
        <v>96.8899224147938</v>
      </c>
      <c r="Z43" t="n">
        <v>100</v>
      </c>
      <c r="AA43" t="n">
        <v>104.068876591955</v>
      </c>
      <c r="AB43" t="n">
        <v>110.228824439088</v>
      </c>
      <c r="AC43" t="n">
        <v>115.343431770287</v>
      </c>
      <c r="AD43" t="n">
        <v>121.692839876197</v>
      </c>
      <c r="AE43" t="n">
        <v>123.646198438787</v>
      </c>
      <c r="AF43"/>
    </row>
    <row r="44">
      <c r="A44" t="s">
        <v>192</v>
      </c>
      <c r="B44" t="s">
        <v>283</v>
      </c>
      <c r="C44" t="s">
        <v>193</v>
      </c>
      <c r="D44" t="s">
        <v>284</v>
      </c>
      <c r="E44" t="s">
        <v>22</v>
      </c>
      <c r="F44" t="n">
        <v>79.5830174010218</v>
      </c>
      <c r="G44" t="n">
        <v>83.7086331571424</v>
      </c>
      <c r="H44" t="n">
        <v>87.4219835750027</v>
      </c>
      <c r="I44" t="n">
        <v>89.4679259049376</v>
      </c>
      <c r="J44" t="n">
        <v>90.5342136299993</v>
      </c>
      <c r="K44" t="n">
        <v>91.8638912129796</v>
      </c>
      <c r="L44" t="n">
        <v>92.9400734280531</v>
      </c>
      <c r="M44" t="n">
        <v>92.5945219331487</v>
      </c>
      <c r="N44" t="n">
        <v>92.8589402972398</v>
      </c>
      <c r="O44" t="n">
        <v>93.7867697089381</v>
      </c>
      <c r="P44" t="n">
        <v>95.3677033676087</v>
      </c>
      <c r="Q44" t="n">
        <v>97.165466216638</v>
      </c>
      <c r="R44" t="n">
        <v>99.2071943478277</v>
      </c>
      <c r="S44" t="n">
        <v>100.513428219483</v>
      </c>
      <c r="T44" t="n">
        <v>99.25925248298</v>
      </c>
      <c r="U44" t="n">
        <v>98.2382293149599</v>
      </c>
      <c r="V44" t="n">
        <v>97.7141684039066</v>
      </c>
      <c r="W44" t="n">
        <v>98.0122647452902</v>
      </c>
      <c r="X44" t="n">
        <v>98.2258201078162</v>
      </c>
      <c r="Y44" t="n">
        <v>98.8887751834817</v>
      </c>
      <c r="Z44" t="n">
        <v>100</v>
      </c>
      <c r="AA44" t="n">
        <v>100.646707059603</v>
      </c>
      <c r="AB44" t="n">
        <v>101.913947053132</v>
      </c>
      <c r="AC44" t="n">
        <v>103.427699361425</v>
      </c>
      <c r="AD44" t="n">
        <v>104.598745965215</v>
      </c>
      <c r="AE44" t="n">
        <v>104.609425171336</v>
      </c>
      <c r="AF44"/>
    </row>
    <row r="45">
      <c r="A45" t="s">
        <v>194</v>
      </c>
      <c r="B45" t="s">
        <v>283</v>
      </c>
      <c r="C45" t="s">
        <v>195</v>
      </c>
      <c r="D45" t="s">
        <v>284</v>
      </c>
      <c r="E45" t="s">
        <v>22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283</v>
      </c>
      <c r="C46" t="s">
        <v>197</v>
      </c>
      <c r="D46" t="s">
        <v>284</v>
      </c>
      <c r="E46" t="s">
        <v>22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283</v>
      </c>
      <c r="C47" t="s">
        <v>199</v>
      </c>
      <c r="D47" t="s">
        <v>284</v>
      </c>
      <c r="E47" t="s">
        <v>22</v>
      </c>
      <c r="F47" t="n">
        <v>80.2196808747669</v>
      </c>
      <c r="G47" t="n">
        <v>84.2570654791104</v>
      </c>
      <c r="H47" t="n">
        <v>87.4110661706329</v>
      </c>
      <c r="I47" t="n">
        <v>89.2398348928918</v>
      </c>
      <c r="J47" t="n">
        <v>92.1849734937077</v>
      </c>
      <c r="K47" t="n">
        <v>94.3385252105498</v>
      </c>
      <c r="L47" t="n">
        <v>95.6741563712038</v>
      </c>
      <c r="M47" t="n">
        <v>96.9691739691591</v>
      </c>
      <c r="N47" t="n">
        <v>97.7690301756831</v>
      </c>
      <c r="O47" t="n">
        <v>98.0560105905381</v>
      </c>
      <c r="P47" t="n">
        <v>98.2409922522731</v>
      </c>
      <c r="Q47" t="n">
        <v>98.2242872125346</v>
      </c>
      <c r="R47" t="n">
        <v>98.0891316737221</v>
      </c>
      <c r="S47" t="n">
        <v>97.8350945306629</v>
      </c>
      <c r="T47" t="n">
        <v>97.973433220811</v>
      </c>
      <c r="U47" t="n">
        <v>98.2310581664284</v>
      </c>
      <c r="V47" t="n">
        <v>98.1650673293507</v>
      </c>
      <c r="W47" t="n">
        <v>97.9998125875985</v>
      </c>
      <c r="X47" t="n">
        <v>98.370231416458</v>
      </c>
      <c r="Y47" t="n">
        <v>99.1769816449751</v>
      </c>
      <c r="Z47" t="n">
        <v>100</v>
      </c>
      <c r="AA47" t="n">
        <v>100.74790385414</v>
      </c>
      <c r="AB47" t="n">
        <v>101.63098960547</v>
      </c>
      <c r="AC47" t="n">
        <v>102.509204147597</v>
      </c>
      <c r="AD47" t="n">
        <v>103.339264890816</v>
      </c>
      <c r="AE47" t="n">
        <v>104.417995576007</v>
      </c>
      <c r="AF47"/>
    </row>
    <row r="48">
      <c r="A48" t="s">
        <v>200</v>
      </c>
      <c r="B48" t="s">
        <v>283</v>
      </c>
      <c r="C48" t="s">
        <v>201</v>
      </c>
      <c r="D48" t="s">
        <v>284</v>
      </c>
      <c r="E48" t="s">
        <v>22</v>
      </c>
      <c r="F48" t="n">
        <v>76.8259201441502</v>
      </c>
      <c r="G48" t="n">
        <v>81.2497890282179</v>
      </c>
      <c r="H48" t="n">
        <v>84.5856619121842</v>
      </c>
      <c r="I48" t="n">
        <v>86.8242761470541</v>
      </c>
      <c r="J48" t="n">
        <v>90.0089149984642</v>
      </c>
      <c r="K48" t="n">
        <v>92.2559352466848</v>
      </c>
      <c r="L48" t="n">
        <v>93.7893220368728</v>
      </c>
      <c r="M48" t="n">
        <v>95.26116334721</v>
      </c>
      <c r="N48" t="n">
        <v>96.0236481077037</v>
      </c>
      <c r="O48" t="n">
        <v>96.677991274276</v>
      </c>
      <c r="P48" t="n">
        <v>97.2601715290681</v>
      </c>
      <c r="Q48" t="n">
        <v>97.3414390613759</v>
      </c>
      <c r="R48" t="n">
        <v>97.2067117788596</v>
      </c>
      <c r="S48" t="n">
        <v>96.8106952297504</v>
      </c>
      <c r="T48" t="n">
        <v>96.7910105703814</v>
      </c>
      <c r="U48" t="n">
        <v>97.3538168026216</v>
      </c>
      <c r="V48" t="n">
        <v>97.6322134158652</v>
      </c>
      <c r="W48" t="n">
        <v>97.7086835018405</v>
      </c>
      <c r="X48" t="n">
        <v>98.3477078165178</v>
      </c>
      <c r="Y48" t="n">
        <v>99.3632748606157</v>
      </c>
      <c r="Z48" t="n">
        <v>100</v>
      </c>
      <c r="AA48" t="n">
        <v>100.467755623857</v>
      </c>
      <c r="AB48" t="n">
        <v>101.189576278801</v>
      </c>
      <c r="AC48" t="n">
        <v>101.631244131488</v>
      </c>
      <c r="AD48" t="n">
        <v>102.281944007284</v>
      </c>
      <c r="AE48" t="n">
        <v>103.058858443161</v>
      </c>
      <c r="AF48"/>
    </row>
    <row r="49">
      <c r="A49" t="s">
        <v>202</v>
      </c>
      <c r="B49" t="s">
        <v>283</v>
      </c>
      <c r="C49" t="s">
        <v>203</v>
      </c>
      <c r="D49" t="s">
        <v>284</v>
      </c>
      <c r="E49" t="s">
        <v>22</v>
      </c>
      <c r="F49" t="n">
        <v>99.6660743405815</v>
      </c>
      <c r="G49" t="n">
        <v>101.805045452722</v>
      </c>
      <c r="H49" t="n">
        <v>102.664591005668</v>
      </c>
      <c r="I49" t="n">
        <v>103.273642644436</v>
      </c>
      <c r="J49" t="n">
        <v>103.738028529868</v>
      </c>
      <c r="K49" t="n">
        <v>102.797741070938</v>
      </c>
      <c r="L49" t="n">
        <v>102.235303091011</v>
      </c>
      <c r="M49" t="n">
        <v>101.143098709815</v>
      </c>
      <c r="N49" t="n">
        <v>99.8494115796092</v>
      </c>
      <c r="O49" t="n">
        <v>98.9862985664838</v>
      </c>
      <c r="P49" t="n">
        <v>98.9105602405758</v>
      </c>
      <c r="Q49" t="n">
        <v>98.33297540214</v>
      </c>
      <c r="R49" t="n">
        <v>97.5821705901658</v>
      </c>
      <c r="S49" t="n">
        <v>96.7666024596416</v>
      </c>
      <c r="T49" t="n">
        <v>97.489691812663</v>
      </c>
      <c r="U49" t="n">
        <v>98.7711998723268</v>
      </c>
      <c r="V49" t="n">
        <v>98.6983060106064</v>
      </c>
      <c r="W49" t="n">
        <v>98.3474864750654</v>
      </c>
      <c r="X49" t="n">
        <v>99.643684641903</v>
      </c>
      <c r="Y49" t="n">
        <v>100.361341909064</v>
      </c>
      <c r="Z49" t="n">
        <v>100</v>
      </c>
      <c r="AA49" t="n">
        <v>98.6939014259966</v>
      </c>
      <c r="AB49" t="n">
        <v>97.0447112452444</v>
      </c>
      <c r="AC49" t="n">
        <v>94.7930034280554</v>
      </c>
      <c r="AD49" t="n">
        <v>93.7942360293167</v>
      </c>
      <c r="AE49" t="n">
        <v>93.435542629384</v>
      </c>
      <c r="AF49"/>
    </row>
    <row r="50">
      <c r="A50" t="s">
        <v>204</v>
      </c>
      <c r="B50" t="s">
        <v>283</v>
      </c>
      <c r="C50" t="s">
        <v>205</v>
      </c>
      <c r="D50" t="s">
        <v>284</v>
      </c>
      <c r="E50" t="s">
        <v>22</v>
      </c>
      <c r="F50" t="n">
        <v>49.6626577286543</v>
      </c>
      <c r="G50" t="n">
        <v>56.7487403858197</v>
      </c>
      <c r="H50" t="n">
        <v>61.9581135331551</v>
      </c>
      <c r="I50" t="n">
        <v>66.5612193047362</v>
      </c>
      <c r="J50" t="n">
        <v>71.7330613014706</v>
      </c>
      <c r="K50" t="n">
        <v>75.5803247537788</v>
      </c>
      <c r="L50" t="n">
        <v>78.439999628415</v>
      </c>
      <c r="M50" t="n">
        <v>81.6149289175369</v>
      </c>
      <c r="N50" t="n">
        <v>83.1318916966604</v>
      </c>
      <c r="O50" t="n">
        <v>85.9789244520228</v>
      </c>
      <c r="P50" t="n">
        <v>88.6140861246136</v>
      </c>
      <c r="Q50" t="n">
        <v>89.5488941375387</v>
      </c>
      <c r="R50" t="n">
        <v>89.7475316574093</v>
      </c>
      <c r="S50" t="n">
        <v>88.7810335767899</v>
      </c>
      <c r="T50" t="n">
        <v>87.826524386643</v>
      </c>
      <c r="U50" t="n">
        <v>89.6608018227112</v>
      </c>
      <c r="V50" t="n">
        <v>92.258300525326</v>
      </c>
      <c r="W50" t="n">
        <v>94.2092694236209</v>
      </c>
      <c r="X50" t="n">
        <v>96.7243520383096</v>
      </c>
      <c r="Y50" t="n">
        <v>99.2516288135044</v>
      </c>
      <c r="Z50" t="n">
        <v>100</v>
      </c>
      <c r="AA50" t="n">
        <v>100.586542687832</v>
      </c>
      <c r="AB50" t="n">
        <v>102.142234422957</v>
      </c>
      <c r="AC50" t="n">
        <v>101.881988958003</v>
      </c>
      <c r="AD50" t="n">
        <v>102.207004761628</v>
      </c>
      <c r="AE50" t="n">
        <v>102.109088878365</v>
      </c>
      <c r="AF50"/>
    </row>
    <row r="51">
      <c r="A51" t="s">
        <v>206</v>
      </c>
      <c r="B51" t="s">
        <v>283</v>
      </c>
      <c r="C51" t="s">
        <v>207</v>
      </c>
      <c r="D51" t="s">
        <v>284</v>
      </c>
      <c r="E51" t="s">
        <v>22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283</v>
      </c>
      <c r="C52" t="s">
        <v>209</v>
      </c>
      <c r="D52" t="s">
        <v>284</v>
      </c>
      <c r="E52" t="s">
        <v>22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283</v>
      </c>
      <c r="C53" t="s">
        <v>211</v>
      </c>
      <c r="D53" t="s">
        <v>284</v>
      </c>
      <c r="E53" t="s">
        <v>22</v>
      </c>
      <c r="F53" t="n">
        <v>75.3455062986128</v>
      </c>
      <c r="G53" t="n">
        <v>79.4746196639759</v>
      </c>
      <c r="H53" t="n">
        <v>84.2569681614311</v>
      </c>
      <c r="I53" t="n">
        <v>86.195361377564</v>
      </c>
      <c r="J53" t="n">
        <v>88.0431625968757</v>
      </c>
      <c r="K53" t="n">
        <v>91.3484461596555</v>
      </c>
      <c r="L53" t="n">
        <v>97.343527827773</v>
      </c>
      <c r="M53" t="n">
        <v>98.9981493409886</v>
      </c>
      <c r="N53" t="n">
        <v>103.078001439913</v>
      </c>
      <c r="O53" t="n">
        <v>108.168894754953</v>
      </c>
      <c r="P53" t="n">
        <v>112.13109243491</v>
      </c>
      <c r="Q53" t="n">
        <v>114.646747559181</v>
      </c>
      <c r="R53" t="n">
        <v>113.308877087513</v>
      </c>
      <c r="S53" t="n">
        <v>114.370672344908</v>
      </c>
      <c r="T53" t="n">
        <v>111.53777038697</v>
      </c>
      <c r="U53" t="n">
        <v>108.93402114808</v>
      </c>
      <c r="V53" t="n">
        <v>106.265004940647</v>
      </c>
      <c r="W53" t="n">
        <v>104.03975205625</v>
      </c>
      <c r="X53" t="n">
        <v>102.490996433696</v>
      </c>
      <c r="Y53" t="n">
        <v>101.131617861929</v>
      </c>
      <c r="Z53" t="n">
        <v>100</v>
      </c>
      <c r="AA53" t="n">
        <v>97.0009281187427</v>
      </c>
      <c r="AB53" t="n">
        <v>93.9648995045834</v>
      </c>
      <c r="AC53" t="n">
        <v>92.8552154118544</v>
      </c>
      <c r="AD53" t="n">
        <v>90.8405509989584</v>
      </c>
      <c r="AE53" t="n">
        <v>84.4134279074715</v>
      </c>
      <c r="AF53"/>
    </row>
    <row r="54">
      <c r="A54" t="s">
        <v>212</v>
      </c>
      <c r="B54" t="s">
        <v>283</v>
      </c>
      <c r="C54" t="s">
        <v>213</v>
      </c>
      <c r="D54" t="s">
        <v>284</v>
      </c>
      <c r="E54" t="s">
        <v>22</v>
      </c>
      <c r="F54" t="n">
        <v>72.3878778108509</v>
      </c>
      <c r="G54" t="n">
        <v>77.194831045378</v>
      </c>
      <c r="H54" t="n">
        <v>82.3770058463741</v>
      </c>
      <c r="I54" t="n">
        <v>84.4054881482323</v>
      </c>
      <c r="J54" t="n">
        <v>87.8648432942997</v>
      </c>
      <c r="K54" t="n">
        <v>92.2578835657708</v>
      </c>
      <c r="L54" t="n">
        <v>97.4879931658882</v>
      </c>
      <c r="M54" t="n">
        <v>97.9195618997257</v>
      </c>
      <c r="N54" t="n">
        <v>101.241378829347</v>
      </c>
      <c r="O54" t="n">
        <v>106.711058622572</v>
      </c>
      <c r="P54" t="n">
        <v>110.564433986536</v>
      </c>
      <c r="Q54" t="n">
        <v>112.42138211307</v>
      </c>
      <c r="R54" t="n">
        <v>111.760335132432</v>
      </c>
      <c r="S54" t="n">
        <v>113.472256977228</v>
      </c>
      <c r="T54" t="n">
        <v>110.778297654425</v>
      </c>
      <c r="U54" t="n">
        <v>108.685326767748</v>
      </c>
      <c r="V54" t="n">
        <v>106.06726267559</v>
      </c>
      <c r="W54" t="n">
        <v>103.455241978538</v>
      </c>
      <c r="X54" t="n">
        <v>102.464067832736</v>
      </c>
      <c r="Y54" t="n">
        <v>101.189172985609</v>
      </c>
      <c r="Z54" t="n">
        <v>100</v>
      </c>
      <c r="AA54" t="n">
        <v>97.2518901785661</v>
      </c>
      <c r="AB54" t="n">
        <v>95.0052212848134</v>
      </c>
      <c r="AC54" t="n">
        <v>94.119014893396</v>
      </c>
      <c r="AD54" t="n">
        <v>92.3178404143444</v>
      </c>
      <c r="AE54" t="n">
        <v>88.5386347640156</v>
      </c>
      <c r="AF54"/>
    </row>
    <row r="55">
      <c r="A55" t="s">
        <v>214</v>
      </c>
      <c r="B55" t="s">
        <v>283</v>
      </c>
      <c r="C55" t="s">
        <v>215</v>
      </c>
      <c r="D55" t="s">
        <v>284</v>
      </c>
      <c r="E55" t="s">
        <v>22</v>
      </c>
      <c r="F55" t="n">
        <v>66.1791270730096</v>
      </c>
      <c r="G55" t="n">
        <v>72.3503335040912</v>
      </c>
      <c r="H55" t="n">
        <v>78.3390274096243</v>
      </c>
      <c r="I55" t="n">
        <v>80.5406911005331</v>
      </c>
      <c r="J55" t="n">
        <v>87.3353948416686</v>
      </c>
      <c r="K55" t="n">
        <v>93.9920404570333</v>
      </c>
      <c r="L55" t="n">
        <v>97.6029008846723</v>
      </c>
      <c r="M55" t="n">
        <v>95.4565279368221</v>
      </c>
      <c r="N55" t="n">
        <v>97.1802015720115</v>
      </c>
      <c r="O55" t="n">
        <v>103.434143860844</v>
      </c>
      <c r="P55" t="n">
        <v>107.061364268173</v>
      </c>
      <c r="Q55" t="n">
        <v>107.565436355212</v>
      </c>
      <c r="R55" t="n">
        <v>108.304512610926</v>
      </c>
      <c r="S55" t="n">
        <v>111.378226328754</v>
      </c>
      <c r="T55" t="n">
        <v>108.997985365187</v>
      </c>
      <c r="U55" t="n">
        <v>107.998395822049</v>
      </c>
      <c r="V55" t="n">
        <v>105.511832369887</v>
      </c>
      <c r="W55" t="n">
        <v>102.115522340083</v>
      </c>
      <c r="X55" t="n">
        <v>102.332808761038</v>
      </c>
      <c r="Y55" t="n">
        <v>101.286736944515</v>
      </c>
      <c r="Z55" t="n">
        <v>100</v>
      </c>
      <c r="AA55" t="n">
        <v>97.8140005229875</v>
      </c>
      <c r="AB55" t="n">
        <v>97.2736568995265</v>
      </c>
      <c r="AC55" t="n">
        <v>96.8631727582079</v>
      </c>
      <c r="AD55" t="n">
        <v>95.4795148667217</v>
      </c>
      <c r="AE55" t="n">
        <v>97.1121049671317</v>
      </c>
      <c r="AF55"/>
    </row>
    <row r="56">
      <c r="A56" t="s">
        <v>216</v>
      </c>
      <c r="B56" t="s">
        <v>283</v>
      </c>
      <c r="C56" t="s">
        <v>217</v>
      </c>
      <c r="D56" t="s">
        <v>284</v>
      </c>
      <c r="E56" t="s">
        <v>22</v>
      </c>
      <c r="F56" t="n">
        <v>100</v>
      </c>
      <c r="G56" t="n">
        <v>100</v>
      </c>
      <c r="H56" t="n">
        <v>100</v>
      </c>
      <c r="I56" t="n">
        <v>100</v>
      </c>
      <c r="J56" t="n">
        <v>100</v>
      </c>
      <c r="K56" t="n">
        <v>100</v>
      </c>
      <c r="L56" t="n">
        <v>100</v>
      </c>
      <c r="M56" t="n">
        <v>100</v>
      </c>
      <c r="N56" t="n">
        <v>100</v>
      </c>
      <c r="O56" t="n">
        <v>100</v>
      </c>
      <c r="P56" t="n">
        <v>100</v>
      </c>
      <c r="Q56" t="n">
        <v>100</v>
      </c>
      <c r="R56" t="n">
        <v>100</v>
      </c>
      <c r="S56" t="n">
        <v>100</v>
      </c>
      <c r="T56" t="n">
        <v>100</v>
      </c>
      <c r="U56" t="n">
        <v>100</v>
      </c>
      <c r="V56" t="n">
        <v>100</v>
      </c>
      <c r="W56" t="n">
        <v>100</v>
      </c>
      <c r="X56" t="n">
        <v>100</v>
      </c>
      <c r="Y56" t="n">
        <v>100</v>
      </c>
      <c r="Z56" t="n">
        <v>100</v>
      </c>
      <c r="AA56" t="n">
        <v>100</v>
      </c>
      <c r="AB56" t="n">
        <v>100</v>
      </c>
      <c r="AC56" t="n">
        <v>100</v>
      </c>
      <c r="AD56" t="n">
        <v>100</v>
      </c>
      <c r="AE56" t="n">
        <v>100</v>
      </c>
      <c r="AF56"/>
    </row>
    <row r="57">
      <c r="A57" t="s">
        <v>218</v>
      </c>
      <c r="B57" t="s">
        <v>283</v>
      </c>
      <c r="C57" t="s">
        <v>219</v>
      </c>
      <c r="D57" t="s">
        <v>284</v>
      </c>
      <c r="E57" t="s">
        <v>22</v>
      </c>
      <c r="F57" t="n">
        <v>83.2201237617194</v>
      </c>
      <c r="G57" t="n">
        <v>87.154245192206</v>
      </c>
      <c r="H57" t="n">
        <v>90.3775636783759</v>
      </c>
      <c r="I57" t="n">
        <v>92.1648765614616</v>
      </c>
      <c r="J57" t="n">
        <v>93.5637238729426</v>
      </c>
      <c r="K57" t="n">
        <v>94.9399973533519</v>
      </c>
      <c r="L57" t="n">
        <v>95.9807908602884</v>
      </c>
      <c r="M57" t="n">
        <v>96.1253478136587</v>
      </c>
      <c r="N57" t="n">
        <v>96.4440270249831</v>
      </c>
      <c r="O57" t="n">
        <v>97.1392067210857</v>
      </c>
      <c r="P57" t="n">
        <v>98.3162652274124</v>
      </c>
      <c r="Q57" t="n">
        <v>99.4435108216712</v>
      </c>
      <c r="R57" t="n">
        <v>100.504558795945</v>
      </c>
      <c r="S57" t="n">
        <v>101.021565688777</v>
      </c>
      <c r="T57" t="n">
        <v>99.970444855393</v>
      </c>
      <c r="U57" t="n">
        <v>99.1844450829228</v>
      </c>
      <c r="V57" t="n">
        <v>98.657631815844</v>
      </c>
      <c r="W57" t="n">
        <v>98.6131643285851</v>
      </c>
      <c r="X57" t="n">
        <v>98.7462057209965</v>
      </c>
      <c r="Y57" t="n">
        <v>99.2784276538905</v>
      </c>
      <c r="Z57" t="n">
        <v>100</v>
      </c>
      <c r="AA57" t="n">
        <v>100.395102748443</v>
      </c>
      <c r="AB57" t="n">
        <v>101.201400376428</v>
      </c>
      <c r="AC57" t="n">
        <v>102.174140498102</v>
      </c>
      <c r="AD57" t="n">
        <v>103.155543781798</v>
      </c>
      <c r="AE57" t="n">
        <v>103.41479540537</v>
      </c>
      <c r="AF57"/>
    </row>
    <row r="58">
      <c r="A58" t="s">
        <v>220</v>
      </c>
      <c r="B58" t="s">
        <v>283</v>
      </c>
      <c r="C58" t="s">
        <v>221</v>
      </c>
      <c r="D58" t="s">
        <v>284</v>
      </c>
      <c r="E58" t="s">
        <v>22</v>
      </c>
      <c r="F58" t="n">
        <v>83.2201237617194</v>
      </c>
      <c r="G58" t="n">
        <v>87.154245192206</v>
      </c>
      <c r="H58" t="n">
        <v>90.3775636783759</v>
      </c>
      <c r="I58" t="n">
        <v>92.1648765614616</v>
      </c>
      <c r="J58" t="n">
        <v>93.5637238729426</v>
      </c>
      <c r="K58" t="n">
        <v>94.9399973533519</v>
      </c>
      <c r="L58" t="n">
        <v>95.9807908602884</v>
      </c>
      <c r="M58" t="n">
        <v>96.1253478136587</v>
      </c>
      <c r="N58" t="n">
        <v>96.4440270249831</v>
      </c>
      <c r="O58" t="n">
        <v>97.1392067210857</v>
      </c>
      <c r="P58" t="n">
        <v>98.3162652274124</v>
      </c>
      <c r="Q58" t="n">
        <v>99.4435108216712</v>
      </c>
      <c r="R58" t="n">
        <v>100.504558795945</v>
      </c>
      <c r="S58" t="n">
        <v>101.021565688777</v>
      </c>
      <c r="T58" t="n">
        <v>99.970444855393</v>
      </c>
      <c r="U58" t="n">
        <v>99.1844450829228</v>
      </c>
      <c r="V58" t="n">
        <v>98.657631815844</v>
      </c>
      <c r="W58" t="n">
        <v>98.6131643285851</v>
      </c>
      <c r="X58" t="n">
        <v>98.7462057209965</v>
      </c>
      <c r="Y58" t="n">
        <v>99.2784276538905</v>
      </c>
      <c r="Z58" t="n">
        <v>100</v>
      </c>
      <c r="AA58" t="n">
        <v>100.395102748443</v>
      </c>
      <c r="AB58" t="n">
        <v>101.201400376428</v>
      </c>
      <c r="AC58" t="n">
        <v>102.174140498102</v>
      </c>
      <c r="AD58" t="n">
        <v>103.155543781798</v>
      </c>
      <c r="AE58" t="n">
        <v>103.41479540537</v>
      </c>
      <c r="AF58"/>
    </row>
    <row r="59">
      <c r="A59" t="s">
        <v>222</v>
      </c>
      <c r="B59" t="s">
        <v>283</v>
      </c>
      <c r="C59" t="s">
        <v>223</v>
      </c>
      <c r="D59" t="s">
        <v>284</v>
      </c>
      <c r="E59" t="s">
        <v>22</v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100</v>
      </c>
      <c r="M59" t="n">
        <v>100</v>
      </c>
      <c r="N59" t="n">
        <v>100</v>
      </c>
      <c r="O59" t="n">
        <v>100</v>
      </c>
      <c r="P59" t="n">
        <v>100</v>
      </c>
      <c r="Q59" t="n">
        <v>100</v>
      </c>
      <c r="R59" t="n">
        <v>100</v>
      </c>
      <c r="S59" t="n">
        <v>100</v>
      </c>
      <c r="T59" t="n">
        <v>100</v>
      </c>
      <c r="U59" t="n">
        <v>100</v>
      </c>
      <c r="V59" t="n">
        <v>100</v>
      </c>
      <c r="W59" t="n">
        <v>100</v>
      </c>
      <c r="X59" t="n">
        <v>100</v>
      </c>
      <c r="Y59" t="n">
        <v>100</v>
      </c>
      <c r="Z59" t="n">
        <v>100</v>
      </c>
      <c r="AA59" t="n">
        <v>100</v>
      </c>
      <c r="AB59" t="n">
        <v>100</v>
      </c>
      <c r="AC59" t="n">
        <v>100</v>
      </c>
      <c r="AD59" t="n">
        <v>100</v>
      </c>
      <c r="AE59" t="n">
        <v>100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283</v>
      </c>
      <c r="C2" t="s">
        <v>108</v>
      </c>
      <c r="D2" t="s">
        <v>284</v>
      </c>
      <c r="E2" t="s">
        <v>24</v>
      </c>
      <c r="F2" t="n">
        <v>163.866467914106</v>
      </c>
      <c r="G2" t="n">
        <v>155.549464104477</v>
      </c>
      <c r="H2" t="n">
        <v>150.569309790669</v>
      </c>
      <c r="I2" t="n">
        <v>150.479316806892</v>
      </c>
      <c r="J2" t="n">
        <v>151.49680479499</v>
      </c>
      <c r="K2" t="n">
        <v>148.693673020451</v>
      </c>
      <c r="L2" t="n">
        <v>147.402908159179</v>
      </c>
      <c r="M2" t="n">
        <v>148.463675932632</v>
      </c>
      <c r="N2" t="n">
        <v>145.373820016744</v>
      </c>
      <c r="O2" t="n">
        <v>140.088519537998</v>
      </c>
      <c r="P2" t="n">
        <v>134.90913295591</v>
      </c>
      <c r="Q2" t="n">
        <v>127.038522825612</v>
      </c>
      <c r="R2" t="n">
        <v>121.063846124381</v>
      </c>
      <c r="S2" t="n">
        <v>115.186248766392</v>
      </c>
      <c r="T2" t="n">
        <v>111.371261071029</v>
      </c>
      <c r="U2" t="n">
        <v>108.14526544358</v>
      </c>
      <c r="V2" t="n">
        <v>104.292899660188</v>
      </c>
      <c r="W2" t="n">
        <v>102.843827538553</v>
      </c>
      <c r="X2" t="n">
        <v>101.979254059556</v>
      </c>
      <c r="Y2" t="n">
        <v>100.30461904601</v>
      </c>
      <c r="Z2" t="n">
        <v>100</v>
      </c>
      <c r="AA2" t="n">
        <v>99.2879341831525</v>
      </c>
      <c r="AB2" t="n">
        <v>100.663432129567</v>
      </c>
      <c r="AC2" t="n">
        <v>99.3950150227487</v>
      </c>
      <c r="AD2" t="n">
        <v>98.6862287476368</v>
      </c>
      <c r="AE2" t="n">
        <v>97.655494779657</v>
      </c>
      <c r="AF2"/>
    </row>
    <row r="3">
      <c r="A3" t="s">
        <v>110</v>
      </c>
      <c r="B3" t="s">
        <v>283</v>
      </c>
      <c r="C3" t="s">
        <v>111</v>
      </c>
      <c r="D3" t="s">
        <v>284</v>
      </c>
      <c r="E3" t="s">
        <v>24</v>
      </c>
      <c r="F3" t="n">
        <v>215.002811159097</v>
      </c>
      <c r="G3" t="n">
        <v>215.218814264988</v>
      </c>
      <c r="H3" t="n">
        <v>215.16938321314</v>
      </c>
      <c r="I3" t="n">
        <v>218.802087030114</v>
      </c>
      <c r="J3" t="n">
        <v>224.19941794306</v>
      </c>
      <c r="K3" t="n">
        <v>227.119088624897</v>
      </c>
      <c r="L3" t="n">
        <v>231.824665380181</v>
      </c>
      <c r="M3" t="n">
        <v>223.272294528829</v>
      </c>
      <c r="N3" t="n">
        <v>211.172175147658</v>
      </c>
      <c r="O3" t="n">
        <v>199.671554798764</v>
      </c>
      <c r="P3" t="n">
        <v>192.678512514679</v>
      </c>
      <c r="Q3" t="n">
        <v>180.395794126149</v>
      </c>
      <c r="R3" t="n">
        <v>170.405760166516</v>
      </c>
      <c r="S3" t="n">
        <v>158.739303963323</v>
      </c>
      <c r="T3" t="n">
        <v>146.935841962634</v>
      </c>
      <c r="U3" t="n">
        <v>135.510367998514</v>
      </c>
      <c r="V3" t="n">
        <v>126.012892150977</v>
      </c>
      <c r="W3" t="n">
        <v>117.838430011218</v>
      </c>
      <c r="X3" t="n">
        <v>112.275930226925</v>
      </c>
      <c r="Y3" t="n">
        <v>107.507147387508</v>
      </c>
      <c r="Z3" t="n">
        <v>100</v>
      </c>
      <c r="AA3" t="n">
        <v>94.4941523931979</v>
      </c>
      <c r="AB3" t="n">
        <v>89.215987406391</v>
      </c>
      <c r="AC3" t="n">
        <v>84.8448716408468</v>
      </c>
      <c r="AD3" t="n">
        <v>80.8862952071277</v>
      </c>
      <c r="AE3" t="n">
        <v>76.4566390726263</v>
      </c>
      <c r="AF3"/>
    </row>
    <row r="4">
      <c r="A4" t="s">
        <v>112</v>
      </c>
      <c r="B4" t="s">
        <v>283</v>
      </c>
      <c r="C4" t="s">
        <v>113</v>
      </c>
      <c r="D4" t="s">
        <v>284</v>
      </c>
      <c r="E4" t="s">
        <v>24</v>
      </c>
      <c r="F4" t="n">
        <v>64.7126782317501</v>
      </c>
      <c r="G4" t="n">
        <v>66.9808720128674</v>
      </c>
      <c r="H4" t="n">
        <v>69.7084260992032</v>
      </c>
      <c r="I4" t="n">
        <v>72.6407129385087</v>
      </c>
      <c r="J4" t="n">
        <v>75.0139113169659</v>
      </c>
      <c r="K4" t="n">
        <v>77.5614456577543</v>
      </c>
      <c r="L4" t="n">
        <v>80.3114511986057</v>
      </c>
      <c r="M4" t="n">
        <v>82.8324962338884</v>
      </c>
      <c r="N4" t="n">
        <v>84.9769155969413</v>
      </c>
      <c r="O4" t="n">
        <v>86.7870611449419</v>
      </c>
      <c r="P4" t="n">
        <v>89.4160398265584</v>
      </c>
      <c r="Q4" t="n">
        <v>92.1009879336399</v>
      </c>
      <c r="R4" t="n">
        <v>94.9466347239962</v>
      </c>
      <c r="S4" t="n">
        <v>97.0692401501855</v>
      </c>
      <c r="T4" t="n">
        <v>97.1424308892045</v>
      </c>
      <c r="U4" t="n">
        <v>96.6885046449236</v>
      </c>
      <c r="V4" t="n">
        <v>96.4588620754198</v>
      </c>
      <c r="W4" t="n">
        <v>96.5669817804624</v>
      </c>
      <c r="X4" t="n">
        <v>97.3321243407972</v>
      </c>
      <c r="Y4" t="n">
        <v>98.5682305427596</v>
      </c>
      <c r="Z4" t="n">
        <v>100</v>
      </c>
      <c r="AA4" t="n">
        <v>101.059582428826</v>
      </c>
      <c r="AB4" t="n">
        <v>101.896154335041</v>
      </c>
      <c r="AC4" t="n">
        <v>102.861585180428</v>
      </c>
      <c r="AD4" t="n">
        <v>103.521416509774</v>
      </c>
      <c r="AE4" t="n">
        <v>103.782937405835</v>
      </c>
      <c r="AF4"/>
    </row>
    <row r="5">
      <c r="A5" t="s">
        <v>114</v>
      </c>
      <c r="B5" t="s">
        <v>283</v>
      </c>
      <c r="C5" t="s">
        <v>115</v>
      </c>
      <c r="D5" t="s">
        <v>284</v>
      </c>
      <c r="E5" t="s">
        <v>24</v>
      </c>
      <c r="F5" t="n">
        <v>70.376028295356</v>
      </c>
      <c r="G5" t="n">
        <v>72.8413446008294</v>
      </c>
      <c r="H5" t="n">
        <v>76.0504769516784</v>
      </c>
      <c r="I5" t="n">
        <v>79.5302902445303</v>
      </c>
      <c r="J5" t="n">
        <v>83.5316703295458</v>
      </c>
      <c r="K5" t="n">
        <v>87.2086686688487</v>
      </c>
      <c r="L5" t="n">
        <v>90.8122388592177</v>
      </c>
      <c r="M5" t="n">
        <v>93.3144235017576</v>
      </c>
      <c r="N5" t="n">
        <v>97.6282452616453</v>
      </c>
      <c r="O5" t="n">
        <v>100.225488220728</v>
      </c>
      <c r="P5" t="n">
        <v>103.324373528536</v>
      </c>
      <c r="Q5" t="n">
        <v>107.1096716095</v>
      </c>
      <c r="R5" t="n">
        <v>109.43301427359</v>
      </c>
      <c r="S5" t="n">
        <v>110.077619636595</v>
      </c>
      <c r="T5" t="n">
        <v>108.693258298405</v>
      </c>
      <c r="U5" t="n">
        <v>107.001301114078</v>
      </c>
      <c r="V5" t="n">
        <v>105.482356268208</v>
      </c>
      <c r="W5" t="n">
        <v>104.179406868439</v>
      </c>
      <c r="X5" t="n">
        <v>103.263950961837</v>
      </c>
      <c r="Y5" t="n">
        <v>102.375250316757</v>
      </c>
      <c r="Z5" t="n">
        <v>100</v>
      </c>
      <c r="AA5" t="n">
        <v>98.3268273977337</v>
      </c>
      <c r="AB5" t="n">
        <v>97.8940085348917</v>
      </c>
      <c r="AC5" t="n">
        <v>98.0501210888925</v>
      </c>
      <c r="AD5" t="n">
        <v>98.8324269505739</v>
      </c>
      <c r="AE5" t="n">
        <v>98.8800697086242</v>
      </c>
      <c r="AF5"/>
    </row>
    <row r="6">
      <c r="A6" t="s">
        <v>116</v>
      </c>
      <c r="B6" t="s">
        <v>283</v>
      </c>
      <c r="C6" t="s">
        <v>117</v>
      </c>
      <c r="D6" t="s">
        <v>284</v>
      </c>
      <c r="E6" t="s">
        <v>24</v>
      </c>
      <c r="F6" t="n">
        <v>206.856724517761</v>
      </c>
      <c r="G6" t="n">
        <v>190.46772320097</v>
      </c>
      <c r="H6" t="n">
        <v>177.532801573924</v>
      </c>
      <c r="I6" t="n">
        <v>166.820557135783</v>
      </c>
      <c r="J6" t="n">
        <v>158.410211100144</v>
      </c>
      <c r="K6" t="n">
        <v>151.719019611398</v>
      </c>
      <c r="L6" t="n">
        <v>146.735721015538</v>
      </c>
      <c r="M6" t="n">
        <v>142.004309479422</v>
      </c>
      <c r="N6" t="n">
        <v>135.794490372902</v>
      </c>
      <c r="O6" t="n">
        <v>129.988507381884</v>
      </c>
      <c r="P6" t="n">
        <v>125.458905377485</v>
      </c>
      <c r="Q6" t="n">
        <v>121.15562607314</v>
      </c>
      <c r="R6" t="n">
        <v>118.755579335334</v>
      </c>
      <c r="S6" t="n">
        <v>117.271793718515</v>
      </c>
      <c r="T6" t="n">
        <v>112.603578742671</v>
      </c>
      <c r="U6" t="n">
        <v>107.89779570083</v>
      </c>
      <c r="V6" t="n">
        <v>106.255957385517</v>
      </c>
      <c r="W6" t="n">
        <v>104.663837390788</v>
      </c>
      <c r="X6" t="n">
        <v>103.278325223119</v>
      </c>
      <c r="Y6" t="n">
        <v>103.152161345189</v>
      </c>
      <c r="Z6" t="n">
        <v>100</v>
      </c>
      <c r="AA6" t="n">
        <v>97.3977359533051</v>
      </c>
      <c r="AB6" t="n">
        <v>96.3835382570379</v>
      </c>
      <c r="AC6" t="n">
        <v>96.3664985681143</v>
      </c>
      <c r="AD6" t="n">
        <v>96.5930028055546</v>
      </c>
      <c r="AE6" t="n">
        <v>94.2004235023748</v>
      </c>
      <c r="AF6"/>
    </row>
    <row r="7">
      <c r="A7" t="s">
        <v>118</v>
      </c>
      <c r="B7" t="s">
        <v>283</v>
      </c>
      <c r="C7" t="s">
        <v>119</v>
      </c>
      <c r="D7" t="s">
        <v>284</v>
      </c>
      <c r="E7" t="s">
        <v>24</v>
      </c>
      <c r="F7" t="n">
        <v>64.1862588377813</v>
      </c>
      <c r="G7" t="n">
        <v>69.7258045493775</v>
      </c>
      <c r="H7" t="n">
        <v>75.6301928664472</v>
      </c>
      <c r="I7" t="n">
        <v>81.6793822097051</v>
      </c>
      <c r="J7" t="n">
        <v>87.7114254618127</v>
      </c>
      <c r="K7" t="n">
        <v>93.2186872344101</v>
      </c>
      <c r="L7" t="n">
        <v>99.0971196667347</v>
      </c>
      <c r="M7" t="n">
        <v>104.567675166176</v>
      </c>
      <c r="N7" t="n">
        <v>109.963021662857</v>
      </c>
      <c r="O7" t="n">
        <v>114.191043019979</v>
      </c>
      <c r="P7" t="n">
        <v>118.219311116929</v>
      </c>
      <c r="Q7" t="n">
        <v>121.05047041856</v>
      </c>
      <c r="R7" t="n">
        <v>122.115072473694</v>
      </c>
      <c r="S7" t="n">
        <v>122.859180776001</v>
      </c>
      <c r="T7" t="n">
        <v>120.940541092541</v>
      </c>
      <c r="U7" t="n">
        <v>119.030250370668</v>
      </c>
      <c r="V7" t="n">
        <v>115.354906907025</v>
      </c>
      <c r="W7" t="n">
        <v>112.475682863652</v>
      </c>
      <c r="X7" t="n">
        <v>109.941168777311</v>
      </c>
      <c r="Y7" t="n">
        <v>107.787124217995</v>
      </c>
      <c r="Z7" t="n">
        <v>100</v>
      </c>
      <c r="AA7" t="n">
        <v>94.3169797461838</v>
      </c>
      <c r="AB7" t="n">
        <v>90.3864593278237</v>
      </c>
      <c r="AC7" t="n">
        <v>87.3249762895639</v>
      </c>
      <c r="AD7" t="n">
        <v>85.2513662543312</v>
      </c>
      <c r="AE7" t="n">
        <v>83.2797536061699</v>
      </c>
      <c r="AF7"/>
    </row>
    <row r="8">
      <c r="A8" t="s">
        <v>120</v>
      </c>
      <c r="B8" t="s">
        <v>283</v>
      </c>
      <c r="C8" t="s">
        <v>121</v>
      </c>
      <c r="D8" t="s">
        <v>284</v>
      </c>
      <c r="E8" t="s">
        <v>24</v>
      </c>
      <c r="F8" t="n">
        <v>101.510083897639</v>
      </c>
      <c r="G8" t="n">
        <v>101.667535800611</v>
      </c>
      <c r="H8" t="n">
        <v>103.051320777878</v>
      </c>
      <c r="I8" t="n">
        <v>103.657671126615</v>
      </c>
      <c r="J8" t="n">
        <v>103.606030248369</v>
      </c>
      <c r="K8" t="n">
        <v>104.445292975327</v>
      </c>
      <c r="L8" t="n">
        <v>106.908125758392</v>
      </c>
      <c r="M8" t="n">
        <v>108.548476892484</v>
      </c>
      <c r="N8" t="n">
        <v>109.464768076345</v>
      </c>
      <c r="O8" t="n">
        <v>110.303599849062</v>
      </c>
      <c r="P8" t="n">
        <v>113.221809474816</v>
      </c>
      <c r="Q8" t="n">
        <v>116.675540865055</v>
      </c>
      <c r="R8" t="n">
        <v>119.214636821437</v>
      </c>
      <c r="S8" t="n">
        <v>120.915809847265</v>
      </c>
      <c r="T8" t="n">
        <v>119.35258885996</v>
      </c>
      <c r="U8" t="n">
        <v>117.250386342363</v>
      </c>
      <c r="V8" t="n">
        <v>115.820157731461</v>
      </c>
      <c r="W8" t="n">
        <v>114.639325935619</v>
      </c>
      <c r="X8" t="n">
        <v>113.954904478338</v>
      </c>
      <c r="Y8" t="n">
        <v>113.249587194712</v>
      </c>
      <c r="Z8" t="n">
        <v>100</v>
      </c>
      <c r="AA8" t="n">
        <v>90.8846306667416</v>
      </c>
      <c r="AB8" t="n">
        <v>84.4209265745263</v>
      </c>
      <c r="AC8" t="n">
        <v>79.8912462034973</v>
      </c>
      <c r="AD8" t="n">
        <v>76.7767573566141</v>
      </c>
      <c r="AE8" t="n">
        <v>73.891923026641</v>
      </c>
      <c r="AF8"/>
    </row>
    <row r="9">
      <c r="A9" t="s">
        <v>122</v>
      </c>
      <c r="B9" t="s">
        <v>283</v>
      </c>
      <c r="C9" t="s">
        <v>123</v>
      </c>
      <c r="D9" t="s">
        <v>284</v>
      </c>
      <c r="E9" t="s">
        <v>24</v>
      </c>
      <c r="F9" t="n">
        <v>76.7602517566568</v>
      </c>
      <c r="G9" t="n">
        <v>79.6031511587643</v>
      </c>
      <c r="H9" t="n">
        <v>81.8309899213779</v>
      </c>
      <c r="I9" t="n">
        <v>83.244438238071</v>
      </c>
      <c r="J9" t="n">
        <v>84.6266199757889</v>
      </c>
      <c r="K9" t="n">
        <v>84.383002932647</v>
      </c>
      <c r="L9" t="n">
        <v>85.7519179511076</v>
      </c>
      <c r="M9" t="n">
        <v>87.0541842517744</v>
      </c>
      <c r="N9" t="n">
        <v>87.8703136927167</v>
      </c>
      <c r="O9" t="n">
        <v>88.3303587367816</v>
      </c>
      <c r="P9" t="n">
        <v>89.9761766418758</v>
      </c>
      <c r="Q9" t="n">
        <v>91.3231220703962</v>
      </c>
      <c r="R9" t="n">
        <v>94.4091994366377</v>
      </c>
      <c r="S9" t="n">
        <v>97.2545389985562</v>
      </c>
      <c r="T9" t="n">
        <v>97.6650409389359</v>
      </c>
      <c r="U9" t="n">
        <v>96.8576190607012</v>
      </c>
      <c r="V9" t="n">
        <v>96.6158080226809</v>
      </c>
      <c r="W9" t="n">
        <v>96.9189844803863</v>
      </c>
      <c r="X9" t="n">
        <v>98.0679340915793</v>
      </c>
      <c r="Y9" t="n">
        <v>99.9565469740998</v>
      </c>
      <c r="Z9" t="n">
        <v>100</v>
      </c>
      <c r="AA9" t="n">
        <v>100.520795004869</v>
      </c>
      <c r="AB9" t="n">
        <v>101.937003597617</v>
      </c>
      <c r="AC9" t="n">
        <v>103.214457849003</v>
      </c>
      <c r="AD9" t="n">
        <v>104.054313650621</v>
      </c>
      <c r="AE9" t="n">
        <v>104.70171867751</v>
      </c>
      <c r="AF9"/>
    </row>
    <row r="10">
      <c r="A10" t="s">
        <v>124</v>
      </c>
      <c r="B10" t="s">
        <v>283</v>
      </c>
      <c r="C10" t="s">
        <v>125</v>
      </c>
      <c r="D10" t="s">
        <v>284</v>
      </c>
      <c r="E10" t="s">
        <v>24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283</v>
      </c>
      <c r="C11" t="s">
        <v>127</v>
      </c>
      <c r="D11" t="s">
        <v>284</v>
      </c>
      <c r="E11" t="s">
        <v>24</v>
      </c>
      <c r="F11" t="n">
        <v>65.3904969845454</v>
      </c>
      <c r="G11" t="n">
        <v>63.0786645729987</v>
      </c>
      <c r="H11" t="n">
        <v>62.1588270926951</v>
      </c>
      <c r="I11" t="n">
        <v>63.0423475673711</v>
      </c>
      <c r="J11" t="n">
        <v>63.3024061853503</v>
      </c>
      <c r="K11" t="n">
        <v>66.5506611222962</v>
      </c>
      <c r="L11" t="n">
        <v>68.8541597979641</v>
      </c>
      <c r="M11" t="n">
        <v>71.8431665898143</v>
      </c>
      <c r="N11" t="n">
        <v>74.209936276277</v>
      </c>
      <c r="O11" t="n">
        <v>75.5608320813932</v>
      </c>
      <c r="P11" t="n">
        <v>77.6423960872967</v>
      </c>
      <c r="Q11" t="n">
        <v>81.3424804275223</v>
      </c>
      <c r="R11" t="n">
        <v>83.8781981515632</v>
      </c>
      <c r="S11" t="n">
        <v>86.2382777545056</v>
      </c>
      <c r="T11" t="n">
        <v>88.5796421177348</v>
      </c>
      <c r="U11" t="n">
        <v>91.4602564921912</v>
      </c>
      <c r="V11" t="n">
        <v>93.1625211041311</v>
      </c>
      <c r="W11" t="n">
        <v>95.0303678783853</v>
      </c>
      <c r="X11" t="n">
        <v>97.5621103221402</v>
      </c>
      <c r="Y11" t="n">
        <v>99.4910708383164</v>
      </c>
      <c r="Z11" t="n">
        <v>100</v>
      </c>
      <c r="AA11" t="n">
        <v>100.206198724515</v>
      </c>
      <c r="AB11" t="n">
        <v>100.695336757397</v>
      </c>
      <c r="AC11" t="n">
        <v>100.631356314395</v>
      </c>
      <c r="AD11" t="n">
        <v>99.8969711029151</v>
      </c>
      <c r="AE11" t="n">
        <v>99.1808653106534</v>
      </c>
      <c r="AF11"/>
    </row>
    <row r="12">
      <c r="A12" t="s">
        <v>128</v>
      </c>
      <c r="B12" t="s">
        <v>283</v>
      </c>
      <c r="C12" t="s">
        <v>129</v>
      </c>
      <c r="D12" t="s">
        <v>284</v>
      </c>
      <c r="E12" t="s">
        <v>24</v>
      </c>
      <c r="F12" t="n">
        <v>80.3554442860908</v>
      </c>
      <c r="G12" t="n">
        <v>82.547267218091</v>
      </c>
      <c r="H12" t="n">
        <v>84.834493032865</v>
      </c>
      <c r="I12" t="n">
        <v>87.331322269395</v>
      </c>
      <c r="J12" t="n">
        <v>89.1854914588036</v>
      </c>
      <c r="K12" t="n">
        <v>90.7867515949714</v>
      </c>
      <c r="L12" t="n">
        <v>92.4741635168305</v>
      </c>
      <c r="M12" t="n">
        <v>92.4513452351845</v>
      </c>
      <c r="N12" t="n">
        <v>92.42390362013</v>
      </c>
      <c r="O12" t="n">
        <v>93.1271679543338</v>
      </c>
      <c r="P12" t="n">
        <v>93.9637286185549</v>
      </c>
      <c r="Q12" t="n">
        <v>94.81857730081</v>
      </c>
      <c r="R12" t="n">
        <v>96.0345626605675</v>
      </c>
      <c r="S12" t="n">
        <v>96.875865067766</v>
      </c>
      <c r="T12" t="n">
        <v>96.5654384928052</v>
      </c>
      <c r="U12" t="n">
        <v>96.0185616692378</v>
      </c>
      <c r="V12" t="n">
        <v>95.5926611250608</v>
      </c>
      <c r="W12" t="n">
        <v>95.4873879958522</v>
      </c>
      <c r="X12" t="n">
        <v>96.264624157334</v>
      </c>
      <c r="Y12" t="n">
        <v>98.2309300988672</v>
      </c>
      <c r="Z12" t="n">
        <v>100</v>
      </c>
      <c r="AA12" t="n">
        <v>101.800190363063</v>
      </c>
      <c r="AB12" t="n">
        <v>103.094355257668</v>
      </c>
      <c r="AC12" t="n">
        <v>104.798076622566</v>
      </c>
      <c r="AD12" t="n">
        <v>105.751949208223</v>
      </c>
      <c r="AE12" t="n">
        <v>106.085759896108</v>
      </c>
      <c r="AF12"/>
    </row>
    <row r="13">
      <c r="A13" t="s">
        <v>130</v>
      </c>
      <c r="B13" t="s">
        <v>283</v>
      </c>
      <c r="C13" t="s">
        <v>131</v>
      </c>
      <c r="D13" t="s">
        <v>284</v>
      </c>
      <c r="E13" t="s">
        <v>24</v>
      </c>
      <c r="F13" t="n">
        <v>112.594074729666</v>
      </c>
      <c r="G13" t="n">
        <v>111.144330427655</v>
      </c>
      <c r="H13" t="n">
        <v>110.111138292104</v>
      </c>
      <c r="I13" t="n">
        <v>109.17098782142</v>
      </c>
      <c r="J13" t="n">
        <v>107.062452182192</v>
      </c>
      <c r="K13" t="n">
        <v>105.745117425043</v>
      </c>
      <c r="L13" t="n">
        <v>103.455834417477</v>
      </c>
      <c r="M13" t="n">
        <v>102.027543774619</v>
      </c>
      <c r="N13" t="n">
        <v>99.0603312721967</v>
      </c>
      <c r="O13" t="n">
        <v>97.9327165874079</v>
      </c>
      <c r="P13" t="n">
        <v>97.8323290522446</v>
      </c>
      <c r="Q13" t="n">
        <v>97.9784833705663</v>
      </c>
      <c r="R13" t="n">
        <v>98.3116835095733</v>
      </c>
      <c r="S13" t="n">
        <v>98.8828324540811</v>
      </c>
      <c r="T13" t="n">
        <v>98.7858338683204</v>
      </c>
      <c r="U13" t="n">
        <v>97.947140201287</v>
      </c>
      <c r="V13" t="n">
        <v>96.9527305135153</v>
      </c>
      <c r="W13" t="n">
        <v>96.2656133536318</v>
      </c>
      <c r="X13" t="n">
        <v>95.9160703632853</v>
      </c>
      <c r="Y13" t="n">
        <v>96.1929907492484</v>
      </c>
      <c r="Z13" t="n">
        <v>100</v>
      </c>
      <c r="AA13" t="n">
        <v>102.517284990357</v>
      </c>
      <c r="AB13" t="n">
        <v>103.857742866634</v>
      </c>
      <c r="AC13" t="n">
        <v>103.558070269728</v>
      </c>
      <c r="AD13" t="n">
        <v>104.203847937892</v>
      </c>
      <c r="AE13" t="n">
        <v>103.173077204749</v>
      </c>
      <c r="AF13"/>
    </row>
    <row r="14">
      <c r="A14" t="s">
        <v>132</v>
      </c>
      <c r="B14" t="s">
        <v>283</v>
      </c>
      <c r="C14" t="s">
        <v>133</v>
      </c>
      <c r="D14" t="s">
        <v>284</v>
      </c>
      <c r="E14" t="s">
        <v>24</v>
      </c>
      <c r="F14" t="n">
        <v>72.8576013253853</v>
      </c>
      <c r="G14" t="n">
        <v>76.1520992185706</v>
      </c>
      <c r="H14" t="n">
        <v>79.6674356058582</v>
      </c>
      <c r="I14" t="n">
        <v>83.5415770051288</v>
      </c>
      <c r="J14" t="n">
        <v>86.3122450956022</v>
      </c>
      <c r="K14" t="n">
        <v>89.3589386948787</v>
      </c>
      <c r="L14" t="n">
        <v>92.1638049456839</v>
      </c>
      <c r="M14" t="n">
        <v>94.9217744498635</v>
      </c>
      <c r="N14" t="n">
        <v>96.9773999079124</v>
      </c>
      <c r="O14" t="n">
        <v>98.3806160058191</v>
      </c>
      <c r="P14" t="n">
        <v>100.267317074207</v>
      </c>
      <c r="Q14" t="n">
        <v>102.478042164926</v>
      </c>
      <c r="R14" t="n">
        <v>105.148328858887</v>
      </c>
      <c r="S14" t="n">
        <v>107.238696729502</v>
      </c>
      <c r="T14" t="n">
        <v>106.920496257367</v>
      </c>
      <c r="U14" t="n">
        <v>105.411130679742</v>
      </c>
      <c r="V14" t="n">
        <v>104.144862184007</v>
      </c>
      <c r="W14" t="n">
        <v>102.854836805492</v>
      </c>
      <c r="X14" t="n">
        <v>101.73514331222</v>
      </c>
      <c r="Y14" t="n">
        <v>100.550470000783</v>
      </c>
      <c r="Z14" t="n">
        <v>100</v>
      </c>
      <c r="AA14" t="n">
        <v>99.0963656225989</v>
      </c>
      <c r="AB14" t="n">
        <v>97.8811950836227</v>
      </c>
      <c r="AC14" t="n">
        <v>97.0630276169022</v>
      </c>
      <c r="AD14" t="n">
        <v>95.6438510515608</v>
      </c>
      <c r="AE14" t="n">
        <v>95.0384233562323</v>
      </c>
      <c r="AF14"/>
    </row>
    <row r="15">
      <c r="A15" t="s">
        <v>134</v>
      </c>
      <c r="B15" t="s">
        <v>283</v>
      </c>
      <c r="C15" t="s">
        <v>135</v>
      </c>
      <c r="D15" t="s">
        <v>284</v>
      </c>
      <c r="E15" t="s">
        <v>24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283</v>
      </c>
      <c r="C16" t="s">
        <v>137</v>
      </c>
      <c r="D16" t="s">
        <v>284</v>
      </c>
      <c r="E16" t="s">
        <v>24</v>
      </c>
      <c r="F16" t="n">
        <v>50.9213928285961</v>
      </c>
      <c r="G16" t="n">
        <v>54.4547418180366</v>
      </c>
      <c r="H16" t="n">
        <v>58.9509396924354</v>
      </c>
      <c r="I16" t="n">
        <v>63.7659226209885</v>
      </c>
      <c r="J16" t="n">
        <v>68.557843956512</v>
      </c>
      <c r="K16" t="n">
        <v>74.0196059183436</v>
      </c>
      <c r="L16" t="n">
        <v>79.8716915241271</v>
      </c>
      <c r="M16" t="n">
        <v>84.6117956421407</v>
      </c>
      <c r="N16" t="n">
        <v>88.0613498236816</v>
      </c>
      <c r="O16" t="n">
        <v>90.9941585969125</v>
      </c>
      <c r="P16" t="n">
        <v>94.904526762004</v>
      </c>
      <c r="Q16" t="n">
        <v>98.4715121385539</v>
      </c>
      <c r="R16" t="n">
        <v>100.981147485282</v>
      </c>
      <c r="S16" t="n">
        <v>102.175628201343</v>
      </c>
      <c r="T16" t="n">
        <v>100.410737697685</v>
      </c>
      <c r="U16" t="n">
        <v>98.6966384596857</v>
      </c>
      <c r="V16" t="n">
        <v>97.5165034463183</v>
      </c>
      <c r="W16" t="n">
        <v>97.4163564912933</v>
      </c>
      <c r="X16" t="n">
        <v>98.1281663964346</v>
      </c>
      <c r="Y16" t="n">
        <v>99.2402464964102</v>
      </c>
      <c r="Z16" t="n">
        <v>100</v>
      </c>
      <c r="AA16" t="n">
        <v>100.569772975024</v>
      </c>
      <c r="AB16" t="n">
        <v>100.64479241805</v>
      </c>
      <c r="AC16" t="n">
        <v>101.537722860689</v>
      </c>
      <c r="AD16" t="n">
        <v>103.086954081816</v>
      </c>
      <c r="AE16" t="n">
        <v>100.830378328224</v>
      </c>
      <c r="AF16"/>
    </row>
    <row r="17">
      <c r="A17" t="s">
        <v>138</v>
      </c>
      <c r="B17" t="s">
        <v>283</v>
      </c>
      <c r="C17" t="s">
        <v>139</v>
      </c>
      <c r="D17" t="s">
        <v>284</v>
      </c>
      <c r="E17" t="s">
        <v>24</v>
      </c>
      <c r="F17" t="n">
        <v>39.3044141189639</v>
      </c>
      <c r="G17" t="n">
        <v>42.9371871984088</v>
      </c>
      <c r="H17" t="n">
        <v>46.863784038529</v>
      </c>
      <c r="I17" t="n">
        <v>50.7246710812573</v>
      </c>
      <c r="J17" t="n">
        <v>54.5894620374098</v>
      </c>
      <c r="K17" t="n">
        <v>58.0130884007522</v>
      </c>
      <c r="L17" t="n">
        <v>61.5709178482946</v>
      </c>
      <c r="M17" t="n">
        <v>64.900630153137</v>
      </c>
      <c r="N17" t="n">
        <v>69.1159476208509</v>
      </c>
      <c r="O17" t="n">
        <v>73.2430429126644</v>
      </c>
      <c r="P17" t="n">
        <v>78.3533160189798</v>
      </c>
      <c r="Q17" t="n">
        <v>82.185498390304</v>
      </c>
      <c r="R17" t="n">
        <v>86.3326211466674</v>
      </c>
      <c r="S17" t="n">
        <v>89.2853514825306</v>
      </c>
      <c r="T17" t="n">
        <v>90.5634477750718</v>
      </c>
      <c r="U17" t="n">
        <v>91.132184651644</v>
      </c>
      <c r="V17" t="n">
        <v>91.9260111818211</v>
      </c>
      <c r="W17" t="n">
        <v>92.876094885448</v>
      </c>
      <c r="X17" t="n">
        <v>94.5979583911733</v>
      </c>
      <c r="Y17" t="n">
        <v>96.7438465655412</v>
      </c>
      <c r="Z17" t="n">
        <v>100</v>
      </c>
      <c r="AA17" t="n">
        <v>101.894322356274</v>
      </c>
      <c r="AB17" t="n">
        <v>102.98208232578</v>
      </c>
      <c r="AC17" t="n">
        <v>104.736694342146</v>
      </c>
      <c r="AD17" t="n">
        <v>105.636514036175</v>
      </c>
      <c r="AE17" t="n">
        <v>104.592801819987</v>
      </c>
      <c r="AF17"/>
    </row>
    <row r="18">
      <c r="A18" t="s">
        <v>140</v>
      </c>
      <c r="B18" t="s">
        <v>283</v>
      </c>
      <c r="C18" t="s">
        <v>141</v>
      </c>
      <c r="D18" t="s">
        <v>284</v>
      </c>
      <c r="E18" t="s">
        <v>24</v>
      </c>
      <c r="F18" t="n">
        <v>50.2338056494016</v>
      </c>
      <c r="G18" t="n">
        <v>52.1662252814617</v>
      </c>
      <c r="H18" t="n">
        <v>54.6917914151456</v>
      </c>
      <c r="I18" t="n">
        <v>57.1672475081914</v>
      </c>
      <c r="J18" t="n">
        <v>58.6816969920043</v>
      </c>
      <c r="K18" t="n">
        <v>60.0215545568234</v>
      </c>
      <c r="L18" t="n">
        <v>61.9105381585313</v>
      </c>
      <c r="M18" t="n">
        <v>63.9521752011504</v>
      </c>
      <c r="N18" t="n">
        <v>66.2594217617181</v>
      </c>
      <c r="O18" t="n">
        <v>68.5296099927161</v>
      </c>
      <c r="P18" t="n">
        <v>71.7631220088535</v>
      </c>
      <c r="Q18" t="n">
        <v>75.1983834343278</v>
      </c>
      <c r="R18" t="n">
        <v>79.2914692019844</v>
      </c>
      <c r="S18" t="n">
        <v>82.3866905612882</v>
      </c>
      <c r="T18" t="n">
        <v>83.4083235689227</v>
      </c>
      <c r="U18" t="n">
        <v>84.3216195596422</v>
      </c>
      <c r="V18" t="n">
        <v>85.6693879235029</v>
      </c>
      <c r="W18" t="n">
        <v>87.2449207018384</v>
      </c>
      <c r="X18" t="n">
        <v>89.8209178310378</v>
      </c>
      <c r="Y18" t="n">
        <v>93.8626405324341</v>
      </c>
      <c r="Z18" t="n">
        <v>100</v>
      </c>
      <c r="AA18" t="n">
        <v>105.224992686367</v>
      </c>
      <c r="AB18" t="n">
        <v>109.715922352946</v>
      </c>
      <c r="AC18" t="n">
        <v>113.583505704869</v>
      </c>
      <c r="AD18" t="n">
        <v>116.679362211058</v>
      </c>
      <c r="AE18" t="n">
        <v>121.459185547902</v>
      </c>
      <c r="AF18"/>
    </row>
    <row r="19">
      <c r="A19" t="s">
        <v>142</v>
      </c>
      <c r="B19" t="s">
        <v>283</v>
      </c>
      <c r="C19" t="s">
        <v>143</v>
      </c>
      <c r="D19" t="s">
        <v>284</v>
      </c>
      <c r="E19" t="s">
        <v>24</v>
      </c>
      <c r="F19" t="n">
        <v>75.1395985139239</v>
      </c>
      <c r="G19" t="n">
        <v>80.8185787662378</v>
      </c>
      <c r="H19" t="n">
        <v>87.1393040737962</v>
      </c>
      <c r="I19" t="n">
        <v>94.1823962366703</v>
      </c>
      <c r="J19" t="n">
        <v>100.660105648489</v>
      </c>
      <c r="K19" t="n">
        <v>106.905240663094</v>
      </c>
      <c r="L19" t="n">
        <v>113.254501079227</v>
      </c>
      <c r="M19" t="n">
        <v>116.731997982402</v>
      </c>
      <c r="N19" t="n">
        <v>117.954132706566</v>
      </c>
      <c r="O19" t="n">
        <v>116.937014780217</v>
      </c>
      <c r="P19" t="n">
        <v>117.323303192361</v>
      </c>
      <c r="Q19" t="n">
        <v>118.264514455093</v>
      </c>
      <c r="R19" t="n">
        <v>118.355692728048</v>
      </c>
      <c r="S19" t="n">
        <v>118.817648598716</v>
      </c>
      <c r="T19" t="n">
        <v>116.34577365901</v>
      </c>
      <c r="U19" t="n">
        <v>112.157477557018</v>
      </c>
      <c r="V19" t="n">
        <v>109.148877806838</v>
      </c>
      <c r="W19" t="n">
        <v>107.301039692096</v>
      </c>
      <c r="X19" t="n">
        <v>107.04348297064</v>
      </c>
      <c r="Y19" t="n">
        <v>105.721876473361</v>
      </c>
      <c r="Z19" t="n">
        <v>100</v>
      </c>
      <c r="AA19" t="n">
        <v>94.8369914500184</v>
      </c>
      <c r="AB19" t="n">
        <v>91.1697506360124</v>
      </c>
      <c r="AC19" t="n">
        <v>90.6902462200782</v>
      </c>
      <c r="AD19" t="n">
        <v>91.1295332954048</v>
      </c>
      <c r="AE19" t="n">
        <v>91.3467099841621</v>
      </c>
      <c r="AF19"/>
    </row>
    <row r="20">
      <c r="A20" t="s">
        <v>144</v>
      </c>
      <c r="B20" t="s">
        <v>283</v>
      </c>
      <c r="C20" t="s">
        <v>145</v>
      </c>
      <c r="D20" t="s">
        <v>284</v>
      </c>
      <c r="E20" t="s">
        <v>24</v>
      </c>
      <c r="F20" t="n">
        <v>82.5266169407201</v>
      </c>
      <c r="G20" t="n">
        <v>87.2273669042815</v>
      </c>
      <c r="H20" t="n">
        <v>91.6420707697349</v>
      </c>
      <c r="I20" t="n">
        <v>94.8576341136905</v>
      </c>
      <c r="J20" t="n">
        <v>98.7050896101687</v>
      </c>
      <c r="K20" t="n">
        <v>101.129036292254</v>
      </c>
      <c r="L20" t="n">
        <v>102.61108042209</v>
      </c>
      <c r="M20" t="n">
        <v>104.461650197069</v>
      </c>
      <c r="N20" t="n">
        <v>105.776980345303</v>
      </c>
      <c r="O20" t="n">
        <v>105.736719620112</v>
      </c>
      <c r="P20" t="n">
        <v>107.286827302706</v>
      </c>
      <c r="Q20" t="n">
        <v>108.442356322249</v>
      </c>
      <c r="R20" t="n">
        <v>109.386522637753</v>
      </c>
      <c r="S20" t="n">
        <v>109.922868515626</v>
      </c>
      <c r="T20" t="n">
        <v>107.433576972335</v>
      </c>
      <c r="U20" t="n">
        <v>105.247402021828</v>
      </c>
      <c r="V20" t="n">
        <v>102.587629744871</v>
      </c>
      <c r="W20" t="n">
        <v>101.323818140348</v>
      </c>
      <c r="X20" t="n">
        <v>100.145679583642</v>
      </c>
      <c r="Y20" t="n">
        <v>98.8162796623172</v>
      </c>
      <c r="Z20" t="n">
        <v>100</v>
      </c>
      <c r="AA20" t="n">
        <v>99.4474588548271</v>
      </c>
      <c r="AB20" t="n">
        <v>99.6047611243937</v>
      </c>
      <c r="AC20" t="n">
        <v>99.9111774952475</v>
      </c>
      <c r="AD20" t="n">
        <v>100.653002674862</v>
      </c>
      <c r="AE20" t="n">
        <v>99.1044602100613</v>
      </c>
      <c r="AF20"/>
    </row>
    <row r="21">
      <c r="A21" t="s">
        <v>146</v>
      </c>
      <c r="B21" t="s">
        <v>283</v>
      </c>
      <c r="C21" t="s">
        <v>147</v>
      </c>
      <c r="D21" t="s">
        <v>284</v>
      </c>
      <c r="E21" t="s">
        <v>24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283</v>
      </c>
      <c r="C22" t="s">
        <v>149</v>
      </c>
      <c r="D22" t="s">
        <v>284</v>
      </c>
      <c r="E22" t="s">
        <v>24</v>
      </c>
      <c r="F22" t="n">
        <v>39.3838899400996</v>
      </c>
      <c r="G22" t="n">
        <v>36.94688388951</v>
      </c>
      <c r="H22" t="n">
        <v>38.3268230235621</v>
      </c>
      <c r="I22" t="n">
        <v>40.9700249237901</v>
      </c>
      <c r="J22" t="n">
        <v>45.5118527071185</v>
      </c>
      <c r="K22" t="n">
        <v>49.9728170813736</v>
      </c>
      <c r="L22" t="n">
        <v>57.8124621959976</v>
      </c>
      <c r="M22" t="n">
        <v>62.9913556147654</v>
      </c>
      <c r="N22" t="n">
        <v>66.1459023301594</v>
      </c>
      <c r="O22" t="n">
        <v>66.7404403767998</v>
      </c>
      <c r="P22" t="n">
        <v>68.1107586872715</v>
      </c>
      <c r="Q22" t="n">
        <v>74.3203069276839</v>
      </c>
      <c r="R22" t="n">
        <v>81.3824278219258</v>
      </c>
      <c r="S22" t="n">
        <v>87.6945007955504</v>
      </c>
      <c r="T22" t="n">
        <v>89.5749687625858</v>
      </c>
      <c r="U22" t="n">
        <v>88.3509603615986</v>
      </c>
      <c r="V22" t="n">
        <v>90.8585009871476</v>
      </c>
      <c r="W22" t="n">
        <v>92.1902655134305</v>
      </c>
      <c r="X22" t="n">
        <v>94.675195072758</v>
      </c>
      <c r="Y22" t="n">
        <v>96.0550221100927</v>
      </c>
      <c r="Z22" t="n">
        <v>100</v>
      </c>
      <c r="AA22" t="n">
        <v>102.151213510933</v>
      </c>
      <c r="AB22" t="n">
        <v>103.772863410211</v>
      </c>
      <c r="AC22" t="n">
        <v>107.529975456968</v>
      </c>
      <c r="AD22" t="n">
        <v>111.137945925419</v>
      </c>
      <c r="AE22" t="n">
        <v>113.87092078713</v>
      </c>
      <c r="AF22"/>
    </row>
    <row r="23">
      <c r="A23" t="s">
        <v>150</v>
      </c>
      <c r="B23" t="s">
        <v>283</v>
      </c>
      <c r="C23" t="s">
        <v>151</v>
      </c>
      <c r="D23" t="s">
        <v>284</v>
      </c>
      <c r="E23" t="s">
        <v>24</v>
      </c>
      <c r="F23" t="n">
        <v>83.9819338514781</v>
      </c>
      <c r="G23" t="n">
        <v>87.0506964807072</v>
      </c>
      <c r="H23" t="n">
        <v>90.4721877366171</v>
      </c>
      <c r="I23" t="n">
        <v>92.4275055226477</v>
      </c>
      <c r="J23" t="n">
        <v>94.6006976222669</v>
      </c>
      <c r="K23" t="n">
        <v>96.8107435507621</v>
      </c>
      <c r="L23" t="n">
        <v>97.8214945785154</v>
      </c>
      <c r="M23" t="n">
        <v>99.1208559825177</v>
      </c>
      <c r="N23" t="n">
        <v>100.886977815444</v>
      </c>
      <c r="O23" t="n">
        <v>101.933936434058</v>
      </c>
      <c r="P23" t="n">
        <v>103.519496214387</v>
      </c>
      <c r="Q23" t="n">
        <v>103.99793091343</v>
      </c>
      <c r="R23" t="n">
        <v>104.018362632375</v>
      </c>
      <c r="S23" t="n">
        <v>103.976413480342</v>
      </c>
      <c r="T23" t="n">
        <v>101.781573267417</v>
      </c>
      <c r="U23" t="n">
        <v>100.451411354651</v>
      </c>
      <c r="V23" t="n">
        <v>99.1912114132999</v>
      </c>
      <c r="W23" t="n">
        <v>99.0769710202197</v>
      </c>
      <c r="X23" t="n">
        <v>99.1029271023869</v>
      </c>
      <c r="Y23" t="n">
        <v>97.9654232428618</v>
      </c>
      <c r="Z23" t="n">
        <v>100</v>
      </c>
      <c r="AA23" t="n">
        <v>101.954078489716</v>
      </c>
      <c r="AB23" t="n">
        <v>103.062675610558</v>
      </c>
      <c r="AC23" t="n">
        <v>103.958566874184</v>
      </c>
      <c r="AD23" t="n">
        <v>105.625296937507</v>
      </c>
      <c r="AE23" t="n">
        <v>106.20973116688</v>
      </c>
      <c r="AF23"/>
    </row>
    <row r="24">
      <c r="A24" t="s">
        <v>152</v>
      </c>
      <c r="B24" t="s">
        <v>283</v>
      </c>
      <c r="C24" t="s">
        <v>153</v>
      </c>
      <c r="D24" t="s">
        <v>284</v>
      </c>
      <c r="E24" t="s">
        <v>24</v>
      </c>
      <c r="F24" t="n">
        <v>44.9870109581653</v>
      </c>
      <c r="G24" t="n">
        <v>45.938968043412</v>
      </c>
      <c r="H24" t="n">
        <v>47.5382062904602</v>
      </c>
      <c r="I24" t="n">
        <v>49.3524394111781</v>
      </c>
      <c r="J24" t="n">
        <v>51.1927677715069</v>
      </c>
      <c r="K24" t="n">
        <v>52.6824653272788</v>
      </c>
      <c r="L24" t="n">
        <v>55.9431012741307</v>
      </c>
      <c r="M24" t="n">
        <v>60.0495327419051</v>
      </c>
      <c r="N24" t="n">
        <v>64.3168083632066</v>
      </c>
      <c r="O24" t="n">
        <v>67.3633663401195</v>
      </c>
      <c r="P24" t="n">
        <v>72.143593079763</v>
      </c>
      <c r="Q24" t="n">
        <v>77.3141919503398</v>
      </c>
      <c r="R24" t="n">
        <v>82.252941612194</v>
      </c>
      <c r="S24" t="n">
        <v>86.6120378914797</v>
      </c>
      <c r="T24" t="n">
        <v>87.3645581257529</v>
      </c>
      <c r="U24" t="n">
        <v>89.5902750148292</v>
      </c>
      <c r="V24" t="n">
        <v>92.6775459163424</v>
      </c>
      <c r="W24" t="n">
        <v>95.9778120971286</v>
      </c>
      <c r="X24" t="n">
        <v>99.1506882000675</v>
      </c>
      <c r="Y24" t="n">
        <v>101.428494978051</v>
      </c>
      <c r="Z24" t="n">
        <v>100</v>
      </c>
      <c r="AA24" t="n">
        <v>98.82639461164</v>
      </c>
      <c r="AB24" t="n">
        <v>97.6864574287047</v>
      </c>
      <c r="AC24" t="n">
        <v>96.6221774129068</v>
      </c>
      <c r="AD24" t="n">
        <v>97.0038938106006</v>
      </c>
      <c r="AE24" t="n">
        <v>96.224656925299</v>
      </c>
      <c r="AF24"/>
    </row>
    <row r="25">
      <c r="A25" t="s">
        <v>154</v>
      </c>
      <c r="B25" t="s">
        <v>283</v>
      </c>
      <c r="C25" t="s">
        <v>155</v>
      </c>
      <c r="D25" t="s">
        <v>284</v>
      </c>
      <c r="E25" t="s">
        <v>24</v>
      </c>
      <c r="F25" t="n">
        <v>326.943420021778</v>
      </c>
      <c r="G25" t="n">
        <v>456.896262415267</v>
      </c>
      <c r="H25" t="n">
        <v>532.086454236991</v>
      </c>
      <c r="I25" t="n">
        <v>559.882125562934</v>
      </c>
      <c r="J25" t="n">
        <v>554.646679643322</v>
      </c>
      <c r="K25" t="n">
        <v>483.083746454778</v>
      </c>
      <c r="L25" t="n">
        <v>439.391663158823</v>
      </c>
      <c r="M25" t="n">
        <v>425.02434500293</v>
      </c>
      <c r="N25" t="n">
        <v>392.756725525226</v>
      </c>
      <c r="O25" t="n">
        <v>291.297066524374</v>
      </c>
      <c r="P25" t="n">
        <v>229.919415742632</v>
      </c>
      <c r="Q25" t="n">
        <v>188.631165907996</v>
      </c>
      <c r="R25" t="n">
        <v>161.752151260597</v>
      </c>
      <c r="S25" t="n">
        <v>140.91352346471</v>
      </c>
      <c r="T25" t="n">
        <v>120.770180823383</v>
      </c>
      <c r="U25" t="n">
        <v>105.042660150875</v>
      </c>
      <c r="V25" t="n">
        <v>90.9925782848374</v>
      </c>
      <c r="W25" t="n">
        <v>82.9840990250284</v>
      </c>
      <c r="X25" t="n">
        <v>83.8549168689755</v>
      </c>
      <c r="Y25" t="n">
        <v>85.1374011124624</v>
      </c>
      <c r="Z25" t="n">
        <v>100</v>
      </c>
      <c r="AA25" t="n">
        <v>151.670651766213</v>
      </c>
      <c r="AB25" t="n">
        <v>188.016780314447</v>
      </c>
      <c r="AC25" t="n">
        <v>227.10921728324</v>
      </c>
      <c r="AD25" t="n">
        <v>273.937267324446</v>
      </c>
      <c r="AE25" t="n">
        <v>322.852818115031</v>
      </c>
      <c r="AF25"/>
    </row>
    <row r="26">
      <c r="A26" t="s">
        <v>156</v>
      </c>
      <c r="B26" t="s">
        <v>283</v>
      </c>
      <c r="C26" t="s">
        <v>157</v>
      </c>
      <c r="D26" t="s">
        <v>284</v>
      </c>
      <c r="E26" t="s">
        <v>24</v>
      </c>
      <c r="F26" t="n">
        <v>42.0815673157502</v>
      </c>
      <c r="G26" t="n">
        <v>47.1313415301854</v>
      </c>
      <c r="H26" t="n">
        <v>50.8587443204798</v>
      </c>
      <c r="I26" t="n">
        <v>53.3635509655655</v>
      </c>
      <c r="J26" t="n">
        <v>55.3497853640447</v>
      </c>
      <c r="K26" t="n">
        <v>56.496635351427</v>
      </c>
      <c r="L26" t="n">
        <v>58.9448317146954</v>
      </c>
      <c r="M26" t="n">
        <v>63.9197988384001</v>
      </c>
      <c r="N26" t="n">
        <v>70.182697942744</v>
      </c>
      <c r="O26" t="n">
        <v>75.2656821361309</v>
      </c>
      <c r="P26" t="n">
        <v>84.1199123794382</v>
      </c>
      <c r="Q26" t="n">
        <v>90.0887286498559</v>
      </c>
      <c r="R26" t="n">
        <v>94.6112267922354</v>
      </c>
      <c r="S26" t="n">
        <v>99.0592696531924</v>
      </c>
      <c r="T26" t="n">
        <v>97.0037206421727</v>
      </c>
      <c r="U26" t="n">
        <v>98.199919906822</v>
      </c>
      <c r="V26" t="n">
        <v>100.298059851015</v>
      </c>
      <c r="W26" t="n">
        <v>102.832768092816</v>
      </c>
      <c r="X26" t="n">
        <v>104.344553431462</v>
      </c>
      <c r="Y26" t="n">
        <v>103.702547828685</v>
      </c>
      <c r="Z26" t="n">
        <v>100</v>
      </c>
      <c r="AA26" t="n">
        <v>97.5388425000809</v>
      </c>
      <c r="AB26" t="n">
        <v>95.3286796072584</v>
      </c>
      <c r="AC26" t="n">
        <v>92.7231437759932</v>
      </c>
      <c r="AD26" t="n">
        <v>91.7643886781626</v>
      </c>
      <c r="AE26" t="n">
        <v>89.2802664338654</v>
      </c>
      <c r="AF26"/>
    </row>
    <row r="27">
      <c r="A27" t="s">
        <v>158</v>
      </c>
      <c r="B27" t="s">
        <v>283</v>
      </c>
      <c r="C27" t="s">
        <v>159</v>
      </c>
      <c r="D27" t="s">
        <v>284</v>
      </c>
      <c r="E27" t="s">
        <v>24</v>
      </c>
      <c r="F27" t="n">
        <v>46.0175300640226</v>
      </c>
      <c r="G27" t="n">
        <v>39.1546239412435</v>
      </c>
      <c r="H27" t="n">
        <v>36.611719922216</v>
      </c>
      <c r="I27" t="n">
        <v>37.0556552347117</v>
      </c>
      <c r="J27" t="n">
        <v>38.7563912862754</v>
      </c>
      <c r="K27" t="n">
        <v>41.6434170681173</v>
      </c>
      <c r="L27" t="n">
        <v>46.695858693029</v>
      </c>
      <c r="M27" t="n">
        <v>49.699771540972</v>
      </c>
      <c r="N27" t="n">
        <v>51.3707746519888</v>
      </c>
      <c r="O27" t="n">
        <v>52.5745472046687</v>
      </c>
      <c r="P27" t="n">
        <v>51.9427298768184</v>
      </c>
      <c r="Q27" t="n">
        <v>56.4513755388358</v>
      </c>
      <c r="R27" t="n">
        <v>62.4099904626773</v>
      </c>
      <c r="S27" t="n">
        <v>66.9359370994148</v>
      </c>
      <c r="T27" t="n">
        <v>72.2301889570133</v>
      </c>
      <c r="U27" t="n">
        <v>76.244502100344</v>
      </c>
      <c r="V27" t="n">
        <v>81.0463197256656</v>
      </c>
      <c r="W27" t="n">
        <v>85.6494515344885</v>
      </c>
      <c r="X27" t="n">
        <v>91.3900375556885</v>
      </c>
      <c r="Y27" t="n">
        <v>98.1481462457327</v>
      </c>
      <c r="Z27" t="n">
        <v>100</v>
      </c>
      <c r="AA27" t="n">
        <v>100.400101998955</v>
      </c>
      <c r="AB27" t="n">
        <v>100.507334630466</v>
      </c>
      <c r="AC27" t="n">
        <v>101.374885570756</v>
      </c>
      <c r="AD27" t="n">
        <v>103.315975702312</v>
      </c>
      <c r="AE27" t="n">
        <v>104.611269106896</v>
      </c>
      <c r="AF27"/>
    </row>
    <row r="28">
      <c r="A28" t="s">
        <v>160</v>
      </c>
      <c r="B28" t="s">
        <v>283</v>
      </c>
      <c r="C28" t="s">
        <v>161</v>
      </c>
      <c r="D28" t="s">
        <v>284</v>
      </c>
      <c r="E28" t="s">
        <v>24</v>
      </c>
      <c r="F28" t="n">
        <v>48.0260075206147</v>
      </c>
      <c r="G28" t="n">
        <v>49.6391468131519</v>
      </c>
      <c r="H28" t="n">
        <v>52.8006996822776</v>
      </c>
      <c r="I28" t="n">
        <v>56.7060852160958</v>
      </c>
      <c r="J28" t="n">
        <v>61.8283236258993</v>
      </c>
      <c r="K28" t="n">
        <v>68.1251317900282</v>
      </c>
      <c r="L28" t="n">
        <v>74.2940236172812</v>
      </c>
      <c r="M28" t="n">
        <v>79.0552642735869</v>
      </c>
      <c r="N28" t="n">
        <v>82.1975964507851</v>
      </c>
      <c r="O28" t="n">
        <v>84.6274068537264</v>
      </c>
      <c r="P28" t="n">
        <v>87.2272293474778</v>
      </c>
      <c r="Q28" t="n">
        <v>91.278754052118</v>
      </c>
      <c r="R28" t="n">
        <v>96.7084253741342</v>
      </c>
      <c r="S28" t="n">
        <v>103.879966992501</v>
      </c>
      <c r="T28" t="n">
        <v>106.268457996802</v>
      </c>
      <c r="U28" t="n">
        <v>106.977345323706</v>
      </c>
      <c r="V28" t="n">
        <v>104.68475028279</v>
      </c>
      <c r="W28" t="n">
        <v>101.740072464901</v>
      </c>
      <c r="X28" t="n">
        <v>99.3942057445268</v>
      </c>
      <c r="Y28" t="n">
        <v>97.8117077289174</v>
      </c>
      <c r="Z28" t="n">
        <v>100</v>
      </c>
      <c r="AA28" t="n">
        <v>100.310924333325</v>
      </c>
      <c r="AB28" t="n">
        <v>101.048231210044</v>
      </c>
      <c r="AC28" t="n">
        <v>105.193798895168</v>
      </c>
      <c r="AD28" t="n">
        <v>109.323975930192</v>
      </c>
      <c r="AE28" t="n">
        <v>110.907180231801</v>
      </c>
      <c r="AF28"/>
    </row>
    <row r="29">
      <c r="A29" t="s">
        <v>162</v>
      </c>
      <c r="B29" t="s">
        <v>283</v>
      </c>
      <c r="C29" t="s">
        <v>163</v>
      </c>
      <c r="D29" t="s">
        <v>284</v>
      </c>
      <c r="E29" t="s">
        <v>24</v>
      </c>
      <c r="F29" t="n">
        <v>30.0343050219043</v>
      </c>
      <c r="G29" t="n">
        <v>34.1835013174061</v>
      </c>
      <c r="H29" t="n">
        <v>38.5227081619639</v>
      </c>
      <c r="I29" t="n">
        <v>42.434080093189</v>
      </c>
      <c r="J29" t="n">
        <v>45.6545003456783</v>
      </c>
      <c r="K29" t="n">
        <v>51.3600596296212</v>
      </c>
      <c r="L29" t="n">
        <v>57.4540935191485</v>
      </c>
      <c r="M29" t="n">
        <v>65.2221079194364</v>
      </c>
      <c r="N29" t="n">
        <v>71.1711080930033</v>
      </c>
      <c r="O29" t="n">
        <v>78.2980049183206</v>
      </c>
      <c r="P29" t="n">
        <v>81.9556732517635</v>
      </c>
      <c r="Q29" t="n">
        <v>88.8092421990738</v>
      </c>
      <c r="R29" t="n">
        <v>94.5064463554712</v>
      </c>
      <c r="S29" t="n">
        <v>105.95931812528</v>
      </c>
      <c r="T29" t="n">
        <v>112.00756914334</v>
      </c>
      <c r="U29" t="n">
        <v>111.394493705507</v>
      </c>
      <c r="V29" t="n">
        <v>109.143656080889</v>
      </c>
      <c r="W29" t="n">
        <v>104.373844068419</v>
      </c>
      <c r="X29" t="n">
        <v>101.961418201454</v>
      </c>
      <c r="Y29" t="n">
        <v>99.9579503947042</v>
      </c>
      <c r="Z29" t="n">
        <v>100</v>
      </c>
      <c r="AA29" t="n">
        <v>101.064564451195</v>
      </c>
      <c r="AB29" t="n">
        <v>103.472323944676</v>
      </c>
      <c r="AC29" t="n">
        <v>108.504976967799</v>
      </c>
      <c r="AD29" t="n">
        <v>112.826916604634</v>
      </c>
      <c r="AE29" t="n">
        <v>118.083894362195</v>
      </c>
      <c r="AF29"/>
    </row>
    <row r="30">
      <c r="A30" t="s">
        <v>164</v>
      </c>
      <c r="B30" t="s">
        <v>283</v>
      </c>
      <c r="C30" t="s">
        <v>165</v>
      </c>
      <c r="D30" t="s">
        <v>284</v>
      </c>
      <c r="E30" t="s">
        <v>24</v>
      </c>
      <c r="F30" t="n">
        <v>42.1668881281995</v>
      </c>
      <c r="G30" t="n">
        <v>44.12720960674</v>
      </c>
      <c r="H30" t="n">
        <v>48.9820940497905</v>
      </c>
      <c r="I30" t="n">
        <v>55.2036328118061</v>
      </c>
      <c r="J30" t="n">
        <v>61.6282692081178</v>
      </c>
      <c r="K30" t="n">
        <v>70.4502100499019</v>
      </c>
      <c r="L30" t="n">
        <v>78.4815861033515</v>
      </c>
      <c r="M30" t="n">
        <v>82.1179935809189</v>
      </c>
      <c r="N30" t="n">
        <v>84.0434611642626</v>
      </c>
      <c r="O30" t="n">
        <v>84.5873944728929</v>
      </c>
      <c r="P30" t="n">
        <v>85.8344694704214</v>
      </c>
      <c r="Q30" t="n">
        <v>90.9128651017729</v>
      </c>
      <c r="R30" t="n">
        <v>100.158684261863</v>
      </c>
      <c r="S30" t="n">
        <v>112.292634058596</v>
      </c>
      <c r="T30" t="n">
        <v>113.799636412389</v>
      </c>
      <c r="U30" t="n">
        <v>115.733369056624</v>
      </c>
      <c r="V30" t="n">
        <v>113.225985984855</v>
      </c>
      <c r="W30" t="n">
        <v>104.998067201586</v>
      </c>
      <c r="X30" t="n">
        <v>100.321001472454</v>
      </c>
      <c r="Y30" t="n">
        <v>97.5510974667999</v>
      </c>
      <c r="Z30" t="n">
        <v>100</v>
      </c>
      <c r="AA30" t="n">
        <v>98.5151136232209</v>
      </c>
      <c r="AB30" t="n">
        <v>99.6681920481022</v>
      </c>
      <c r="AC30" t="n">
        <v>102.637430959488</v>
      </c>
      <c r="AD30" t="n">
        <v>99.4913700139861</v>
      </c>
      <c r="AE30" t="n">
        <v>98.4270314972104</v>
      </c>
      <c r="AF30"/>
    </row>
    <row r="31">
      <c r="A31" t="s">
        <v>166</v>
      </c>
      <c r="B31" t="s">
        <v>283</v>
      </c>
      <c r="C31" t="s">
        <v>167</v>
      </c>
      <c r="D31" t="s">
        <v>284</v>
      </c>
      <c r="E31" t="s">
        <v>24</v>
      </c>
      <c r="F31" t="n">
        <v>65.0367099243041</v>
      </c>
      <c r="G31" t="n">
        <v>82.591759469486</v>
      </c>
      <c r="H31" t="n">
        <v>95.9999005664606</v>
      </c>
      <c r="I31" t="n">
        <v>106.618176240906</v>
      </c>
      <c r="J31" t="n">
        <v>109.832179424933</v>
      </c>
      <c r="K31" t="n">
        <v>117.515894500787</v>
      </c>
      <c r="L31" t="n">
        <v>118.167152705524</v>
      </c>
      <c r="M31" t="n">
        <v>114.211028225019</v>
      </c>
      <c r="N31" t="n">
        <v>102.15720801712</v>
      </c>
      <c r="O31" t="n">
        <v>86.310446350182</v>
      </c>
      <c r="P31" t="n">
        <v>64.1888947331964</v>
      </c>
      <c r="Q31" t="n">
        <v>56.8548822246796</v>
      </c>
      <c r="R31" t="n">
        <v>57.7616888040686</v>
      </c>
      <c r="S31" t="n">
        <v>70.2598751655382</v>
      </c>
      <c r="T31" t="n">
        <v>84.0366075271029</v>
      </c>
      <c r="U31" t="n">
        <v>93.0261329425066</v>
      </c>
      <c r="V31" t="n">
        <v>94.9909852956962</v>
      </c>
      <c r="W31" t="n">
        <v>95.9368618687393</v>
      </c>
      <c r="X31" t="n">
        <v>97.0853806272189</v>
      </c>
      <c r="Y31" t="n">
        <v>96.0540111321174</v>
      </c>
      <c r="Z31" t="n">
        <v>100</v>
      </c>
      <c r="AA31" t="n">
        <v>104.868641435481</v>
      </c>
      <c r="AB31" t="n">
        <v>109.842673024352</v>
      </c>
      <c r="AC31" t="n">
        <v>118.204725984679</v>
      </c>
      <c r="AD31" t="n">
        <v>123.293166580103</v>
      </c>
      <c r="AE31" t="n">
        <v>130.109108277654</v>
      </c>
      <c r="AF31"/>
    </row>
    <row r="32">
      <c r="A32" t="s">
        <v>168</v>
      </c>
      <c r="B32" t="s">
        <v>283</v>
      </c>
      <c r="C32" t="s">
        <v>169</v>
      </c>
      <c r="D32" t="s">
        <v>284</v>
      </c>
      <c r="E32" t="s">
        <v>24</v>
      </c>
      <c r="F32" t="n">
        <v>26.9737224641929</v>
      </c>
      <c r="G32" t="n">
        <v>35.0010170850164</v>
      </c>
      <c r="H32" t="n">
        <v>43.0107721088551</v>
      </c>
      <c r="I32" t="n">
        <v>50.9073357814572</v>
      </c>
      <c r="J32" t="n">
        <v>61.2796641074892</v>
      </c>
      <c r="K32" t="n">
        <v>69.9765610784747</v>
      </c>
      <c r="L32" t="n">
        <v>77.7648956371425</v>
      </c>
      <c r="M32" t="n">
        <v>81.6283287581196</v>
      </c>
      <c r="N32" t="n">
        <v>84.2636407497146</v>
      </c>
      <c r="O32" t="n">
        <v>84.7757015980239</v>
      </c>
      <c r="P32" t="n">
        <v>88.443814501433</v>
      </c>
      <c r="Q32" t="n">
        <v>90.3153736979848</v>
      </c>
      <c r="R32" t="n">
        <v>95.1944255878543</v>
      </c>
      <c r="S32" t="n">
        <v>98.305359129609</v>
      </c>
      <c r="T32" t="n">
        <v>97.2625703833113</v>
      </c>
      <c r="U32" t="n">
        <v>99.4089030298218</v>
      </c>
      <c r="V32" t="n">
        <v>97.557231048717</v>
      </c>
      <c r="W32" t="n">
        <v>97.582703231763</v>
      </c>
      <c r="X32" t="n">
        <v>95.9511110935573</v>
      </c>
      <c r="Y32" t="n">
        <v>95.5002193393902</v>
      </c>
      <c r="Z32" t="n">
        <v>100</v>
      </c>
      <c r="AA32" t="n">
        <v>99.6481270908693</v>
      </c>
      <c r="AB32" t="n">
        <v>98.4401388013317</v>
      </c>
      <c r="AC32" t="n">
        <v>101.567492136152</v>
      </c>
      <c r="AD32" t="n">
        <v>106.593774992179</v>
      </c>
      <c r="AE32" t="n">
        <v>104.606736370327</v>
      </c>
      <c r="AF32"/>
    </row>
    <row r="33">
      <c r="A33" t="s">
        <v>170</v>
      </c>
      <c r="B33" t="s">
        <v>283</v>
      </c>
      <c r="C33" t="s">
        <v>171</v>
      </c>
      <c r="D33" t="s">
        <v>284</v>
      </c>
      <c r="E33" t="s">
        <v>24</v>
      </c>
      <c r="F33" t="n">
        <v>1490.20980389484</v>
      </c>
      <c r="G33" t="n">
        <v>1064.95692770217</v>
      </c>
      <c r="H33" t="n">
        <v>774.410959651073</v>
      </c>
      <c r="I33" t="n">
        <v>576.092619586715</v>
      </c>
      <c r="J33" t="n">
        <v>448.778584889719</v>
      </c>
      <c r="K33" t="n">
        <v>360.495868271871</v>
      </c>
      <c r="L33" t="n">
        <v>321.728857876583</v>
      </c>
      <c r="M33" t="n">
        <v>300.257271404955</v>
      </c>
      <c r="N33" t="n">
        <v>302.449222478732</v>
      </c>
      <c r="O33" t="n">
        <v>308.482903197832</v>
      </c>
      <c r="P33" t="n">
        <v>361.599983847721</v>
      </c>
      <c r="Q33" t="n">
        <v>397.191503627285</v>
      </c>
      <c r="R33" t="n">
        <v>414.2649546845</v>
      </c>
      <c r="S33" t="n">
        <v>364.328321076249</v>
      </c>
      <c r="T33" t="n">
        <v>312.455752126543</v>
      </c>
      <c r="U33" t="n">
        <v>257.490386649155</v>
      </c>
      <c r="V33" t="n">
        <v>216.1148259704</v>
      </c>
      <c r="W33" t="n">
        <v>176.087771006269</v>
      </c>
      <c r="X33" t="n">
        <v>144.371429215691</v>
      </c>
      <c r="Y33" t="n">
        <v>118.379679842343</v>
      </c>
      <c r="Z33" t="n">
        <v>100</v>
      </c>
      <c r="AA33" t="n">
        <v>85.8746333234728</v>
      </c>
      <c r="AB33" t="n">
        <v>76.7883253348356</v>
      </c>
      <c r="AC33" t="n">
        <v>73.8444408995043</v>
      </c>
      <c r="AD33" t="n">
        <v>73.57673124709</v>
      </c>
      <c r="AE33" t="n">
        <v>71.3862770638833</v>
      </c>
      <c r="AF33"/>
    </row>
    <row r="34">
      <c r="A34" t="s">
        <v>172</v>
      </c>
      <c r="B34" t="s">
        <v>283</v>
      </c>
      <c r="C34" t="s">
        <v>173</v>
      </c>
      <c r="D34" t="s">
        <v>284</v>
      </c>
      <c r="E34" t="s">
        <v>24</v>
      </c>
      <c r="F34" t="n">
        <v>38.890194296958</v>
      </c>
      <c r="G34" t="n">
        <v>40.4556930256888</v>
      </c>
      <c r="H34" t="n">
        <v>44.8729799061228</v>
      </c>
      <c r="I34" t="n">
        <v>51.2924065355836</v>
      </c>
      <c r="J34" t="n">
        <v>59.6480968690183</v>
      </c>
      <c r="K34" t="n">
        <v>69.0876416955373</v>
      </c>
      <c r="L34" t="n">
        <v>79.1625088188209</v>
      </c>
      <c r="M34" t="n">
        <v>87.3445106018473</v>
      </c>
      <c r="N34" t="n">
        <v>92.7847772140978</v>
      </c>
      <c r="O34" t="n">
        <v>97.1686956778176</v>
      </c>
      <c r="P34" t="n">
        <v>103.083895236186</v>
      </c>
      <c r="Q34" t="n">
        <v>107.948234526518</v>
      </c>
      <c r="R34" t="n">
        <v>111.373751672819</v>
      </c>
      <c r="S34" t="n">
        <v>113.133702879783</v>
      </c>
      <c r="T34" t="n">
        <v>110.292850784501</v>
      </c>
      <c r="U34" t="n">
        <v>106.780422614387</v>
      </c>
      <c r="V34" t="n">
        <v>104.631191019222</v>
      </c>
      <c r="W34" t="n">
        <v>104.032921407201</v>
      </c>
      <c r="X34" t="n">
        <v>104.137867658428</v>
      </c>
      <c r="Y34" t="n">
        <v>104.318873215365</v>
      </c>
      <c r="Z34" t="n">
        <v>100</v>
      </c>
      <c r="AA34" t="n">
        <v>96.536157798051</v>
      </c>
      <c r="AB34" t="n">
        <v>94.1150856535995</v>
      </c>
      <c r="AC34" t="n">
        <v>91.9898595181609</v>
      </c>
      <c r="AD34" t="n">
        <v>91.4973707688104</v>
      </c>
      <c r="AE34" t="n">
        <v>89.4472621743624</v>
      </c>
      <c r="AF34"/>
    </row>
    <row r="35">
      <c r="A35" t="s">
        <v>174</v>
      </c>
      <c r="B35" t="s">
        <v>283</v>
      </c>
      <c r="C35" t="s">
        <v>175</v>
      </c>
      <c r="D35" t="s">
        <v>284</v>
      </c>
      <c r="E35" t="s">
        <v>24</v>
      </c>
      <c r="F35" t="n">
        <v>52.9131801120287</v>
      </c>
      <c r="G35" t="n">
        <v>54.4057669866744</v>
      </c>
      <c r="H35" t="n">
        <v>56.7271362221266</v>
      </c>
      <c r="I35" t="n">
        <v>60.4053185609366</v>
      </c>
      <c r="J35" t="n">
        <v>64.0431820065098</v>
      </c>
      <c r="K35" t="n">
        <v>68.122681476093</v>
      </c>
      <c r="L35" t="n">
        <v>72.3540919389984</v>
      </c>
      <c r="M35" t="n">
        <v>77.3191272313336</v>
      </c>
      <c r="N35" t="n">
        <v>81.615595774738</v>
      </c>
      <c r="O35" t="n">
        <v>85.8975771633079</v>
      </c>
      <c r="P35" t="n">
        <v>89.7933695235024</v>
      </c>
      <c r="Q35" t="n">
        <v>91.9367009344897</v>
      </c>
      <c r="R35" t="n">
        <v>93.0352016962605</v>
      </c>
      <c r="S35" t="n">
        <v>94.3834475198795</v>
      </c>
      <c r="T35" t="n">
        <v>93.2775216392084</v>
      </c>
      <c r="U35" t="n">
        <v>93.6426837824334</v>
      </c>
      <c r="V35" t="n">
        <v>93.0939653415022</v>
      </c>
      <c r="W35" t="n">
        <v>94.4397864855435</v>
      </c>
      <c r="X35" t="n">
        <v>96.0539977339467</v>
      </c>
      <c r="Y35" t="n">
        <v>97.5019751746235</v>
      </c>
      <c r="Z35" t="n">
        <v>100</v>
      </c>
      <c r="AA35" t="n">
        <v>101.225297625526</v>
      </c>
      <c r="AB35" t="n">
        <v>101.339148923569</v>
      </c>
      <c r="AC35" t="n">
        <v>100.227756268559</v>
      </c>
      <c r="AD35" t="n">
        <v>99.5767875714166</v>
      </c>
      <c r="AE35" t="n">
        <v>97.2545005713405</v>
      </c>
      <c r="AF35"/>
    </row>
    <row r="36">
      <c r="A36" t="s">
        <v>176</v>
      </c>
      <c r="B36" t="s">
        <v>283</v>
      </c>
      <c r="C36" t="s">
        <v>177</v>
      </c>
      <c r="D36" t="s">
        <v>284</v>
      </c>
      <c r="E36" t="s">
        <v>24</v>
      </c>
      <c r="F36" t="n">
        <v>72.5749219101013</v>
      </c>
      <c r="G36" t="n">
        <v>75.3975462641251</v>
      </c>
      <c r="H36" t="n">
        <v>78.0261413674728</v>
      </c>
      <c r="I36" t="n">
        <v>80.0387924564592</v>
      </c>
      <c r="J36" t="n">
        <v>81.5079341193225</v>
      </c>
      <c r="K36" t="n">
        <v>84.2588725060608</v>
      </c>
      <c r="L36" t="n">
        <v>86.1028829678652</v>
      </c>
      <c r="M36" t="n">
        <v>88.3533046062168</v>
      </c>
      <c r="N36" t="n">
        <v>90.1123594979803</v>
      </c>
      <c r="O36" t="n">
        <v>91.5657953964959</v>
      </c>
      <c r="P36" t="n">
        <v>93.3788574992532</v>
      </c>
      <c r="Q36" t="n">
        <v>94.7362158576801</v>
      </c>
      <c r="R36" t="n">
        <v>95.5552233250114</v>
      </c>
      <c r="S36" t="n">
        <v>96.3359712876834</v>
      </c>
      <c r="T36" t="n">
        <v>96.2833764001618</v>
      </c>
      <c r="U36" t="n">
        <v>97.0341537100843</v>
      </c>
      <c r="V36" t="n">
        <v>97.1766621347197</v>
      </c>
      <c r="W36" t="n">
        <v>97.6957653271946</v>
      </c>
      <c r="X36" t="n">
        <v>98.0207798195994</v>
      </c>
      <c r="Y36" t="n">
        <v>99.1229080182554</v>
      </c>
      <c r="Z36" t="n">
        <v>100</v>
      </c>
      <c r="AA36" t="n">
        <v>100.647845416625</v>
      </c>
      <c r="AB36" t="n">
        <v>100.15079514136</v>
      </c>
      <c r="AC36" t="n">
        <v>99.3939126632389</v>
      </c>
      <c r="AD36" t="n">
        <v>99.2168830210461</v>
      </c>
      <c r="AE36" t="n">
        <v>97.0514401027072</v>
      </c>
      <c r="AF36"/>
    </row>
    <row r="37">
      <c r="A37" t="s">
        <v>178</v>
      </c>
      <c r="B37" t="s">
        <v>283</v>
      </c>
      <c r="C37" t="s">
        <v>179</v>
      </c>
      <c r="D37" t="s">
        <v>284</v>
      </c>
      <c r="E37" t="s">
        <v>24</v>
      </c>
      <c r="F37" t="n">
        <v>71.5110860305265</v>
      </c>
      <c r="G37" t="n">
        <v>67.7779515757938</v>
      </c>
      <c r="H37" t="n">
        <v>65.968882866953</v>
      </c>
      <c r="I37" t="n">
        <v>66.6363882715946</v>
      </c>
      <c r="J37" t="n">
        <v>71.9203297065745</v>
      </c>
      <c r="K37" t="n">
        <v>79.3493888795088</v>
      </c>
      <c r="L37" t="n">
        <v>84.7162334220477</v>
      </c>
      <c r="M37" t="n">
        <v>88.9755801707888</v>
      </c>
      <c r="N37" t="n">
        <v>92.8337002176026</v>
      </c>
      <c r="O37" t="n">
        <v>93.5090371404479</v>
      </c>
      <c r="P37" t="n">
        <v>92.3446104781281</v>
      </c>
      <c r="Q37" t="n">
        <v>91.3896174503272</v>
      </c>
      <c r="R37" t="n">
        <v>89.8991107433602</v>
      </c>
      <c r="S37" t="n">
        <v>89.7530505350335</v>
      </c>
      <c r="T37" t="n">
        <v>87.9995786578493</v>
      </c>
      <c r="U37" t="n">
        <v>86.0518819491752</v>
      </c>
      <c r="V37" t="n">
        <v>85.1525435836912</v>
      </c>
      <c r="W37" t="n">
        <v>87.6010435573932</v>
      </c>
      <c r="X37" t="n">
        <v>89.829005780516</v>
      </c>
      <c r="Y37" t="n">
        <v>93.9030862999674</v>
      </c>
      <c r="Z37" t="n">
        <v>100</v>
      </c>
      <c r="AA37" t="n">
        <v>103.811251371032</v>
      </c>
      <c r="AB37" t="n">
        <v>104.81563858975</v>
      </c>
      <c r="AC37" t="n">
        <v>102.950204522886</v>
      </c>
      <c r="AD37" t="n">
        <v>101.266160919746</v>
      </c>
      <c r="AE37" t="n">
        <v>98.0182157201119</v>
      </c>
      <c r="AF37"/>
    </row>
    <row r="38">
      <c r="A38" t="s">
        <v>180</v>
      </c>
      <c r="B38" t="s">
        <v>283</v>
      </c>
      <c r="C38" t="s">
        <v>181</v>
      </c>
      <c r="D38" t="s">
        <v>284</v>
      </c>
      <c r="E38" t="s">
        <v>24</v>
      </c>
      <c r="F38" t="n">
        <v>41.7969660987142</v>
      </c>
      <c r="G38" t="n">
        <v>44.035834240311</v>
      </c>
      <c r="H38" t="n">
        <v>47.2085809423339</v>
      </c>
      <c r="I38" t="n">
        <v>52.2270472342982</v>
      </c>
      <c r="J38" t="n">
        <v>56.2816380215632</v>
      </c>
      <c r="K38" t="n">
        <v>60.0808219615774</v>
      </c>
      <c r="L38" t="n">
        <v>64.8590882329144</v>
      </c>
      <c r="M38" t="n">
        <v>70.8657350691062</v>
      </c>
      <c r="N38" t="n">
        <v>76.1051582099267</v>
      </c>
      <c r="O38" t="n">
        <v>82.1407580329645</v>
      </c>
      <c r="P38" t="n">
        <v>87.8949025040027</v>
      </c>
      <c r="Q38" t="n">
        <v>91.0260141370835</v>
      </c>
      <c r="R38" t="n">
        <v>92.8182769296604</v>
      </c>
      <c r="S38" t="n">
        <v>94.7077644618452</v>
      </c>
      <c r="T38" t="n">
        <v>93.3784134659445</v>
      </c>
      <c r="U38" t="n">
        <v>94.1324193832784</v>
      </c>
      <c r="V38" t="n">
        <v>93.4187839856861</v>
      </c>
      <c r="W38" t="n">
        <v>94.8165681897395</v>
      </c>
      <c r="X38" t="n">
        <v>96.7590269211213</v>
      </c>
      <c r="Y38" t="n">
        <v>97.7285745571825</v>
      </c>
      <c r="Z38" t="n">
        <v>100</v>
      </c>
      <c r="AA38" t="n">
        <v>100.851036910203</v>
      </c>
      <c r="AB38" t="n">
        <v>100.983596532693</v>
      </c>
      <c r="AC38" t="n">
        <v>99.912735994193</v>
      </c>
      <c r="AD38" t="n">
        <v>99.3150546524457</v>
      </c>
      <c r="AE38" t="n">
        <v>97.1341308592372</v>
      </c>
      <c r="AF38"/>
    </row>
    <row r="39">
      <c r="A39" t="s">
        <v>182</v>
      </c>
      <c r="B39" t="s">
        <v>283</v>
      </c>
      <c r="C39" t="s">
        <v>183</v>
      </c>
      <c r="D39" t="s">
        <v>284</v>
      </c>
      <c r="E39" t="s">
        <v>24</v>
      </c>
      <c r="F39" t="n">
        <v>45.1321596845686</v>
      </c>
      <c r="G39" t="n">
        <v>48.2303353068788</v>
      </c>
      <c r="H39" t="n">
        <v>51.4621239998675</v>
      </c>
      <c r="I39" t="n">
        <v>57.380087231887</v>
      </c>
      <c r="J39" t="n">
        <v>61.3565146045452</v>
      </c>
      <c r="K39" t="n">
        <v>65.2684111904106</v>
      </c>
      <c r="L39" t="n">
        <v>73.9886522422282</v>
      </c>
      <c r="M39" t="n">
        <v>81.7047259133454</v>
      </c>
      <c r="N39" t="n">
        <v>90.085822506691</v>
      </c>
      <c r="O39" t="n">
        <v>96.5083427344327</v>
      </c>
      <c r="P39" t="n">
        <v>95.8908753884641</v>
      </c>
      <c r="Q39" t="n">
        <v>94.8364682073159</v>
      </c>
      <c r="R39" t="n">
        <v>93.0563990809203</v>
      </c>
      <c r="S39" t="n">
        <v>93.1762144342573</v>
      </c>
      <c r="T39" t="n">
        <v>100.220826276378</v>
      </c>
      <c r="U39" t="n">
        <v>102.601708625775</v>
      </c>
      <c r="V39" t="n">
        <v>99.6174283121366</v>
      </c>
      <c r="W39" t="n">
        <v>98.3923142648901</v>
      </c>
      <c r="X39" t="n">
        <v>98.1242734618053</v>
      </c>
      <c r="Y39" t="n">
        <v>98.3684922150488</v>
      </c>
      <c r="Z39" t="n">
        <v>100</v>
      </c>
      <c r="AA39" t="n">
        <v>100.570250214718</v>
      </c>
      <c r="AB39" t="n">
        <v>100.602142117339</v>
      </c>
      <c r="AC39" t="n">
        <v>100.27629619296</v>
      </c>
      <c r="AD39" t="n">
        <v>101.285047572206</v>
      </c>
      <c r="AE39" t="n">
        <v>100.227948609244</v>
      </c>
      <c r="AF39"/>
    </row>
    <row r="40">
      <c r="A40" t="s">
        <v>184</v>
      </c>
      <c r="B40" t="s">
        <v>283</v>
      </c>
      <c r="C40" t="s">
        <v>185</v>
      </c>
      <c r="D40" t="s">
        <v>284</v>
      </c>
      <c r="E40" t="s">
        <v>24</v>
      </c>
      <c r="F40" t="n">
        <v>72.7079781052023</v>
      </c>
      <c r="G40" t="n">
        <v>75.4997520572463</v>
      </c>
      <c r="H40" t="n">
        <v>77.6915084627337</v>
      </c>
      <c r="I40" t="n">
        <v>79.9991291383079</v>
      </c>
      <c r="J40" t="n">
        <v>81.9686632390576</v>
      </c>
      <c r="K40" t="n">
        <v>88.0518029832918</v>
      </c>
      <c r="L40" t="n">
        <v>92.2904560044125</v>
      </c>
      <c r="M40" t="n">
        <v>95.3156207346304</v>
      </c>
      <c r="N40" t="n">
        <v>99.6340450221085</v>
      </c>
      <c r="O40" t="n">
        <v>103.537704507884</v>
      </c>
      <c r="P40" t="n">
        <v>108.964269775959</v>
      </c>
      <c r="Q40" t="n">
        <v>115.613439790604</v>
      </c>
      <c r="R40" t="n">
        <v>124.723870843579</v>
      </c>
      <c r="S40" t="n">
        <v>129.638959508807</v>
      </c>
      <c r="T40" t="n">
        <v>124.513547756397</v>
      </c>
      <c r="U40" t="n">
        <v>117.889056917654</v>
      </c>
      <c r="V40" t="n">
        <v>114.550520371021</v>
      </c>
      <c r="W40" t="n">
        <v>112.661256175974</v>
      </c>
      <c r="X40" t="n">
        <v>110.169303127943</v>
      </c>
      <c r="Y40" t="n">
        <v>100.731150034166</v>
      </c>
      <c r="Z40" t="n">
        <v>100</v>
      </c>
      <c r="AA40" t="n">
        <v>98.9412992953412</v>
      </c>
      <c r="AB40" t="n">
        <v>98.7128411667827</v>
      </c>
      <c r="AC40" t="n">
        <v>104.282294842623</v>
      </c>
      <c r="AD40" t="n">
        <v>107.335613844171</v>
      </c>
      <c r="AE40" t="n">
        <v>107.253220549743</v>
      </c>
      <c r="AF40"/>
    </row>
    <row r="41">
      <c r="A41" t="s">
        <v>186</v>
      </c>
      <c r="B41" t="s">
        <v>283</v>
      </c>
      <c r="C41" t="s">
        <v>187</v>
      </c>
      <c r="D41" t="s">
        <v>284</v>
      </c>
      <c r="E41" t="s">
        <v>24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283</v>
      </c>
      <c r="C42" t="s">
        <v>189</v>
      </c>
      <c r="D42" t="s">
        <v>284</v>
      </c>
      <c r="E42" t="s">
        <v>24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283</v>
      </c>
      <c r="C43" t="s">
        <v>191</v>
      </c>
      <c r="D43" t="s">
        <v>284</v>
      </c>
      <c r="E43" t="s">
        <v>24</v>
      </c>
      <c r="F43" t="n">
        <v>72.2961734694158</v>
      </c>
      <c r="G43" t="n">
        <v>74.0707660776193</v>
      </c>
      <c r="H43" t="n">
        <v>76.1102668084073</v>
      </c>
      <c r="I43" t="n">
        <v>78.5194370495118</v>
      </c>
      <c r="J43" t="n">
        <v>81.0686901074433</v>
      </c>
      <c r="K43" t="n">
        <v>83.3389196313656</v>
      </c>
      <c r="L43" t="n">
        <v>86.1003555576323</v>
      </c>
      <c r="M43" t="n">
        <v>89.0410343369952</v>
      </c>
      <c r="N43" t="n">
        <v>90.987209123923</v>
      </c>
      <c r="O43" t="n">
        <v>93.0048230393292</v>
      </c>
      <c r="P43" t="n">
        <v>94.4073562781832</v>
      </c>
      <c r="Q43" t="n">
        <v>95.0988968672362</v>
      </c>
      <c r="R43" t="n">
        <v>95.358215856581</v>
      </c>
      <c r="S43" t="n">
        <v>95.5182774705525</v>
      </c>
      <c r="T43" t="n">
        <v>95.4534955694669</v>
      </c>
      <c r="U43" t="n">
        <v>94.7434278378137</v>
      </c>
      <c r="V43" t="n">
        <v>93.9826555027869</v>
      </c>
      <c r="W43" t="n">
        <v>94.4298805885724</v>
      </c>
      <c r="X43" t="n">
        <v>95.7514134807679</v>
      </c>
      <c r="Y43" t="n">
        <v>96.6594970523737</v>
      </c>
      <c r="Z43" t="n">
        <v>100</v>
      </c>
      <c r="AA43" t="n">
        <v>101.152633249251</v>
      </c>
      <c r="AB43" t="n">
        <v>101.325470478149</v>
      </c>
      <c r="AC43" t="n">
        <v>101.29744292166</v>
      </c>
      <c r="AD43" t="n">
        <v>101.703585503042</v>
      </c>
      <c r="AE43" t="n">
        <v>101.037920780492</v>
      </c>
      <c r="AF43"/>
    </row>
    <row r="44">
      <c r="A44" t="s">
        <v>192</v>
      </c>
      <c r="B44" t="s">
        <v>283</v>
      </c>
      <c r="C44" t="s">
        <v>193</v>
      </c>
      <c r="D44" t="s">
        <v>284</v>
      </c>
      <c r="E44" t="s">
        <v>24</v>
      </c>
      <c r="F44" t="n">
        <v>61.4115829412045</v>
      </c>
      <c r="G44" t="n">
        <v>63.4919884800976</v>
      </c>
      <c r="H44" t="n">
        <v>66.0995968505527</v>
      </c>
      <c r="I44" t="n">
        <v>69.2501620922943</v>
      </c>
      <c r="J44" t="n">
        <v>72.0031128795039</v>
      </c>
      <c r="K44" t="n">
        <v>74.8718113768004</v>
      </c>
      <c r="L44" t="n">
        <v>78.3599857358013</v>
      </c>
      <c r="M44" t="n">
        <v>81.7837832525522</v>
      </c>
      <c r="N44" t="n">
        <v>84.7837671972589</v>
      </c>
      <c r="O44" t="n">
        <v>87.3540985751227</v>
      </c>
      <c r="P44" t="n">
        <v>89.9404933345671</v>
      </c>
      <c r="Q44" t="n">
        <v>92.2275479294996</v>
      </c>
      <c r="R44" t="n">
        <v>94.3809922296977</v>
      </c>
      <c r="S44" t="n">
        <v>96.219996109838</v>
      </c>
      <c r="T44" t="n">
        <v>96.5686719280576</v>
      </c>
      <c r="U44" t="n">
        <v>96.4682821666928</v>
      </c>
      <c r="V44" t="n">
        <v>96.0488115269332</v>
      </c>
      <c r="W44" t="n">
        <v>96.3737309674905</v>
      </c>
      <c r="X44" t="n">
        <v>97.286563588154</v>
      </c>
      <c r="Y44" t="n">
        <v>98.3832513630732</v>
      </c>
      <c r="Z44" t="n">
        <v>100</v>
      </c>
      <c r="AA44" t="n">
        <v>100.901567197657</v>
      </c>
      <c r="AB44" t="n">
        <v>101.404855044911</v>
      </c>
      <c r="AC44" t="n">
        <v>101.862064258907</v>
      </c>
      <c r="AD44" t="n">
        <v>102.461169064868</v>
      </c>
      <c r="AE44" t="n">
        <v>102.168263939792</v>
      </c>
      <c r="AF44"/>
    </row>
    <row r="45">
      <c r="A45" t="s">
        <v>194</v>
      </c>
      <c r="B45" t="s">
        <v>283</v>
      </c>
      <c r="C45" t="s">
        <v>195</v>
      </c>
      <c r="D45" t="s">
        <v>284</v>
      </c>
      <c r="E45" t="s">
        <v>24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283</v>
      </c>
      <c r="C46" t="s">
        <v>197</v>
      </c>
      <c r="D46" t="s">
        <v>284</v>
      </c>
      <c r="E46" t="s">
        <v>24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283</v>
      </c>
      <c r="C47" t="s">
        <v>199</v>
      </c>
      <c r="D47" t="s">
        <v>284</v>
      </c>
      <c r="E47" t="s">
        <v>24</v>
      </c>
      <c r="F47" t="n">
        <v>50.0309846230217</v>
      </c>
      <c r="G47" t="n">
        <v>58.4067973653041</v>
      </c>
      <c r="H47" t="n">
        <v>67.7021822989249</v>
      </c>
      <c r="I47" t="n">
        <v>77.9857135768117</v>
      </c>
      <c r="J47" t="n">
        <v>84.1426117426017</v>
      </c>
      <c r="K47" t="n">
        <v>95.4031512596531</v>
      </c>
      <c r="L47" t="n">
        <v>108.575894726813</v>
      </c>
      <c r="M47" t="n">
        <v>112.829517376985</v>
      </c>
      <c r="N47" t="n">
        <v>120.855412813507</v>
      </c>
      <c r="O47" t="n">
        <v>126.949009968966</v>
      </c>
      <c r="P47" t="n">
        <v>125.154776134969</v>
      </c>
      <c r="Q47" t="n">
        <v>122.744863593047</v>
      </c>
      <c r="R47" t="n">
        <v>118.136088007228</v>
      </c>
      <c r="S47" t="n">
        <v>111.995294555972</v>
      </c>
      <c r="T47" t="n">
        <v>105.945030796289</v>
      </c>
      <c r="U47" t="n">
        <v>107.270781960658</v>
      </c>
      <c r="V47" t="n">
        <v>105.706563299419</v>
      </c>
      <c r="W47" t="n">
        <v>96.0319452440579</v>
      </c>
      <c r="X47" t="n">
        <v>82.8341173870639</v>
      </c>
      <c r="Y47" t="n">
        <v>87.3875382901452</v>
      </c>
      <c r="Z47" t="n">
        <v>100</v>
      </c>
      <c r="AA47" t="n">
        <v>114.814137637032</v>
      </c>
      <c r="AB47" t="n">
        <v>129.969673680306</v>
      </c>
      <c r="AC47" t="n">
        <v>120.027034796438</v>
      </c>
      <c r="AD47" t="n">
        <v>115.947464461211</v>
      </c>
      <c r="AE47" t="n">
        <v>112.004958327954</v>
      </c>
      <c r="AF47"/>
    </row>
    <row r="48">
      <c r="A48" t="s">
        <v>200</v>
      </c>
      <c r="B48" t="s">
        <v>283</v>
      </c>
      <c r="C48" t="s">
        <v>201</v>
      </c>
      <c r="D48" t="s">
        <v>284</v>
      </c>
      <c r="E48" t="s">
        <v>24</v>
      </c>
      <c r="F48" t="n">
        <v>67.5884475883585</v>
      </c>
      <c r="G48" t="n">
        <v>69.7909210194237</v>
      </c>
      <c r="H48" t="n">
        <v>72.4987567505459</v>
      </c>
      <c r="I48" t="n">
        <v>75.6762099035682</v>
      </c>
      <c r="J48" t="n">
        <v>79.2787583741855</v>
      </c>
      <c r="K48" t="n">
        <v>82.4096242361045</v>
      </c>
      <c r="L48" t="n">
        <v>86.3647975740044</v>
      </c>
      <c r="M48" t="n">
        <v>89.6279039192024</v>
      </c>
      <c r="N48" t="n">
        <v>92.3287794318931</v>
      </c>
      <c r="O48" t="n">
        <v>94.189559639837</v>
      </c>
      <c r="P48" t="n">
        <v>95.4680897402899</v>
      </c>
      <c r="Q48" t="n">
        <v>96.0123610949848</v>
      </c>
      <c r="R48" t="n">
        <v>95.9603812248058</v>
      </c>
      <c r="S48" t="n">
        <v>95.4584428813468</v>
      </c>
      <c r="T48" t="n">
        <v>95.4931709589486</v>
      </c>
      <c r="U48" t="n">
        <v>95.5215789439535</v>
      </c>
      <c r="V48" t="n">
        <v>95.5143090677759</v>
      </c>
      <c r="W48" t="n">
        <v>95.7759420470735</v>
      </c>
      <c r="X48" t="n">
        <v>96.1819670075033</v>
      </c>
      <c r="Y48" t="n">
        <v>97.4963595768256</v>
      </c>
      <c r="Z48" t="n">
        <v>100</v>
      </c>
      <c r="AA48" t="n">
        <v>102.072065341611</v>
      </c>
      <c r="AB48" t="n">
        <v>103.471786621416</v>
      </c>
      <c r="AC48" t="n">
        <v>102.80638026332</v>
      </c>
      <c r="AD48" t="n">
        <v>102.526372194891</v>
      </c>
      <c r="AE48" t="n">
        <v>101.84864285732</v>
      </c>
      <c r="AF48"/>
    </row>
    <row r="49">
      <c r="A49" t="s">
        <v>202</v>
      </c>
      <c r="B49" t="s">
        <v>283</v>
      </c>
      <c r="C49" t="s">
        <v>203</v>
      </c>
      <c r="D49" t="s">
        <v>284</v>
      </c>
      <c r="E49" t="s">
        <v>24</v>
      </c>
      <c r="F49" t="n">
        <v>71.9206057932268</v>
      </c>
      <c r="G49" t="n">
        <v>73.8210989454264</v>
      </c>
      <c r="H49" t="n">
        <v>75.7244319918746</v>
      </c>
      <c r="I49" t="n">
        <v>77.8422288405778</v>
      </c>
      <c r="J49" t="n">
        <v>80.1659301481137</v>
      </c>
      <c r="K49" t="n">
        <v>82.0523530363695</v>
      </c>
      <c r="L49" t="n">
        <v>84.1608176044828</v>
      </c>
      <c r="M49" t="n">
        <v>86.6790363986253</v>
      </c>
      <c r="N49" t="n">
        <v>88.3852818847851</v>
      </c>
      <c r="O49" t="n">
        <v>89.7342518429019</v>
      </c>
      <c r="P49" t="n">
        <v>91.317855950887</v>
      </c>
      <c r="Q49" t="n">
        <v>92.6889182719438</v>
      </c>
      <c r="R49" t="n">
        <v>93.840431074072</v>
      </c>
      <c r="S49" t="n">
        <v>94.7340408310614</v>
      </c>
      <c r="T49" t="n">
        <v>96.2946164000588</v>
      </c>
      <c r="U49" t="n">
        <v>96.9598389211216</v>
      </c>
      <c r="V49" t="n">
        <v>97.4972928001971</v>
      </c>
      <c r="W49" t="n">
        <v>98.4672393622544</v>
      </c>
      <c r="X49" t="n">
        <v>99.6293384107124</v>
      </c>
      <c r="Y49" t="n">
        <v>100.252045619523</v>
      </c>
      <c r="Z49" t="n">
        <v>100</v>
      </c>
      <c r="AA49" t="n">
        <v>99.5424334704546</v>
      </c>
      <c r="AB49" t="n">
        <v>98.6875757845347</v>
      </c>
      <c r="AC49" t="n">
        <v>99.6554613345359</v>
      </c>
      <c r="AD49" t="n">
        <v>100.194389942794</v>
      </c>
      <c r="AE49" t="n">
        <v>100.995518080921</v>
      </c>
      <c r="AF49"/>
    </row>
    <row r="50">
      <c r="A50" t="s">
        <v>204</v>
      </c>
      <c r="B50" t="s">
        <v>283</v>
      </c>
      <c r="C50" t="s">
        <v>205</v>
      </c>
      <c r="D50" t="s">
        <v>284</v>
      </c>
      <c r="E50" t="s">
        <v>24</v>
      </c>
      <c r="F50" t="n">
        <v>61.5341118475045</v>
      </c>
      <c r="G50" t="n">
        <v>60.8993743715863</v>
      </c>
      <c r="H50" t="n">
        <v>62.756840869967</v>
      </c>
      <c r="I50" t="n">
        <v>65.8978314076904</v>
      </c>
      <c r="J50" t="n">
        <v>73.4932908535368</v>
      </c>
      <c r="K50" t="n">
        <v>76.3709194618409</v>
      </c>
      <c r="L50" t="n">
        <v>81.5639324777141</v>
      </c>
      <c r="M50" t="n">
        <v>87.2140762019823</v>
      </c>
      <c r="N50" t="n">
        <v>90.3396332657524</v>
      </c>
      <c r="O50" t="n">
        <v>91.4295095203558</v>
      </c>
      <c r="P50" t="n">
        <v>93.5313490855782</v>
      </c>
      <c r="Q50" t="n">
        <v>92.4267772062033</v>
      </c>
      <c r="R50" t="n">
        <v>90.0463749727255</v>
      </c>
      <c r="S50" t="n">
        <v>87.1579573966721</v>
      </c>
      <c r="T50" t="n">
        <v>84.5620073174865</v>
      </c>
      <c r="U50" t="n">
        <v>80.8813262358722</v>
      </c>
      <c r="V50" t="n">
        <v>79.5595802342186</v>
      </c>
      <c r="W50" t="n">
        <v>83.4948624145471</v>
      </c>
      <c r="X50" t="n">
        <v>89.7177994645501</v>
      </c>
      <c r="Y50" t="n">
        <v>91.988198393591</v>
      </c>
      <c r="Z50" t="n">
        <v>100</v>
      </c>
      <c r="AA50" t="n">
        <v>104.684528672585</v>
      </c>
      <c r="AB50" t="n">
        <v>106.790611282084</v>
      </c>
      <c r="AC50" t="n">
        <v>105.414076086028</v>
      </c>
      <c r="AD50" t="n">
        <v>104.381551433549</v>
      </c>
      <c r="AE50" t="n">
        <v>99.9652742518019</v>
      </c>
      <c r="AF50"/>
    </row>
    <row r="51">
      <c r="A51" t="s">
        <v>206</v>
      </c>
      <c r="B51" t="s">
        <v>283</v>
      </c>
      <c r="C51" t="s">
        <v>207</v>
      </c>
      <c r="D51" t="s">
        <v>284</v>
      </c>
      <c r="E51" t="s">
        <v>24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283</v>
      </c>
      <c r="C52" t="s">
        <v>209</v>
      </c>
      <c r="D52" t="s">
        <v>284</v>
      </c>
      <c r="E52" t="s">
        <v>24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283</v>
      </c>
      <c r="C53" t="s">
        <v>211</v>
      </c>
      <c r="D53" t="s">
        <v>284</v>
      </c>
      <c r="E53" t="s">
        <v>24</v>
      </c>
      <c r="F53" t="n">
        <v>45.6779241025671</v>
      </c>
      <c r="G53" t="n">
        <v>49.7349566889759</v>
      </c>
      <c r="H53" t="n">
        <v>54.6879288344614</v>
      </c>
      <c r="I53" t="n">
        <v>60.0132317041094</v>
      </c>
      <c r="J53" t="n">
        <v>65.2432112015771</v>
      </c>
      <c r="K53" t="n">
        <v>70.2030091575819</v>
      </c>
      <c r="L53" t="n">
        <v>75.9517859420317</v>
      </c>
      <c r="M53" t="n">
        <v>81.7103827071226</v>
      </c>
      <c r="N53" t="n">
        <v>86.5678870788375</v>
      </c>
      <c r="O53" t="n">
        <v>92.434341533466</v>
      </c>
      <c r="P53" t="n">
        <v>96.6767072319345</v>
      </c>
      <c r="Q53" t="n">
        <v>100.233793623865</v>
      </c>
      <c r="R53" t="n">
        <v>102.126880402104</v>
      </c>
      <c r="S53" t="n">
        <v>104.19377352079</v>
      </c>
      <c r="T53" t="n">
        <v>103.955185888963</v>
      </c>
      <c r="U53" t="n">
        <v>101.832797777959</v>
      </c>
      <c r="V53" t="n">
        <v>98.8525652350895</v>
      </c>
      <c r="W53" t="n">
        <v>97.3141943950791</v>
      </c>
      <c r="X53" t="n">
        <v>97.5275569955706</v>
      </c>
      <c r="Y53" t="n">
        <v>96.9562348137469</v>
      </c>
      <c r="Z53" t="n">
        <v>100</v>
      </c>
      <c r="AA53" t="n">
        <v>102.377431150469</v>
      </c>
      <c r="AB53" t="n">
        <v>104.013294880617</v>
      </c>
      <c r="AC53" t="n">
        <v>107.265803310731</v>
      </c>
      <c r="AD53" t="n">
        <v>111.729442739485</v>
      </c>
      <c r="AE53" t="n">
        <v>112.925954586648</v>
      </c>
      <c r="AF53"/>
    </row>
    <row r="54">
      <c r="A54" t="s">
        <v>212</v>
      </c>
      <c r="B54" t="s">
        <v>283</v>
      </c>
      <c r="C54" t="s">
        <v>213</v>
      </c>
      <c r="D54" t="s">
        <v>284</v>
      </c>
      <c r="E54" t="s">
        <v>24</v>
      </c>
      <c r="F54" t="n">
        <v>42.4410962487267</v>
      </c>
      <c r="G54" t="n">
        <v>45.7057810999221</v>
      </c>
      <c r="H54" t="n">
        <v>50.2506803094522</v>
      </c>
      <c r="I54" t="n">
        <v>55.8435324092604</v>
      </c>
      <c r="J54" t="n">
        <v>61.3970568610248</v>
      </c>
      <c r="K54" t="n">
        <v>66.3086436916197</v>
      </c>
      <c r="L54" t="n">
        <v>71.088529063676</v>
      </c>
      <c r="M54" t="n">
        <v>76.2404079535482</v>
      </c>
      <c r="N54" t="n">
        <v>80.6068242539777</v>
      </c>
      <c r="O54" t="n">
        <v>85.9318325841081</v>
      </c>
      <c r="P54" t="n">
        <v>90.770668649747</v>
      </c>
      <c r="Q54" t="n">
        <v>94.0101803896316</v>
      </c>
      <c r="R54" t="n">
        <v>96.7194439276067</v>
      </c>
      <c r="S54" t="n">
        <v>99.1719410308207</v>
      </c>
      <c r="T54" t="n">
        <v>99.0254595951406</v>
      </c>
      <c r="U54" t="n">
        <v>97.5492514453293</v>
      </c>
      <c r="V54" t="n">
        <v>96.0972978413609</v>
      </c>
      <c r="W54" t="n">
        <v>96.3883501914268</v>
      </c>
      <c r="X54" t="n">
        <v>96.8738649718918</v>
      </c>
      <c r="Y54" t="n">
        <v>96.4828978574216</v>
      </c>
      <c r="Z54" t="n">
        <v>100</v>
      </c>
      <c r="AA54" t="n">
        <v>102.078973334866</v>
      </c>
      <c r="AB54" t="n">
        <v>103.704218374624</v>
      </c>
      <c r="AC54" t="n">
        <v>107.56683389832</v>
      </c>
      <c r="AD54" t="n">
        <v>113.169745298081</v>
      </c>
      <c r="AE54" t="n">
        <v>116.029713755265</v>
      </c>
      <c r="AF54"/>
    </row>
    <row r="55">
      <c r="A55" t="s">
        <v>214</v>
      </c>
      <c r="B55" t="s">
        <v>283</v>
      </c>
      <c r="C55" t="s">
        <v>215</v>
      </c>
      <c r="D55" t="s">
        <v>284</v>
      </c>
      <c r="E55" t="s">
        <v>24</v>
      </c>
      <c r="F55" t="n">
        <v>29.6859281949644</v>
      </c>
      <c r="G55" t="n">
        <v>29.8477343098694</v>
      </c>
      <c r="H55" t="n">
        <v>32.7671039794926</v>
      </c>
      <c r="I55" t="n">
        <v>39.4595457868276</v>
      </c>
      <c r="J55" t="n">
        <v>46.2624235735704</v>
      </c>
      <c r="K55" t="n">
        <v>50.9446386652948</v>
      </c>
      <c r="L55" t="n">
        <v>52.0669726156486</v>
      </c>
      <c r="M55" t="n">
        <v>54.9013035050282</v>
      </c>
      <c r="N55" t="n">
        <v>57.3824311424131</v>
      </c>
      <c r="O55" t="n">
        <v>60.6114624840725</v>
      </c>
      <c r="P55" t="n">
        <v>67.7889045207133</v>
      </c>
      <c r="Q55" t="n">
        <v>69.7855360621426</v>
      </c>
      <c r="R55" t="n">
        <v>75.709693811801</v>
      </c>
      <c r="S55" t="n">
        <v>79.6635021505269</v>
      </c>
      <c r="T55" t="n">
        <v>79.8725030711725</v>
      </c>
      <c r="U55" t="n">
        <v>80.8747581979267</v>
      </c>
      <c r="V55" t="n">
        <v>85.2937876402124</v>
      </c>
      <c r="W55" t="n">
        <v>92.7128660886788</v>
      </c>
      <c r="X55" t="n">
        <v>94.274718165331</v>
      </c>
      <c r="Y55" t="n">
        <v>94.6023779055583</v>
      </c>
      <c r="Z55" t="n">
        <v>100</v>
      </c>
      <c r="AA55" t="n">
        <v>100.900012603481</v>
      </c>
      <c r="AB55" t="n">
        <v>102.484735060366</v>
      </c>
      <c r="AC55" t="n">
        <v>108.713994423502</v>
      </c>
      <c r="AD55" t="n">
        <v>118.681959402575</v>
      </c>
      <c r="AE55" t="n">
        <v>127.897191849722</v>
      </c>
      <c r="AF55"/>
    </row>
    <row r="56">
      <c r="A56" t="s">
        <v>216</v>
      </c>
      <c r="B56" t="s">
        <v>283</v>
      </c>
      <c r="C56" t="s">
        <v>217</v>
      </c>
      <c r="D56" t="s">
        <v>284</v>
      </c>
      <c r="E56" t="s">
        <v>24</v>
      </c>
      <c r="F56" t="n">
        <v>100</v>
      </c>
      <c r="G56" t="n">
        <v>100</v>
      </c>
      <c r="H56" t="n">
        <v>100</v>
      </c>
      <c r="I56" t="n">
        <v>100</v>
      </c>
      <c r="J56" t="n">
        <v>100</v>
      </c>
      <c r="K56" t="n">
        <v>100</v>
      </c>
      <c r="L56" t="n">
        <v>100</v>
      </c>
      <c r="M56" t="n">
        <v>100</v>
      </c>
      <c r="N56" t="n">
        <v>100</v>
      </c>
      <c r="O56" t="n">
        <v>100</v>
      </c>
      <c r="P56" t="n">
        <v>100</v>
      </c>
      <c r="Q56" t="n">
        <v>100</v>
      </c>
      <c r="R56" t="n">
        <v>100</v>
      </c>
      <c r="S56" t="n">
        <v>100</v>
      </c>
      <c r="T56" t="n">
        <v>100</v>
      </c>
      <c r="U56" t="n">
        <v>100</v>
      </c>
      <c r="V56" t="n">
        <v>100</v>
      </c>
      <c r="W56" t="n">
        <v>100</v>
      </c>
      <c r="X56" t="n">
        <v>100</v>
      </c>
      <c r="Y56" t="n">
        <v>100</v>
      </c>
      <c r="Z56" t="n">
        <v>100</v>
      </c>
      <c r="AA56" t="n">
        <v>100</v>
      </c>
      <c r="AB56" t="n">
        <v>100</v>
      </c>
      <c r="AC56" t="n">
        <v>100</v>
      </c>
      <c r="AD56" t="n">
        <v>100</v>
      </c>
      <c r="AE56" t="n">
        <v>100</v>
      </c>
      <c r="AF56"/>
    </row>
    <row r="57">
      <c r="A57" t="s">
        <v>218</v>
      </c>
      <c r="B57" t="s">
        <v>283</v>
      </c>
      <c r="C57" t="s">
        <v>219</v>
      </c>
      <c r="D57" t="s">
        <v>284</v>
      </c>
      <c r="E57" t="s">
        <v>24</v>
      </c>
      <c r="F57" t="n">
        <v>62.107136136004</v>
      </c>
      <c r="G57" t="n">
        <v>64.202457117228</v>
      </c>
      <c r="H57" t="n">
        <v>66.8196349040283</v>
      </c>
      <c r="I57" t="n">
        <v>69.9706391414034</v>
      </c>
      <c r="J57" t="n">
        <v>72.8139389677524</v>
      </c>
      <c r="K57" t="n">
        <v>75.7205990492519</v>
      </c>
      <c r="L57" t="n">
        <v>79.2622298801016</v>
      </c>
      <c r="M57" t="n">
        <v>82.6678288729056</v>
      </c>
      <c r="N57" t="n">
        <v>85.6398124930854</v>
      </c>
      <c r="O57" t="n">
        <v>88.1368996849059</v>
      </c>
      <c r="P57" t="n">
        <v>90.5888850888425</v>
      </c>
      <c r="Q57" t="n">
        <v>92.6975568829037</v>
      </c>
      <c r="R57" t="n">
        <v>94.628295513305</v>
      </c>
      <c r="S57" t="n">
        <v>96.2201354367434</v>
      </c>
      <c r="T57" t="n">
        <v>96.5207685144659</v>
      </c>
      <c r="U57" t="n">
        <v>96.4177247695112</v>
      </c>
      <c r="V57" t="n">
        <v>96.0356337259221</v>
      </c>
      <c r="W57" t="n">
        <v>96.3482899961476</v>
      </c>
      <c r="X57" t="n">
        <v>97.1985602261542</v>
      </c>
      <c r="Y57" t="n">
        <v>98.2931250797648</v>
      </c>
      <c r="Z57" t="n">
        <v>100</v>
      </c>
      <c r="AA57" t="n">
        <v>101.024254384748</v>
      </c>
      <c r="AB57" t="n">
        <v>101.62607784046</v>
      </c>
      <c r="AC57" t="n">
        <v>101.97651634185</v>
      </c>
      <c r="AD57" t="n">
        <v>102.48771006172</v>
      </c>
      <c r="AE57" t="n">
        <v>102.153626441105</v>
      </c>
      <c r="AF57"/>
    </row>
    <row r="58">
      <c r="A58" t="s">
        <v>220</v>
      </c>
      <c r="B58" t="s">
        <v>283</v>
      </c>
      <c r="C58" t="s">
        <v>221</v>
      </c>
      <c r="D58" t="s">
        <v>284</v>
      </c>
      <c r="E58" t="s">
        <v>24</v>
      </c>
      <c r="F58" t="n">
        <v>62.107136136004</v>
      </c>
      <c r="G58" t="n">
        <v>64.202457117228</v>
      </c>
      <c r="H58" t="n">
        <v>66.8196349040283</v>
      </c>
      <c r="I58" t="n">
        <v>69.9706391414034</v>
      </c>
      <c r="J58" t="n">
        <v>72.8139389677524</v>
      </c>
      <c r="K58" t="n">
        <v>75.7205990492519</v>
      </c>
      <c r="L58" t="n">
        <v>79.2622298801016</v>
      </c>
      <c r="M58" t="n">
        <v>82.6678288729056</v>
      </c>
      <c r="N58" t="n">
        <v>85.6398124930854</v>
      </c>
      <c r="O58" t="n">
        <v>88.1368996849059</v>
      </c>
      <c r="P58" t="n">
        <v>90.5888850888425</v>
      </c>
      <c r="Q58" t="n">
        <v>92.6975568829037</v>
      </c>
      <c r="R58" t="n">
        <v>94.628295513305</v>
      </c>
      <c r="S58" t="n">
        <v>96.2201354367434</v>
      </c>
      <c r="T58" t="n">
        <v>96.5207685144659</v>
      </c>
      <c r="U58" t="n">
        <v>96.4177247695112</v>
      </c>
      <c r="V58" t="n">
        <v>96.0356337259221</v>
      </c>
      <c r="W58" t="n">
        <v>96.3482899961476</v>
      </c>
      <c r="X58" t="n">
        <v>97.1985602261542</v>
      </c>
      <c r="Y58" t="n">
        <v>98.2931250797648</v>
      </c>
      <c r="Z58" t="n">
        <v>100</v>
      </c>
      <c r="AA58" t="n">
        <v>101.024254384748</v>
      </c>
      <c r="AB58" t="n">
        <v>101.62607784046</v>
      </c>
      <c r="AC58" t="n">
        <v>101.97651634185</v>
      </c>
      <c r="AD58" t="n">
        <v>102.48771006172</v>
      </c>
      <c r="AE58" t="n">
        <v>102.153626441105</v>
      </c>
      <c r="AF58"/>
    </row>
    <row r="59">
      <c r="A59" t="s">
        <v>222</v>
      </c>
      <c r="B59" t="s">
        <v>283</v>
      </c>
      <c r="C59" t="s">
        <v>223</v>
      </c>
      <c r="D59" t="s">
        <v>284</v>
      </c>
      <c r="E59" t="s">
        <v>24</v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100</v>
      </c>
      <c r="M59" t="n">
        <v>100</v>
      </c>
      <c r="N59" t="n">
        <v>100</v>
      </c>
      <c r="O59" t="n">
        <v>100</v>
      </c>
      <c r="P59" t="n">
        <v>100</v>
      </c>
      <c r="Q59" t="n">
        <v>100</v>
      </c>
      <c r="R59" t="n">
        <v>100</v>
      </c>
      <c r="S59" t="n">
        <v>100</v>
      </c>
      <c r="T59" t="n">
        <v>100</v>
      </c>
      <c r="U59" t="n">
        <v>100</v>
      </c>
      <c r="V59" t="n">
        <v>100</v>
      </c>
      <c r="W59" t="n">
        <v>100</v>
      </c>
      <c r="X59" t="n">
        <v>100</v>
      </c>
      <c r="Y59" t="n">
        <v>100</v>
      </c>
      <c r="Z59" t="n">
        <v>100</v>
      </c>
      <c r="AA59" t="n">
        <v>100</v>
      </c>
      <c r="AB59" t="n">
        <v>100</v>
      </c>
      <c r="AC59" t="n">
        <v>100</v>
      </c>
      <c r="AD59" t="n">
        <v>100</v>
      </c>
      <c r="AE59" t="n">
        <v>100</v>
      </c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283</v>
      </c>
      <c r="C2" t="s">
        <v>108</v>
      </c>
      <c r="D2" t="s">
        <v>284</v>
      </c>
      <c r="E2" t="s">
        <v>39</v>
      </c>
      <c r="F2" t="n">
        <v>-7.83126789954931</v>
      </c>
      <c r="G2" t="n">
        <v>6.01880681031126</v>
      </c>
      <c r="H2" t="n">
        <v>-1.99634952224077</v>
      </c>
      <c r="I2" t="n">
        <v>1.46346007540625</v>
      </c>
      <c r="J2" t="n">
        <v>-0.583880145366145</v>
      </c>
      <c r="K2" t="n">
        <v>6.86534667669374</v>
      </c>
      <c r="L2" t="n">
        <v>-7.77702720328435</v>
      </c>
      <c r="M2" t="n">
        <v>5.75196658973418</v>
      </c>
      <c r="N2" t="n">
        <v>-9.94706364795803</v>
      </c>
      <c r="O2" t="n">
        <v>-10.6064556554809</v>
      </c>
      <c r="P2" t="n">
        <v>-0.0160904421022678</v>
      </c>
      <c r="Q2" t="n">
        <v>-1.08669852493133</v>
      </c>
      <c r="R2" t="n">
        <v>6.04063091986102</v>
      </c>
      <c r="S2" t="n">
        <v>7.31273528307277</v>
      </c>
      <c r="T2" t="n">
        <v>-7.5174680444988</v>
      </c>
      <c r="U2" t="n">
        <v>-4.94534255708903</v>
      </c>
      <c r="V2" t="n">
        <v>1.51639654016922</v>
      </c>
      <c r="W2" t="n">
        <v>-1.05248700298599</v>
      </c>
      <c r="X2" t="n">
        <v>-1.50183461012325</v>
      </c>
      <c r="Y2" t="n">
        <v>-5.22031342356151</v>
      </c>
      <c r="Z2" t="n">
        <v>-3.94115752483497</v>
      </c>
      <c r="AA2" t="n">
        <v>-7.74982873985746</v>
      </c>
      <c r="AB2" t="n">
        <v>0.929715812340959</v>
      </c>
      <c r="AC2" t="n">
        <v>-6.66692948130851</v>
      </c>
      <c r="AD2" t="n">
        <v>4.39622732174136</v>
      </c>
      <c r="AE2" t="n">
        <v>-6.68653235811334</v>
      </c>
      <c r="AF2" t="n">
        <v>3.87481290204086</v>
      </c>
    </row>
    <row r="3">
      <c r="A3" t="s">
        <v>110</v>
      </c>
      <c r="B3" t="s">
        <v>283</v>
      </c>
      <c r="C3" t="s">
        <v>111</v>
      </c>
      <c r="D3" t="s">
        <v>284</v>
      </c>
      <c r="E3" t="s">
        <v>39</v>
      </c>
      <c r="F3" t="n">
        <v>-4.65919535596093</v>
      </c>
      <c r="G3" t="n">
        <v>6.51718692721825</v>
      </c>
      <c r="H3" t="n">
        <v>-4.06625372533842</v>
      </c>
      <c r="I3" t="n">
        <v>-4.93336377470452</v>
      </c>
      <c r="J3" t="n">
        <v>-1.27623976019162</v>
      </c>
      <c r="K3" t="n">
        <v>10.6776226749073</v>
      </c>
      <c r="L3" t="n">
        <v>4.83282842163479</v>
      </c>
      <c r="M3" t="n">
        <v>-8.1220502211492</v>
      </c>
      <c r="N3" t="n">
        <v>-2.26572753807623</v>
      </c>
      <c r="O3" t="n">
        <v>-18.1116158801819</v>
      </c>
      <c r="P3" t="n">
        <v>1.56860007576789</v>
      </c>
      <c r="Q3" t="n">
        <v>-3.37047253814724</v>
      </c>
      <c r="R3" t="n">
        <v>-8.57282552603298</v>
      </c>
      <c r="S3" t="n">
        <v>-13.5960107805262</v>
      </c>
      <c r="T3" t="n">
        <v>-57.2407506693116</v>
      </c>
      <c r="U3" t="n">
        <v>4.65052672848252</v>
      </c>
      <c r="V3" t="n">
        <v>1.75689055206458</v>
      </c>
      <c r="W3" t="n">
        <v>-7.52936840702407</v>
      </c>
      <c r="X3" t="n">
        <v>13.130605119245</v>
      </c>
      <c r="Y3" t="n">
        <v>1.76948080686685</v>
      </c>
      <c r="Z3" t="n">
        <v>-5.13863655068239</v>
      </c>
      <c r="AA3" t="n">
        <v>-8.45714744624253</v>
      </c>
      <c r="AB3" t="n">
        <v>7.582823393696</v>
      </c>
      <c r="AC3" t="n">
        <v>-2.07986578887311</v>
      </c>
      <c r="AD3" t="n">
        <v>-5.4939984110792</v>
      </c>
      <c r="AE3" t="n">
        <v>-4.99568195075586</v>
      </c>
      <c r="AF3" t="n">
        <v>-5.39148709316546</v>
      </c>
    </row>
    <row r="4">
      <c r="A4" t="s">
        <v>112</v>
      </c>
      <c r="B4" t="s">
        <v>283</v>
      </c>
      <c r="C4" t="s">
        <v>113</v>
      </c>
      <c r="D4" t="s">
        <v>284</v>
      </c>
      <c r="E4" t="s">
        <v>39</v>
      </c>
      <c r="F4" t="n">
        <v>4.79488045947711</v>
      </c>
      <c r="G4" t="n">
        <v>3.90185421334692</v>
      </c>
      <c r="H4" t="n">
        <v>2.30456189940931</v>
      </c>
      <c r="I4" t="n">
        <v>-4.14652877650141</v>
      </c>
      <c r="J4" t="n">
        <v>-0.929311433618452</v>
      </c>
      <c r="K4" t="n">
        <v>5.0059803237076</v>
      </c>
      <c r="L4" t="n">
        <v>-5.31490156942489</v>
      </c>
      <c r="M4" t="n">
        <v>-1.37528894956596</v>
      </c>
      <c r="N4" t="n">
        <v>4.23806432706577</v>
      </c>
      <c r="O4" t="n">
        <v>5.25090238611554</v>
      </c>
      <c r="P4" t="n">
        <v>4.76572305592633</v>
      </c>
      <c r="Q4" t="n">
        <v>3.75614298379645</v>
      </c>
      <c r="R4" t="n">
        <v>5.03316312759594</v>
      </c>
      <c r="S4" t="n">
        <v>-0.239895374101806</v>
      </c>
      <c r="T4" t="n">
        <v>-19.7152990865458</v>
      </c>
      <c r="U4" t="n">
        <v>15.1295691560168</v>
      </c>
      <c r="V4" t="n">
        <v>-3.02400183828979</v>
      </c>
      <c r="W4" t="n">
        <v>2.10173971596603</v>
      </c>
      <c r="X4" t="n">
        <v>-0.558463173303991</v>
      </c>
      <c r="Y4" t="n">
        <v>2.27263487603402</v>
      </c>
      <c r="Z4" t="n">
        <v>2.83798395676911</v>
      </c>
      <c r="AA4" t="n">
        <v>0.0751412827248998</v>
      </c>
      <c r="AB4" t="n">
        <v>4.0410023022023</v>
      </c>
      <c r="AC4" t="n">
        <v>3.34238183937323</v>
      </c>
      <c r="AD4" t="n">
        <v>-1.83491888783038</v>
      </c>
      <c r="AE4" t="n">
        <v>-6.24706763866669</v>
      </c>
      <c r="AF4" t="n">
        <v>7.24755451226429</v>
      </c>
    </row>
    <row r="5">
      <c r="A5" t="s">
        <v>114</v>
      </c>
      <c r="B5" t="s">
        <v>283</v>
      </c>
      <c r="C5" t="s">
        <v>115</v>
      </c>
      <c r="D5" t="s">
        <v>284</v>
      </c>
      <c r="E5" t="s">
        <v>39</v>
      </c>
      <c r="F5" t="n">
        <v>5.37285484863048</v>
      </c>
      <c r="G5" t="n">
        <v>1.52349166146806</v>
      </c>
      <c r="H5" t="n">
        <v>-1.36297974749198</v>
      </c>
      <c r="I5" t="n">
        <v>1.03947543389964</v>
      </c>
      <c r="J5" t="n">
        <v>-1.83134015204374</v>
      </c>
      <c r="K5" t="n">
        <v>-2.12133751794035</v>
      </c>
      <c r="L5" t="n">
        <v>0.926249373892318</v>
      </c>
      <c r="M5" t="n">
        <v>-1.53404770001089</v>
      </c>
      <c r="N5" t="n">
        <v>0.590785700343943</v>
      </c>
      <c r="O5" t="n">
        <v>-0.086513643064734</v>
      </c>
      <c r="P5" t="n">
        <v>-2.68274859437341</v>
      </c>
      <c r="Q5" t="n">
        <v>-0.369567316316477</v>
      </c>
      <c r="R5" t="n">
        <v>1.68712423375616</v>
      </c>
      <c r="S5" t="n">
        <v>-5.52769799175934</v>
      </c>
      <c r="T5" t="n">
        <v>-8.75756319857999</v>
      </c>
      <c r="U5" t="n">
        <v>3.78458858734305</v>
      </c>
      <c r="V5" t="n">
        <v>-5.32689280490608</v>
      </c>
      <c r="W5" t="n">
        <v>2.07945461594008</v>
      </c>
      <c r="X5" t="n">
        <v>0.743979822042107</v>
      </c>
      <c r="Y5" t="n">
        <v>1.18591581597727</v>
      </c>
      <c r="Z5" t="n">
        <v>4.5472773886928</v>
      </c>
      <c r="AA5" t="n">
        <v>1.51059473485162</v>
      </c>
      <c r="AB5" t="n">
        <v>1.70622016976658</v>
      </c>
      <c r="AC5" t="n">
        <v>-0.530472078887101</v>
      </c>
      <c r="AD5" t="n">
        <v>-0.177641241319293</v>
      </c>
      <c r="AE5" t="n">
        <v>-7.6353606433063</v>
      </c>
      <c r="AF5" t="n">
        <v>3.29041018477589</v>
      </c>
    </row>
    <row r="6">
      <c r="A6" t="s">
        <v>116</v>
      </c>
      <c r="B6" t="s">
        <v>283</v>
      </c>
      <c r="C6" t="s">
        <v>117</v>
      </c>
      <c r="D6" t="s">
        <v>284</v>
      </c>
      <c r="E6" t="s">
        <v>39</v>
      </c>
      <c r="F6" t="n">
        <v>-4.22974356480506</v>
      </c>
      <c r="G6" t="n">
        <v>-6.50071835914741</v>
      </c>
      <c r="H6" t="n">
        <v>-7.82978545036244</v>
      </c>
      <c r="I6" t="n">
        <v>-8.39063720200457</v>
      </c>
      <c r="J6" t="n">
        <v>-17.9689068960137</v>
      </c>
      <c r="K6" t="n">
        <v>-9.58608256602638</v>
      </c>
      <c r="L6" t="n">
        <v>-14.7169700516693</v>
      </c>
      <c r="M6" t="n">
        <v>-11.2827734315406</v>
      </c>
      <c r="N6" t="n">
        <v>-3.98567072235298</v>
      </c>
      <c r="O6" t="n">
        <v>-4.47585495132437</v>
      </c>
      <c r="P6" t="n">
        <v>-10.1124209372822</v>
      </c>
      <c r="Q6" t="n">
        <v>-1.31324551305934</v>
      </c>
      <c r="R6" t="n">
        <v>2.10437343990968</v>
      </c>
      <c r="S6" t="n">
        <v>-3.24967307350157</v>
      </c>
      <c r="T6" t="n">
        <v>-23.7647076108791</v>
      </c>
      <c r="U6" t="n">
        <v>-3.48481146675059</v>
      </c>
      <c r="V6" t="n">
        <v>4.65774258844984</v>
      </c>
      <c r="W6" t="n">
        <v>-0.754856433433382</v>
      </c>
      <c r="X6" t="n">
        <v>-4.95402087311252</v>
      </c>
      <c r="Y6" t="n">
        <v>0.398504390063259</v>
      </c>
      <c r="Z6" t="n">
        <v>11.3794280366932</v>
      </c>
      <c r="AA6" t="n">
        <v>-18.7211877695162</v>
      </c>
      <c r="AB6" t="n">
        <v>-2.1631881314228</v>
      </c>
      <c r="AC6" t="n">
        <v>6.98493796845785</v>
      </c>
      <c r="AD6" t="n">
        <v>-0.693996135893826</v>
      </c>
      <c r="AE6" t="n">
        <v>-10.215278388042</v>
      </c>
      <c r="AF6" t="n">
        <v>-10.6616304079877</v>
      </c>
    </row>
    <row r="7">
      <c r="A7" t="s">
        <v>118</v>
      </c>
      <c r="B7" t="s">
        <v>283</v>
      </c>
      <c r="C7" t="s">
        <v>119</v>
      </c>
      <c r="D7" t="s">
        <v>284</v>
      </c>
      <c r="E7" t="s">
        <v>39</v>
      </c>
      <c r="F7" t="n">
        <v>4.76157287461803</v>
      </c>
      <c r="G7" t="n">
        <v>0.788493026739978</v>
      </c>
      <c r="H7" t="n">
        <v>-2.17351028338584</v>
      </c>
      <c r="I7" t="n">
        <v>-1.72860897253706</v>
      </c>
      <c r="J7" t="n">
        <v>-7.44430591119212</v>
      </c>
      <c r="K7" t="n">
        <v>1.19824252611949</v>
      </c>
      <c r="L7" t="n">
        <v>-5.49109564192563</v>
      </c>
      <c r="M7" t="n">
        <v>-5.96144214883108</v>
      </c>
      <c r="N7" t="n">
        <v>-2.50664237898697</v>
      </c>
      <c r="O7" t="n">
        <v>-0.109354155654273</v>
      </c>
      <c r="P7" t="n">
        <v>4.51032869008152</v>
      </c>
      <c r="Q7" t="n">
        <v>-3.79497282704584</v>
      </c>
      <c r="R7" t="n">
        <v>-2.72181206959932</v>
      </c>
      <c r="S7" t="n">
        <v>-3.41922592380399</v>
      </c>
      <c r="T7" t="n">
        <v>-13.0244052373833</v>
      </c>
      <c r="U7" t="n">
        <v>6.15941770860484</v>
      </c>
      <c r="V7" t="n">
        <v>-4.27071358528757</v>
      </c>
      <c r="W7" t="n">
        <v>-3.29776459941833</v>
      </c>
      <c r="X7" t="n">
        <v>4.31087182336487</v>
      </c>
      <c r="Y7" t="n">
        <v>0.300551960906326</v>
      </c>
      <c r="Z7" t="n">
        <v>8.73600852655994</v>
      </c>
      <c r="AA7" t="n">
        <v>-3.30535374747232</v>
      </c>
      <c r="AB7" t="n">
        <v>0.984162566065727</v>
      </c>
      <c r="AC7" t="n">
        <v>-0.782510117852553</v>
      </c>
      <c r="AD7" t="n">
        <v>-1.31956640153454</v>
      </c>
      <c r="AE7" t="n">
        <v>-12.884286290015</v>
      </c>
      <c r="AF7" t="n">
        <v>-1.73074126616584</v>
      </c>
    </row>
    <row r="8">
      <c r="A8" t="s">
        <v>120</v>
      </c>
      <c r="B8" t="s">
        <v>283</v>
      </c>
      <c r="C8" t="s">
        <v>121</v>
      </c>
      <c r="D8" t="s">
        <v>284</v>
      </c>
      <c r="E8" t="s">
        <v>39</v>
      </c>
      <c r="F8" t="n">
        <v>-4.76362662153722</v>
      </c>
      <c r="G8" t="n">
        <v>14.1864038984648</v>
      </c>
      <c r="H8" t="n">
        <v>2.60506970454095</v>
      </c>
      <c r="I8" t="n">
        <v>-15.5792253525593</v>
      </c>
      <c r="J8" t="n">
        <v>-10.4067915945009</v>
      </c>
      <c r="K8" t="n">
        <v>0.427259450805373</v>
      </c>
      <c r="L8" t="n">
        <v>-7.44574721031359</v>
      </c>
      <c r="M8" t="n">
        <v>-10.9252952921006</v>
      </c>
      <c r="N8" t="n">
        <v>-13.0256285311608</v>
      </c>
      <c r="O8" t="n">
        <v>-7.98610759299176</v>
      </c>
      <c r="P8" t="n">
        <v>-2.92324447856984</v>
      </c>
      <c r="Q8" t="n">
        <v>3.71013437192449</v>
      </c>
      <c r="R8" t="n">
        <v>-7.21593343993341</v>
      </c>
      <c r="S8" t="n">
        <v>-1.50644699217466</v>
      </c>
      <c r="T8" t="n">
        <v>4.29209107713184</v>
      </c>
      <c r="U8" t="n">
        <v>4.84294706270987</v>
      </c>
      <c r="V8" t="n">
        <v>-7.86638995824802</v>
      </c>
      <c r="W8" t="n">
        <v>8.46015384340415</v>
      </c>
      <c r="X8" t="n">
        <v>26.0219157277746</v>
      </c>
      <c r="Y8" t="n">
        <v>-13.0801137697663</v>
      </c>
      <c r="Z8" t="n">
        <v>-18.8360637921624</v>
      </c>
      <c r="AA8" t="n">
        <v>1.2728752320049</v>
      </c>
      <c r="AB8" t="n">
        <v>1.91102360664104</v>
      </c>
      <c r="AC8" t="n">
        <v>0.239038416895809</v>
      </c>
      <c r="AD8" t="n">
        <v>-2.62048942570097</v>
      </c>
      <c r="AE8" t="n">
        <v>-4.3647102600378</v>
      </c>
      <c r="AF8" t="n">
        <v>12.8958146690952</v>
      </c>
    </row>
    <row r="9">
      <c r="A9" t="s">
        <v>122</v>
      </c>
      <c r="B9" t="s">
        <v>283</v>
      </c>
      <c r="C9" t="s">
        <v>123</v>
      </c>
      <c r="D9" t="s">
        <v>284</v>
      </c>
      <c r="E9" t="s">
        <v>39</v>
      </c>
      <c r="F9" t="n">
        <v>-3.55973515602503</v>
      </c>
      <c r="G9" t="n">
        <v>4.24042428854996</v>
      </c>
      <c r="H9" t="n">
        <v>3.5044453586309</v>
      </c>
      <c r="I9" t="n">
        <v>-6.16756939030463</v>
      </c>
      <c r="J9" t="n">
        <v>4.71811068876491</v>
      </c>
      <c r="K9" t="n">
        <v>-9.8639667520116</v>
      </c>
      <c r="L9" t="n">
        <v>-1.46238758770529</v>
      </c>
      <c r="M9" t="n">
        <v>1.41728441506217</v>
      </c>
      <c r="N9" t="n">
        <v>-0.747997441488302</v>
      </c>
      <c r="O9" t="n">
        <v>-4.73122849805314</v>
      </c>
      <c r="P9" t="n">
        <v>-0.682378374169623</v>
      </c>
      <c r="Q9" t="n">
        <v>-2.79300160696501</v>
      </c>
      <c r="R9" t="n">
        <v>0.592936634101271</v>
      </c>
      <c r="S9" t="n">
        <v>-4.36992006773807</v>
      </c>
      <c r="T9" t="n">
        <v>-7.6522632803135</v>
      </c>
      <c r="U9" t="n">
        <v>9.45205447280912</v>
      </c>
      <c r="V9" t="n">
        <v>-4.86082800826644</v>
      </c>
      <c r="W9" t="n">
        <v>5.58455882674718</v>
      </c>
      <c r="X9" t="n">
        <v>1.52065991478736</v>
      </c>
      <c r="Y9" t="n">
        <v>0.232944358731402</v>
      </c>
      <c r="Z9" t="n">
        <v>12.5783487150496</v>
      </c>
      <c r="AA9" t="n">
        <v>7.72987552801148</v>
      </c>
      <c r="AB9" t="n">
        <v>-1.80049358460241</v>
      </c>
      <c r="AC9" t="n">
        <v>3.67247208847097</v>
      </c>
      <c r="AD9" t="n">
        <v>9.52448467231157</v>
      </c>
      <c r="AE9" t="n">
        <v>-0.928474822153724</v>
      </c>
      <c r="AF9" t="n">
        <v>-4.29043888768756</v>
      </c>
    </row>
    <row r="10">
      <c r="A10" t="s">
        <v>124</v>
      </c>
      <c r="B10" t="s">
        <v>283</v>
      </c>
      <c r="C10" t="s">
        <v>125</v>
      </c>
      <c r="D10" t="s">
        <v>284</v>
      </c>
      <c r="E10" t="s">
        <v>39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283</v>
      </c>
      <c r="C11" t="s">
        <v>127</v>
      </c>
      <c r="D11" t="s">
        <v>284</v>
      </c>
      <c r="E11" t="s">
        <v>39</v>
      </c>
      <c r="F11" t="n">
        <v>10.1389690494489</v>
      </c>
      <c r="G11" t="n">
        <v>4.63663981652598</v>
      </c>
      <c r="H11" t="n">
        <v>2.08000447308887</v>
      </c>
      <c r="I11" t="n">
        <v>1.39187533462657</v>
      </c>
      <c r="J11" t="n">
        <v>4.55870294288641</v>
      </c>
      <c r="K11" t="n">
        <v>12.9141423182157</v>
      </c>
      <c r="L11" t="n">
        <v>0.0285462909866752</v>
      </c>
      <c r="M11" t="n">
        <v>6.75243763987865</v>
      </c>
      <c r="N11" t="n">
        <v>6.90525758178548</v>
      </c>
      <c r="O11" t="n">
        <v>3.8351461148407</v>
      </c>
      <c r="P11" t="n">
        <v>-0.840443038166683</v>
      </c>
      <c r="Q11" t="n">
        <v>9.26101504599721</v>
      </c>
      <c r="R11" t="n">
        <v>0.146097800095646</v>
      </c>
      <c r="S11" t="n">
        <v>7.08630273927433</v>
      </c>
      <c r="T11" t="n">
        <v>0.816079173118922</v>
      </c>
      <c r="U11" t="n">
        <v>13.0170080495622</v>
      </c>
      <c r="V11" t="n">
        <v>0.939040598944807</v>
      </c>
      <c r="W11" t="n">
        <v>-0.364221798567321</v>
      </c>
      <c r="X11" t="n">
        <v>1.81615726910369</v>
      </c>
      <c r="Y11" t="n">
        <v>-2.0237561577332</v>
      </c>
      <c r="Z11" t="n">
        <v>5.42168868369046</v>
      </c>
      <c r="AA11" t="n">
        <v>10.1564918148831</v>
      </c>
      <c r="AB11" t="n">
        <v>3.09658770130916</v>
      </c>
      <c r="AC11" t="n">
        <v>8.29467437980647</v>
      </c>
      <c r="AD11" t="n">
        <v>0.298576807465523</v>
      </c>
      <c r="AE11" t="n">
        <v>12.8997593067952</v>
      </c>
      <c r="AF11" t="n">
        <v>4.04526068052249</v>
      </c>
    </row>
    <row r="12">
      <c r="A12" t="s">
        <v>128</v>
      </c>
      <c r="B12" t="s">
        <v>283</v>
      </c>
      <c r="C12" t="s">
        <v>129</v>
      </c>
      <c r="D12" t="s">
        <v>284</v>
      </c>
      <c r="E12" t="s">
        <v>39</v>
      </c>
      <c r="F12" t="n">
        <v>0.31078576954684</v>
      </c>
      <c r="G12" t="n">
        <v>-0.315251045791953</v>
      </c>
      <c r="H12" t="n">
        <v>-2.21208061369786</v>
      </c>
      <c r="I12" t="n">
        <v>-8.13570929421363</v>
      </c>
      <c r="J12" t="n">
        <v>-6.81585095538608</v>
      </c>
      <c r="K12" t="n">
        <v>4.57918831377615</v>
      </c>
      <c r="L12" t="n">
        <v>-6.51796100080695</v>
      </c>
      <c r="M12" t="n">
        <v>-4.48760336361929</v>
      </c>
      <c r="N12" t="n">
        <v>3.66158128864367</v>
      </c>
      <c r="O12" t="n">
        <v>8.35470067392396</v>
      </c>
      <c r="P12" t="n">
        <v>0.0116113288960662</v>
      </c>
      <c r="Q12" t="n">
        <v>-1.13952786690916</v>
      </c>
      <c r="R12" t="n">
        <v>7.62346898361201</v>
      </c>
      <c r="S12" t="n">
        <v>-3.8017573563776</v>
      </c>
      <c r="T12" t="n">
        <v>-31.8666573698453</v>
      </c>
      <c r="U12" t="n">
        <v>15.821166709226</v>
      </c>
      <c r="V12" t="n">
        <v>3.17901642341258</v>
      </c>
      <c r="W12" t="n">
        <v>-1.40192007805684</v>
      </c>
      <c r="X12" t="n">
        <v>4.66410348774797</v>
      </c>
      <c r="Y12" t="n">
        <v>3.04748873908185</v>
      </c>
      <c r="Z12" t="n">
        <v>4.19559659803124</v>
      </c>
      <c r="AA12" t="n">
        <v>-2.64186791773362</v>
      </c>
      <c r="AB12" t="n">
        <v>8.59454575890144</v>
      </c>
      <c r="AC12" t="n">
        <v>4.32783732284641</v>
      </c>
      <c r="AD12" t="n">
        <v>-2.72096831681985</v>
      </c>
      <c r="AE12" t="n">
        <v>-3.17058835570592</v>
      </c>
      <c r="AF12" t="n">
        <v>7.3215741080535</v>
      </c>
    </row>
    <row r="13">
      <c r="A13" t="s">
        <v>130</v>
      </c>
      <c r="B13" t="s">
        <v>283</v>
      </c>
      <c r="C13" t="s">
        <v>131</v>
      </c>
      <c r="D13" t="s">
        <v>284</v>
      </c>
      <c r="E13" t="s">
        <v>39</v>
      </c>
      <c r="F13" t="n">
        <v>4.43850592400459</v>
      </c>
      <c r="G13" t="n">
        <v>1.70227274814998</v>
      </c>
      <c r="H13" t="n">
        <v>2.20177536932376</v>
      </c>
      <c r="I13" t="n">
        <v>-10.9783594721659</v>
      </c>
      <c r="J13" t="n">
        <v>-1.093254045065</v>
      </c>
      <c r="K13" t="n">
        <v>7.08649181297396</v>
      </c>
      <c r="L13" t="n">
        <v>-6.48683813002897</v>
      </c>
      <c r="M13" t="n">
        <v>-7.60738673722194</v>
      </c>
      <c r="N13" t="n">
        <v>1.1310752483098</v>
      </c>
      <c r="O13" t="n">
        <v>3.10853205884882</v>
      </c>
      <c r="P13" t="n">
        <v>7.39779956824691</v>
      </c>
      <c r="Q13" t="n">
        <v>3.67650714875687</v>
      </c>
      <c r="R13" t="n">
        <v>2.48468665020667</v>
      </c>
      <c r="S13" t="n">
        <v>-2.04341160930781</v>
      </c>
      <c r="T13" t="n">
        <v>-26.8306997281606</v>
      </c>
      <c r="U13" t="n">
        <v>24.9531667640895</v>
      </c>
      <c r="V13" t="n">
        <v>-14.7221717608552</v>
      </c>
      <c r="W13" t="n">
        <v>7.53148865403936</v>
      </c>
      <c r="X13" t="n">
        <v>2.13344471477086</v>
      </c>
      <c r="Y13" t="n">
        <v>1.74313879448427</v>
      </c>
      <c r="Z13" t="n">
        <v>-0.943557374908366</v>
      </c>
      <c r="AA13" t="n">
        <v>-0.615957405364398</v>
      </c>
      <c r="AB13" t="n">
        <v>1.51816306702592</v>
      </c>
      <c r="AC13" t="n">
        <v>-3.35857278256526</v>
      </c>
      <c r="AD13" t="n">
        <v>-4.90366838438199</v>
      </c>
      <c r="AE13" t="n">
        <v>-11.9262607793718</v>
      </c>
      <c r="AF13" t="n">
        <v>10.4281696142998</v>
      </c>
    </row>
    <row r="14">
      <c r="A14" t="s">
        <v>132</v>
      </c>
      <c r="B14" t="s">
        <v>283</v>
      </c>
      <c r="C14" t="s">
        <v>133</v>
      </c>
      <c r="D14" t="s">
        <v>284</v>
      </c>
      <c r="E14" t="s">
        <v>39</v>
      </c>
      <c r="F14" t="n">
        <v>14.8382685712082</v>
      </c>
      <c r="G14" t="n">
        <v>16.4161816723039</v>
      </c>
      <c r="H14" t="n">
        <v>13.173682333052</v>
      </c>
      <c r="I14" t="n">
        <v>0.953457438327732</v>
      </c>
      <c r="J14" t="n">
        <v>7.80514320129324</v>
      </c>
      <c r="K14" t="n">
        <v>16.6321152465517</v>
      </c>
      <c r="L14" t="n">
        <v>-10.9903208924608</v>
      </c>
      <c r="M14" t="n">
        <v>7.41004946663395</v>
      </c>
      <c r="N14" t="n">
        <v>22.5919849837242</v>
      </c>
      <c r="O14" t="n">
        <v>16.6590397650355</v>
      </c>
      <c r="P14" t="n">
        <v>10.0606762908949</v>
      </c>
      <c r="Q14" t="n">
        <v>11.9653238991969</v>
      </c>
      <c r="R14" t="n">
        <v>14.4738433786445</v>
      </c>
      <c r="S14" t="n">
        <v>4.94825495328257</v>
      </c>
      <c r="T14" t="n">
        <v>-14.0588173181063</v>
      </c>
      <c r="U14" t="n">
        <v>22.5842688005413</v>
      </c>
      <c r="V14" t="n">
        <v>-0.265109203473202</v>
      </c>
      <c r="W14" t="n">
        <v>-3.92424517884713</v>
      </c>
      <c r="X14" t="n">
        <v>-2.44392041558008</v>
      </c>
      <c r="Y14" t="n">
        <v>8.24927206208415</v>
      </c>
      <c r="Z14" t="n">
        <v>5.3172820432426</v>
      </c>
      <c r="AA14" t="n">
        <v>0.76152677062673</v>
      </c>
      <c r="AB14" t="n">
        <v>-1.81158175073044</v>
      </c>
      <c r="AC14" t="n">
        <v>9.92512112870934</v>
      </c>
      <c r="AD14" t="n">
        <v>-4.3165654926419</v>
      </c>
      <c r="AE14" t="n">
        <v>1.68951653987008</v>
      </c>
      <c r="AF14" t="n">
        <v>14.4334177677642</v>
      </c>
    </row>
    <row r="15">
      <c r="A15" t="s">
        <v>134</v>
      </c>
      <c r="B15" t="s">
        <v>283</v>
      </c>
      <c r="C15" t="s">
        <v>135</v>
      </c>
      <c r="D15" t="s">
        <v>284</v>
      </c>
      <c r="E15" t="s">
        <v>39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283</v>
      </c>
      <c r="C16" t="s">
        <v>137</v>
      </c>
      <c r="D16" t="s">
        <v>284</v>
      </c>
      <c r="E16" t="s">
        <v>39</v>
      </c>
      <c r="F16" t="n">
        <v>7.22876695835062</v>
      </c>
      <c r="G16" t="n">
        <v>-1.76778060360476</v>
      </c>
      <c r="H16" t="n">
        <v>2.71160124607466</v>
      </c>
      <c r="I16" t="n">
        <v>-4.95333694157569</v>
      </c>
      <c r="J16" t="n">
        <v>-4.41863591018752</v>
      </c>
      <c r="K16" t="n">
        <v>7.14735614924198</v>
      </c>
      <c r="L16" t="n">
        <v>-9.00475636677367</v>
      </c>
      <c r="M16" t="n">
        <v>-6.96628219350846</v>
      </c>
      <c r="N16" t="n">
        <v>8.9604380927188</v>
      </c>
      <c r="O16" t="n">
        <v>7.34080417455161</v>
      </c>
      <c r="P16" t="n">
        <v>6.28895701871421</v>
      </c>
      <c r="Q16" t="n">
        <v>9.48278561974938</v>
      </c>
      <c r="R16" t="n">
        <v>6.59545435429809</v>
      </c>
      <c r="S16" t="n">
        <v>-5.49357808118547</v>
      </c>
      <c r="T16" t="n">
        <v>-21.0987599783943</v>
      </c>
      <c r="U16" t="n">
        <v>17.479100710089</v>
      </c>
      <c r="V16" t="n">
        <v>2.59308969582985</v>
      </c>
      <c r="W16" t="n">
        <v>1.06938195989237</v>
      </c>
      <c r="X16" t="n">
        <v>-1.38150982748773</v>
      </c>
      <c r="Y16" t="n">
        <v>12.1495565573177</v>
      </c>
      <c r="Z16" t="n">
        <v>-1.00742032578225</v>
      </c>
      <c r="AA16" t="n">
        <v>1.19846871608615</v>
      </c>
      <c r="AB16" t="n">
        <v>12.6632433931158</v>
      </c>
      <c r="AC16" t="n">
        <v>9.65748272234954</v>
      </c>
      <c r="AD16" t="n">
        <v>-2.06196338605835</v>
      </c>
      <c r="AE16" t="n">
        <v>-7.79750977510538</v>
      </c>
      <c r="AF16" t="n">
        <v>3.74317088613161</v>
      </c>
    </row>
    <row r="17">
      <c r="A17" t="s">
        <v>138</v>
      </c>
      <c r="B17" t="s">
        <v>283</v>
      </c>
      <c r="C17" t="s">
        <v>139</v>
      </c>
      <c r="D17" t="s">
        <v>284</v>
      </c>
      <c r="E17" t="s">
        <v>39</v>
      </c>
      <c r="F17" t="n">
        <v>7.76535631806965</v>
      </c>
      <c r="G17" t="n">
        <v>5.20070509585722</v>
      </c>
      <c r="H17" t="n">
        <v>3.19812274220723</v>
      </c>
      <c r="I17" t="n">
        <v>-7.27317169673931</v>
      </c>
      <c r="J17" t="n">
        <v>-4.0074102511845</v>
      </c>
      <c r="K17" t="n">
        <v>6.70884174029638</v>
      </c>
      <c r="L17" t="n">
        <v>-7.04461104101597</v>
      </c>
      <c r="M17" t="n">
        <v>-11.0870839099437</v>
      </c>
      <c r="N17" t="n">
        <v>8.65778572102016</v>
      </c>
      <c r="O17" t="n">
        <v>10.5379099033332</v>
      </c>
      <c r="P17" t="n">
        <v>7.53105989476133</v>
      </c>
      <c r="Q17" t="n">
        <v>8.4600368982958</v>
      </c>
      <c r="R17" t="n">
        <v>7.2450515665345</v>
      </c>
      <c r="S17" t="n">
        <v>4.23680358681224</v>
      </c>
      <c r="T17" t="n">
        <v>-37.0462617895793</v>
      </c>
      <c r="U17" t="n">
        <v>16.0500820006398</v>
      </c>
      <c r="V17" t="n">
        <v>11.2166214989081</v>
      </c>
      <c r="W17" t="n">
        <v>-1.61208530513832</v>
      </c>
      <c r="X17" t="n">
        <v>-6.42608158876037</v>
      </c>
      <c r="Y17" t="n">
        <v>2.49018010361652</v>
      </c>
      <c r="Z17" t="n">
        <v>4.71760712411182</v>
      </c>
      <c r="AA17" t="n">
        <v>-2.75082239428919</v>
      </c>
      <c r="AB17" t="n">
        <v>10.247221326863</v>
      </c>
      <c r="AC17" t="n">
        <v>7.02778505600818</v>
      </c>
      <c r="AD17" t="n">
        <v>-3.49546577853346</v>
      </c>
      <c r="AE17" t="n">
        <v>-10.5885057964539</v>
      </c>
      <c r="AF17" t="n">
        <v>13.50300417587</v>
      </c>
    </row>
    <row r="18">
      <c r="A18" t="s">
        <v>140</v>
      </c>
      <c r="B18" t="s">
        <v>283</v>
      </c>
      <c r="C18" t="s">
        <v>141</v>
      </c>
      <c r="D18" t="s">
        <v>284</v>
      </c>
      <c r="E18" t="s">
        <v>39</v>
      </c>
      <c r="F18" t="n">
        <v>4.17560903259933</v>
      </c>
      <c r="G18" t="n">
        <v>-1.92019103982908</v>
      </c>
      <c r="H18" t="n">
        <v>-3.30467253913227</v>
      </c>
      <c r="I18" t="n">
        <v>1.30625817550438</v>
      </c>
      <c r="J18" t="n">
        <v>4.19336379970723</v>
      </c>
      <c r="K18" t="n">
        <v>4.88135165641701</v>
      </c>
      <c r="L18" t="n">
        <v>0.250087148996059</v>
      </c>
      <c r="M18" t="n">
        <v>10.4909270268838</v>
      </c>
      <c r="N18" t="n">
        <v>-1.75847273160912</v>
      </c>
      <c r="O18" t="n">
        <v>6.63635421845292</v>
      </c>
      <c r="P18" t="n">
        <v>11.3041159925341</v>
      </c>
      <c r="Q18" t="n">
        <v>1.12096724490876</v>
      </c>
      <c r="R18" t="n">
        <v>6.93355734546941</v>
      </c>
      <c r="S18" t="n">
        <v>2.19773092589044</v>
      </c>
      <c r="T18" t="n">
        <v>-28.3992217818067</v>
      </c>
      <c r="U18" t="n">
        <v>20.4200044474995</v>
      </c>
      <c r="V18" t="n">
        <v>-9.95814631083931</v>
      </c>
      <c r="W18" t="n">
        <v>7.62314771794124</v>
      </c>
      <c r="X18" t="n">
        <v>-14.8248316718462</v>
      </c>
      <c r="Y18" t="n">
        <v>2.20907394169245</v>
      </c>
      <c r="Z18" t="n">
        <v>1.58373817204342</v>
      </c>
      <c r="AA18" t="n">
        <v>-0.373025802402438</v>
      </c>
      <c r="AB18" t="n">
        <v>5.70912698578354</v>
      </c>
      <c r="AC18" t="n">
        <v>1.87970509255848</v>
      </c>
      <c r="AD18" t="n">
        <v>-3.0366745784054</v>
      </c>
      <c r="AE18" t="n">
        <v>-9.09967948858679</v>
      </c>
      <c r="AF18" t="n">
        <v>5.34257183722033</v>
      </c>
    </row>
    <row r="19">
      <c r="A19" t="s">
        <v>142</v>
      </c>
      <c r="B19" t="s">
        <v>283</v>
      </c>
      <c r="C19" t="s">
        <v>143</v>
      </c>
      <c r="D19" t="s">
        <v>284</v>
      </c>
      <c r="E19" t="s">
        <v>39</v>
      </c>
      <c r="F19" t="n">
        <v>-4.1727820839558</v>
      </c>
      <c r="G19" t="n">
        <v>7.27160633964079</v>
      </c>
      <c r="H19" t="n">
        <v>10.7150560791489</v>
      </c>
      <c r="I19" t="n">
        <v>-0.868875626519028</v>
      </c>
      <c r="J19" t="n">
        <v>3.42891163430679</v>
      </c>
      <c r="K19" t="n">
        <v>7.00510548689763</v>
      </c>
      <c r="L19" t="n">
        <v>-4.3526001422288</v>
      </c>
      <c r="M19" t="n">
        <v>1.97555866429635</v>
      </c>
      <c r="N19" t="n">
        <v>2.01355217557388</v>
      </c>
      <c r="O19" t="n">
        <v>1.00157911245962</v>
      </c>
      <c r="P19" t="n">
        <v>6.10737545852871</v>
      </c>
      <c r="Q19" t="n">
        <v>-2.9274872766134</v>
      </c>
      <c r="R19" t="n">
        <v>2.39940512094261</v>
      </c>
      <c r="S19" t="n">
        <v>-2.1077267617251</v>
      </c>
      <c r="T19" t="n">
        <v>-26.2164415260482</v>
      </c>
      <c r="U19" t="n">
        <v>4.74212133601881</v>
      </c>
      <c r="V19" t="n">
        <v>2.39449460834571</v>
      </c>
      <c r="W19" t="n">
        <v>-0.744845458254773</v>
      </c>
      <c r="X19" t="n">
        <v>4.95292450002474</v>
      </c>
      <c r="Y19" t="n">
        <v>5.28138722091427</v>
      </c>
      <c r="Z19" t="n">
        <v>0.702161298516657</v>
      </c>
      <c r="AA19" t="n">
        <v>-10.4651016394856</v>
      </c>
      <c r="AB19" t="n">
        <v>9.11330929540881</v>
      </c>
      <c r="AC19" t="n">
        <v>6.7953886473294</v>
      </c>
      <c r="AD19" t="n">
        <v>1.04554941510635</v>
      </c>
      <c r="AE19" t="n">
        <v>-6.45506528524251</v>
      </c>
      <c r="AF19" t="n">
        <v>18.2481560908258</v>
      </c>
    </row>
    <row r="20">
      <c r="A20" t="s">
        <v>144</v>
      </c>
      <c r="B20" t="s">
        <v>283</v>
      </c>
      <c r="C20" t="s">
        <v>145</v>
      </c>
      <c r="D20" t="s">
        <v>284</v>
      </c>
      <c r="E20" t="s">
        <v>39</v>
      </c>
      <c r="F20" t="n">
        <v>4.72696745418268</v>
      </c>
      <c r="G20" t="n">
        <v>8.81289867406139</v>
      </c>
      <c r="H20" t="n">
        <v>3.94889174290363</v>
      </c>
      <c r="I20" t="n">
        <v>4.10674557371955</v>
      </c>
      <c r="J20" t="n">
        <v>1.60172950107658</v>
      </c>
      <c r="K20" t="n">
        <v>2.85756607698495</v>
      </c>
      <c r="L20" t="n">
        <v>2.93813397983342</v>
      </c>
      <c r="M20" t="n">
        <v>0.199308031940504</v>
      </c>
      <c r="N20" t="n">
        <v>-0.114065405166741</v>
      </c>
      <c r="O20" t="n">
        <v>3.79733997598812</v>
      </c>
      <c r="P20" t="n">
        <v>9.13499478424278</v>
      </c>
      <c r="Q20" t="n">
        <v>0.239571199081468</v>
      </c>
      <c r="R20" t="n">
        <v>-9.02663387829534</v>
      </c>
      <c r="S20" t="n">
        <v>8.95628082247413</v>
      </c>
      <c r="T20" t="n">
        <v>-43.05524494422</v>
      </c>
      <c r="U20" t="n">
        <v>17.2920005198133</v>
      </c>
      <c r="V20" t="n">
        <v>-23.8265524373983</v>
      </c>
      <c r="W20" t="n">
        <v>-33.7052907108417</v>
      </c>
      <c r="X20" t="n">
        <v>17.764997629188</v>
      </c>
      <c r="Y20" t="n">
        <v>11.0931415429729</v>
      </c>
      <c r="Z20" t="n">
        <v>-5.75120148822119</v>
      </c>
      <c r="AA20" t="n">
        <v>-1.01690111183519</v>
      </c>
      <c r="AB20" t="n">
        <v>11.1756118590513</v>
      </c>
      <c r="AC20" t="n">
        <v>1.81852830637368</v>
      </c>
      <c r="AD20" t="n">
        <v>-5.02825517310299</v>
      </c>
      <c r="AE20" t="n">
        <v>-6.9646614360467</v>
      </c>
      <c r="AF20" t="n">
        <v>-0.412446629230345</v>
      </c>
    </row>
    <row r="21">
      <c r="A21" t="s">
        <v>146</v>
      </c>
      <c r="B21" t="s">
        <v>283</v>
      </c>
      <c r="C21" t="s">
        <v>147</v>
      </c>
      <c r="D21" t="s">
        <v>284</v>
      </c>
      <c r="E21" t="s">
        <v>39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283</v>
      </c>
      <c r="C22" t="s">
        <v>149</v>
      </c>
      <c r="D22" t="s">
        <v>284</v>
      </c>
      <c r="E22" t="s">
        <v>39</v>
      </c>
      <c r="F22" t="n">
        <v>3.57329487565963</v>
      </c>
      <c r="G22" t="n">
        <v>3.6750503418336</v>
      </c>
      <c r="H22" t="n">
        <v>1.1809193073617</v>
      </c>
      <c r="I22" t="n">
        <v>2.07095264498207</v>
      </c>
      <c r="J22" t="n">
        <v>3.42225203985311</v>
      </c>
      <c r="K22" t="n">
        <v>-0.607071295175565</v>
      </c>
      <c r="L22" t="n">
        <v>1.14253483246731</v>
      </c>
      <c r="M22" t="n">
        <v>-1.3393752828085</v>
      </c>
      <c r="N22" t="n">
        <v>-0.375834918478191</v>
      </c>
      <c r="O22" t="n">
        <v>0.471434380988001</v>
      </c>
      <c r="P22" t="n">
        <v>0.99161729499766</v>
      </c>
      <c r="Q22" t="n">
        <v>0.198035390862472</v>
      </c>
      <c r="R22" t="n">
        <v>1.27728330399766</v>
      </c>
      <c r="S22" t="n">
        <v>-0.233863615284768</v>
      </c>
      <c r="T22" t="n">
        <v>-2.43117901290741</v>
      </c>
      <c r="U22" t="n">
        <v>-1.79264281055449</v>
      </c>
      <c r="V22" t="n">
        <v>1.79414055490152</v>
      </c>
      <c r="W22" t="n">
        <v>-0.065942004828301</v>
      </c>
      <c r="X22" t="n">
        <v>0.968551039835752</v>
      </c>
      <c r="Y22" t="n">
        <v>2.57884038986234</v>
      </c>
      <c r="Z22" t="n">
        <v>0.623010639179711</v>
      </c>
      <c r="AA22" t="n">
        <v>0.287786681932012</v>
      </c>
      <c r="AB22" t="n">
        <v>5.05854955424301</v>
      </c>
      <c r="AC22" t="n">
        <v>3.74845658797849</v>
      </c>
      <c r="AD22" t="n">
        <v>2.01746166858783</v>
      </c>
      <c r="AE22" t="n">
        <v>0.0935024687706232</v>
      </c>
      <c r="AF22" t="n">
        <v>4.53331543267552</v>
      </c>
    </row>
    <row r="23">
      <c r="A23" t="s">
        <v>150</v>
      </c>
      <c r="B23" t="s">
        <v>283</v>
      </c>
      <c r="C23" t="s">
        <v>151</v>
      </c>
      <c r="D23" t="s">
        <v>284</v>
      </c>
      <c r="E23" t="s">
        <v>39</v>
      </c>
      <c r="F23" t="n">
        <v>-2.08491738771564</v>
      </c>
      <c r="G23" t="n">
        <v>2.67009303174035</v>
      </c>
      <c r="H23" t="n">
        <v>-7.06769613214426</v>
      </c>
      <c r="I23" t="n">
        <v>-2.42133594143361</v>
      </c>
      <c r="J23" t="n">
        <v>-1.76454726192752</v>
      </c>
      <c r="K23" t="n">
        <v>-4.00049953470614</v>
      </c>
      <c r="L23" t="n">
        <v>-3.40686502488126</v>
      </c>
      <c r="M23" t="n">
        <v>-4.67627190547759</v>
      </c>
      <c r="N23" t="n">
        <v>-4.59193858213816</v>
      </c>
      <c r="O23" t="n">
        <v>-3.35820591468838</v>
      </c>
      <c r="P23" t="n">
        <v>-3.36821161262613</v>
      </c>
      <c r="Q23" t="n">
        <v>-0.709928200033971</v>
      </c>
      <c r="R23" t="n">
        <v>-7.40025726028577</v>
      </c>
      <c r="S23" t="n">
        <v>-7.41859617875313</v>
      </c>
      <c r="T23" t="n">
        <v>-1.7932588360992</v>
      </c>
      <c r="U23" t="n">
        <v>-5.22877249672042</v>
      </c>
      <c r="V23" t="n">
        <v>0.754896255638826</v>
      </c>
      <c r="W23" t="n">
        <v>-0.543329127926739</v>
      </c>
      <c r="X23" t="n">
        <v>7.57073742999097</v>
      </c>
      <c r="Y23" t="n">
        <v>1.8666565378691</v>
      </c>
      <c r="Z23" t="n">
        <v>3.35656506608224</v>
      </c>
      <c r="AA23" t="n">
        <v>4.51419476992818</v>
      </c>
      <c r="AB23" t="n">
        <v>2.12508650840313</v>
      </c>
      <c r="AC23" t="n">
        <v>-0.682647007879567</v>
      </c>
      <c r="AD23" t="n">
        <v>-0.924238028941815</v>
      </c>
      <c r="AE23" t="n">
        <v>-0.620598663506655</v>
      </c>
      <c r="AF23" t="n">
        <v>-2.88521816487943</v>
      </c>
    </row>
    <row r="24">
      <c r="A24" t="s">
        <v>152</v>
      </c>
      <c r="B24" t="s">
        <v>283</v>
      </c>
      <c r="C24" t="s">
        <v>153</v>
      </c>
      <c r="D24" t="s">
        <v>284</v>
      </c>
      <c r="E24" t="s">
        <v>39</v>
      </c>
      <c r="F24" t="n">
        <v>5.45649235351888</v>
      </c>
      <c r="G24" t="n">
        <v>2.47297938611943</v>
      </c>
      <c r="H24" t="n">
        <v>2.1480092137935</v>
      </c>
      <c r="I24" t="n">
        <v>-2.59320329922659</v>
      </c>
      <c r="J24" t="n">
        <v>0.328039058364027</v>
      </c>
      <c r="K24" t="n">
        <v>-1.81015391476649</v>
      </c>
      <c r="L24" t="n">
        <v>2.4263518426352</v>
      </c>
      <c r="M24" t="n">
        <v>1.15421465996093</v>
      </c>
      <c r="N24" t="n">
        <v>0.362397825909255</v>
      </c>
      <c r="O24" t="n">
        <v>4.27043277604859</v>
      </c>
      <c r="P24" t="n">
        <v>0.585032248359951</v>
      </c>
      <c r="Q24" t="n">
        <v>-4.97481826816468</v>
      </c>
      <c r="R24" t="n">
        <v>-3.58052761588041</v>
      </c>
      <c r="S24" t="n">
        <v>-2.49870941715926</v>
      </c>
      <c r="T24" t="n">
        <v>-5.26510961305426</v>
      </c>
      <c r="U24" t="n">
        <v>2.41608604253258</v>
      </c>
      <c r="V24" t="n">
        <v>1.23778781264683</v>
      </c>
      <c r="W24" t="n">
        <v>2.60738345325109</v>
      </c>
      <c r="X24" t="n">
        <v>1.53363151574695</v>
      </c>
      <c r="Y24" t="n">
        <v>-4.45380072461496</v>
      </c>
      <c r="Z24" t="n">
        <v>1.60324462957284</v>
      </c>
      <c r="AA24" t="n">
        <v>-0.73030778299632</v>
      </c>
      <c r="AB24" t="n">
        <v>3.13769572928067</v>
      </c>
      <c r="AC24" t="n">
        <v>-2.40804832888841</v>
      </c>
      <c r="AD24" t="n">
        <v>-3.05918353232997</v>
      </c>
      <c r="AE24" t="n">
        <v>-4.36116279547925</v>
      </c>
      <c r="AF24" t="n">
        <v>6.35801034615966</v>
      </c>
    </row>
    <row r="25">
      <c r="A25" t="s">
        <v>154</v>
      </c>
      <c r="B25" t="s">
        <v>283</v>
      </c>
      <c r="C25" t="s">
        <v>155</v>
      </c>
      <c r="D25" t="s">
        <v>284</v>
      </c>
      <c r="E25" t="s">
        <v>39</v>
      </c>
      <c r="F25" t="n">
        <v>6.23001319877048</v>
      </c>
      <c r="G25" t="n">
        <v>10.9678996350194</v>
      </c>
      <c r="H25" t="n">
        <v>4.49231598744984</v>
      </c>
      <c r="I25" t="n">
        <v>-0.697904466510835</v>
      </c>
      <c r="J25" t="n">
        <v>7.47998411186614</v>
      </c>
      <c r="K25" t="n">
        <v>6.83310873929752</v>
      </c>
      <c r="L25" t="n">
        <v>-10.6427225980443</v>
      </c>
      <c r="M25" t="n">
        <v>-3.45924886263482</v>
      </c>
      <c r="N25" t="n">
        <v>-1.18506723584506</v>
      </c>
      <c r="O25" t="n">
        <v>1.02915786960551</v>
      </c>
      <c r="P25" t="n">
        <v>-19.3065399916192</v>
      </c>
      <c r="Q25" t="n">
        <v>-8.71493492849513</v>
      </c>
      <c r="R25" t="n">
        <v>-10.7037025400524</v>
      </c>
      <c r="S25" t="n">
        <v>-17.5344876451096</v>
      </c>
      <c r="T25" t="n">
        <v>-27.1278729548651</v>
      </c>
      <c r="U25" t="n">
        <v>-6.46415342614972</v>
      </c>
      <c r="V25" t="n">
        <v>-26.6231175232395</v>
      </c>
      <c r="W25" t="n">
        <v>5.73331434121123</v>
      </c>
      <c r="X25" t="n">
        <v>7.91599935847635</v>
      </c>
      <c r="Y25" t="n">
        <v>9.64321175102345</v>
      </c>
      <c r="Z25" t="n">
        <v>5.98091935890963</v>
      </c>
      <c r="AA25" t="n">
        <v>-1.12386038684065</v>
      </c>
      <c r="AB25" t="n">
        <v>6.35452483821517</v>
      </c>
      <c r="AC25" t="n">
        <v>0.516353264104019</v>
      </c>
      <c r="AD25" t="n">
        <v>-0.372238377174305</v>
      </c>
      <c r="AE25" t="n">
        <v>-3.37440984453821</v>
      </c>
      <c r="AF25" t="n">
        <v>-4.1895505086595</v>
      </c>
    </row>
    <row r="26">
      <c r="A26" t="s">
        <v>156</v>
      </c>
      <c r="B26" t="s">
        <v>283</v>
      </c>
      <c r="C26" t="s">
        <v>157</v>
      </c>
      <c r="D26" t="s">
        <v>284</v>
      </c>
      <c r="E26" t="s">
        <v>39</v>
      </c>
      <c r="F26" t="n">
        <v>5.73040743587825</v>
      </c>
      <c r="G26" t="n">
        <v>2.78981744115043</v>
      </c>
      <c r="H26" t="n">
        <v>5.39669980451691</v>
      </c>
      <c r="I26" t="n">
        <v>-0.632003711592333</v>
      </c>
      <c r="J26" t="n">
        <v>0.254226400448232</v>
      </c>
      <c r="K26" t="n">
        <v>-3.6144136964559</v>
      </c>
      <c r="L26" t="n">
        <v>1.80538779713011</v>
      </c>
      <c r="M26" t="n">
        <v>0.00390275882473645</v>
      </c>
      <c r="N26" t="n">
        <v>-0.421549925051678</v>
      </c>
      <c r="O26" t="n">
        <v>7.75397787983607</v>
      </c>
      <c r="P26" t="n">
        <v>6.28369666338138</v>
      </c>
      <c r="Q26" t="n">
        <v>-4.82412184393404</v>
      </c>
      <c r="R26" t="n">
        <v>-5.88947905106387</v>
      </c>
      <c r="S26" t="n">
        <v>-2.54860272652202</v>
      </c>
      <c r="T26" t="n">
        <v>-10.2254993665216</v>
      </c>
      <c r="U26" t="n">
        <v>2.83401818255555</v>
      </c>
      <c r="V26" t="n">
        <v>3.24876657985484</v>
      </c>
      <c r="W26" t="n">
        <v>-1.25324006573599</v>
      </c>
      <c r="X26" t="n">
        <v>-2.19848240658962</v>
      </c>
      <c r="Y26" t="n">
        <v>-10.01577413173</v>
      </c>
      <c r="Z26" t="n">
        <v>-0.734183915872322</v>
      </c>
      <c r="AA26" t="n">
        <v>-0.138013169078022</v>
      </c>
      <c r="AB26" t="n">
        <v>5.66207281110884</v>
      </c>
      <c r="AC26" t="n">
        <v>-1.18719731986019</v>
      </c>
      <c r="AD26" t="n">
        <v>-6.70243123627401</v>
      </c>
      <c r="AE26" t="n">
        <v>-5.27336430860039</v>
      </c>
      <c r="AF26" t="n">
        <v>9.37268985584154</v>
      </c>
    </row>
    <row r="27">
      <c r="A27" t="s">
        <v>158</v>
      </c>
      <c r="B27" t="s">
        <v>283</v>
      </c>
      <c r="C27" t="s">
        <v>159</v>
      </c>
      <c r="D27" t="s">
        <v>284</v>
      </c>
      <c r="E27" t="s">
        <v>39</v>
      </c>
      <c r="F27" t="n">
        <v>4.94517605685552</v>
      </c>
      <c r="G27" t="n">
        <v>0.800097468882655</v>
      </c>
      <c r="H27" t="n">
        <v>-3.36359369757382</v>
      </c>
      <c r="I27" t="n">
        <v>-6.24317837848878</v>
      </c>
      <c r="J27" t="n">
        <v>-0.778664820659003</v>
      </c>
      <c r="K27" t="n">
        <v>-0.33778954379855</v>
      </c>
      <c r="L27" t="n">
        <v>5.75311622078232</v>
      </c>
      <c r="M27" t="n">
        <v>3.71782465677235</v>
      </c>
      <c r="N27" t="n">
        <v>1.81579077195977</v>
      </c>
      <c r="O27" t="n">
        <v>-0.837708694997374</v>
      </c>
      <c r="P27" t="n">
        <v>-6.89604333836584</v>
      </c>
      <c r="Q27" t="n">
        <v>-4.74275019645738</v>
      </c>
      <c r="R27" t="n">
        <v>1.85841355163063</v>
      </c>
      <c r="S27" t="n">
        <v>-0.681394078542041</v>
      </c>
      <c r="T27" t="n">
        <v>5.45110967692501</v>
      </c>
      <c r="U27" t="n">
        <v>2.41952384884421</v>
      </c>
      <c r="V27" t="n">
        <v>-0.183048075489722</v>
      </c>
      <c r="W27" t="n">
        <v>8.59568366458667</v>
      </c>
      <c r="X27" t="n">
        <v>6.54054857997686</v>
      </c>
      <c r="Y27" t="n">
        <v>2.02223970813797</v>
      </c>
      <c r="Z27" t="n">
        <v>4.13719704685747</v>
      </c>
      <c r="AA27" t="n">
        <v>-1.38378810885342</v>
      </c>
      <c r="AB27" t="n">
        <v>-0.0115059677469276</v>
      </c>
      <c r="AC27" t="n">
        <v>-4.07021751948271</v>
      </c>
      <c r="AD27" t="n">
        <v>0.947046769755744</v>
      </c>
      <c r="AE27" t="n">
        <v>-3.42297938758129</v>
      </c>
      <c r="AF27" t="n">
        <v>3.63302914093175</v>
      </c>
    </row>
    <row r="28">
      <c r="A28" t="s">
        <v>160</v>
      </c>
      <c r="B28" t="s">
        <v>283</v>
      </c>
      <c r="C28" t="s">
        <v>161</v>
      </c>
      <c r="D28" t="s">
        <v>284</v>
      </c>
      <c r="E28" t="s">
        <v>39</v>
      </c>
      <c r="F28" t="n">
        <v>4.01928593060958</v>
      </c>
      <c r="G28" t="n">
        <v>-4.90403789099929</v>
      </c>
      <c r="H28" t="n">
        <v>0.0621759905353514</v>
      </c>
      <c r="I28" t="n">
        <v>-4.54864566319948</v>
      </c>
      <c r="J28" t="n">
        <v>-1.65141233286796</v>
      </c>
      <c r="K28" t="n">
        <v>1.52946686277993</v>
      </c>
      <c r="L28" t="n">
        <v>0.612478082581802</v>
      </c>
      <c r="M28" t="n">
        <v>1.22259235208162</v>
      </c>
      <c r="N28" t="n">
        <v>2.17703914020113</v>
      </c>
      <c r="O28" t="n">
        <v>3.70924720806336</v>
      </c>
      <c r="P28" t="n">
        <v>0.0548676895494538</v>
      </c>
      <c r="Q28" t="n">
        <v>5.45408693536515</v>
      </c>
      <c r="R28" t="n">
        <v>3.68411547357148</v>
      </c>
      <c r="S28" t="n">
        <v>-2.6418795149521</v>
      </c>
      <c r="T28" t="n">
        <v>-13.6873863417829</v>
      </c>
      <c r="U28" t="n">
        <v>3.1743964195563</v>
      </c>
      <c r="V28" t="n">
        <v>-1.20427081665078</v>
      </c>
      <c r="W28" t="n">
        <v>3.673641844237</v>
      </c>
      <c r="X28" t="n">
        <v>0.893526096024999</v>
      </c>
      <c r="Y28" t="n">
        <v>2.3647471977128</v>
      </c>
      <c r="Z28" t="n">
        <v>-1.92782240438944</v>
      </c>
      <c r="AA28" t="n">
        <v>-0.419757085695238</v>
      </c>
      <c r="AB28" t="n">
        <v>3.18350402008782</v>
      </c>
      <c r="AC28" t="n">
        <v>-1.46774358476911</v>
      </c>
      <c r="AD28" t="n">
        <v>-0.707372435378062</v>
      </c>
      <c r="AE28" t="n">
        <v>-32.134445598648</v>
      </c>
      <c r="AF28" t="n">
        <v>2.08891828108904</v>
      </c>
    </row>
    <row r="29">
      <c r="A29" t="s">
        <v>162</v>
      </c>
      <c r="B29" t="s">
        <v>283</v>
      </c>
      <c r="C29" t="s">
        <v>163</v>
      </c>
      <c r="D29" t="s">
        <v>284</v>
      </c>
      <c r="E29" t="s">
        <v>39</v>
      </c>
      <c r="F29" t="n">
        <v>2.25203534527552</v>
      </c>
      <c r="G29" t="n">
        <v>-6.2619585371845</v>
      </c>
      <c r="H29" t="n">
        <v>0.20895951271811</v>
      </c>
      <c r="I29" t="n">
        <v>-4.37739492959679</v>
      </c>
      <c r="J29" t="n">
        <v>0.0856519204827322</v>
      </c>
      <c r="K29" t="n">
        <v>3.04652219014692</v>
      </c>
      <c r="L29" t="n">
        <v>2.18464404288561</v>
      </c>
      <c r="M29" t="n">
        <v>1.78230319114974</v>
      </c>
      <c r="N29" t="n">
        <v>2.82089431348425</v>
      </c>
      <c r="O29" t="n">
        <v>2.26671999157553</v>
      </c>
      <c r="P29" t="n">
        <v>0.498543384770755</v>
      </c>
      <c r="Q29" t="n">
        <v>5.39989553304601</v>
      </c>
      <c r="R29" t="n">
        <v>3.72915560626446</v>
      </c>
      <c r="S29" t="n">
        <v>-2.21616171680275</v>
      </c>
      <c r="T29" t="n">
        <v>-12.0916465810389</v>
      </c>
      <c r="U29" t="n">
        <v>1.80265760377196</v>
      </c>
      <c r="V29" t="n">
        <v>-1.39396715432554</v>
      </c>
      <c r="W29" t="n">
        <v>4.26766036547264</v>
      </c>
      <c r="X29" t="n">
        <v>0.757509899597508</v>
      </c>
      <c r="Y29" t="n">
        <v>3.15334851217308</v>
      </c>
      <c r="Z29" t="n">
        <v>-2.51640638454624</v>
      </c>
      <c r="AA29" t="n">
        <v>-1.37162319452067</v>
      </c>
      <c r="AB29" t="n">
        <v>3.59415355669057</v>
      </c>
      <c r="AC29" t="n">
        <v>0.746239004782012</v>
      </c>
      <c r="AD29" t="n">
        <v>0.144420765268549</v>
      </c>
      <c r="AE29" t="n">
        <v>-30.2760269826599</v>
      </c>
      <c r="AF29" t="n">
        <v>7.18352099693718</v>
      </c>
    </row>
    <row r="30">
      <c r="A30" t="s">
        <v>164</v>
      </c>
      <c r="B30" t="s">
        <v>283</v>
      </c>
      <c r="C30" t="s">
        <v>165</v>
      </c>
      <c r="D30" t="s">
        <v>284</v>
      </c>
      <c r="E30" t="s">
        <v>39</v>
      </c>
      <c r="F30" t="n">
        <v>14.542777789244</v>
      </c>
      <c r="G30" t="n">
        <v>-23.3085771148273</v>
      </c>
      <c r="H30" t="n">
        <v>8.77474604127926</v>
      </c>
      <c r="I30" t="n">
        <v>5.45337328122528</v>
      </c>
      <c r="J30" t="n">
        <v>-7.57097825987589</v>
      </c>
      <c r="K30" t="n">
        <v>-7.9020986537353</v>
      </c>
      <c r="L30" t="n">
        <v>-5.34615611905593</v>
      </c>
      <c r="M30" t="n">
        <v>0.0188303087202968</v>
      </c>
      <c r="N30" t="n">
        <v>8.65051856533512</v>
      </c>
      <c r="O30" t="n">
        <v>7.97629544809837</v>
      </c>
      <c r="P30" t="n">
        <v>-8.24431888015056</v>
      </c>
      <c r="Q30" t="n">
        <v>5.21902308095665</v>
      </c>
      <c r="R30" t="n">
        <v>9.59219607507222</v>
      </c>
      <c r="S30" t="n">
        <v>0.0469124760776651</v>
      </c>
      <c r="T30" t="n">
        <v>-16.9150320280806</v>
      </c>
      <c r="U30" t="n">
        <v>7.23069680408468</v>
      </c>
      <c r="V30" t="n">
        <v>-3.64955310458939</v>
      </c>
      <c r="W30" t="n">
        <v>-12.3807861823428</v>
      </c>
      <c r="X30" t="n">
        <v>-22.3882404410309</v>
      </c>
      <c r="Y30" t="n">
        <v>-2.9178885803729</v>
      </c>
      <c r="Z30" t="n">
        <v>-2.27917233104513</v>
      </c>
      <c r="AA30" t="n">
        <v>16.6956145932149</v>
      </c>
      <c r="AB30" t="n">
        <v>-1.64053360445191</v>
      </c>
      <c r="AC30" t="n">
        <v>-27.3284506503519</v>
      </c>
      <c r="AD30" t="n">
        <v>-8.64603016686853</v>
      </c>
      <c r="AE30" t="n">
        <v>-7.64361501550486</v>
      </c>
      <c r="AF30" t="n">
        <v>-0.460914798026479</v>
      </c>
    </row>
    <row r="31">
      <c r="A31" t="s">
        <v>166</v>
      </c>
      <c r="B31" t="s">
        <v>283</v>
      </c>
      <c r="C31" t="s">
        <v>167</v>
      </c>
      <c r="D31" t="s">
        <v>284</v>
      </c>
      <c r="E31" t="s">
        <v>39</v>
      </c>
      <c r="F31" t="n">
        <v>12.1758651927514</v>
      </c>
      <c r="G31" t="n">
        <v>8.29108035247508</v>
      </c>
      <c r="H31" t="n">
        <v>3.15855499968567</v>
      </c>
      <c r="I31" t="n">
        <v>-6.90127727868486</v>
      </c>
      <c r="J31" t="n">
        <v>-0.404384802395796</v>
      </c>
      <c r="K31" t="n">
        <v>7.63011641668179</v>
      </c>
      <c r="L31" t="n">
        <v>-12.6694559740248</v>
      </c>
      <c r="M31" t="n">
        <v>-4.76112457554425</v>
      </c>
      <c r="N31" t="n">
        <v>-12.2086077745097</v>
      </c>
      <c r="O31" t="n">
        <v>2.85522386201205</v>
      </c>
      <c r="P31" t="n">
        <v>-4.61491018964928</v>
      </c>
      <c r="Q31" t="n">
        <v>9.05475260818633</v>
      </c>
      <c r="R31" t="n">
        <v>0.842214657176044</v>
      </c>
      <c r="S31" t="n">
        <v>-17.9262307533484</v>
      </c>
      <c r="T31" t="n">
        <v>-43.2018668305947</v>
      </c>
      <c r="U31" t="n">
        <v>14.1251863560123</v>
      </c>
      <c r="V31" t="n">
        <v>0.839797664984765</v>
      </c>
      <c r="W31" t="n">
        <v>-0.450615928688158</v>
      </c>
      <c r="X31" t="n">
        <v>18.0599297768827</v>
      </c>
      <c r="Y31" t="n">
        <v>-4.83434670239138</v>
      </c>
      <c r="Z31" t="n">
        <v>-8.51689588065714</v>
      </c>
      <c r="AA31" t="n">
        <v>-5.75651705419844</v>
      </c>
      <c r="AB31" t="n">
        <v>0.465731550557713</v>
      </c>
      <c r="AC31" t="n">
        <v>-7.94866782872976</v>
      </c>
      <c r="AD31" t="n">
        <v>-6.33571707442062</v>
      </c>
      <c r="AE31" t="n">
        <v>-152.852713154452</v>
      </c>
      <c r="AF31" t="n">
        <v>-201.48137265486</v>
      </c>
    </row>
    <row r="32">
      <c r="A32" t="s">
        <v>168</v>
      </c>
      <c r="B32" t="s">
        <v>283</v>
      </c>
      <c r="C32" t="s">
        <v>169</v>
      </c>
      <c r="D32" t="s">
        <v>284</v>
      </c>
      <c r="E32" t="s">
        <v>39</v>
      </c>
      <c r="F32" t="n">
        <v>2.1004261011905</v>
      </c>
      <c r="G32" t="n">
        <v>14.5617251571498</v>
      </c>
      <c r="H32" t="n">
        <v>-14.7315090841253</v>
      </c>
      <c r="I32" t="n">
        <v>-24.056081783392</v>
      </c>
      <c r="J32" t="n">
        <v>-20.3648856982115</v>
      </c>
      <c r="K32" t="n">
        <v>-18.419309139872</v>
      </c>
      <c r="L32" t="n">
        <v>5.29074430197571</v>
      </c>
      <c r="M32" t="n">
        <v>8.28541628107011</v>
      </c>
      <c r="N32" t="n">
        <v>4.9822280281175</v>
      </c>
      <c r="O32" t="n">
        <v>27.0067042138656</v>
      </c>
      <c r="P32" t="n">
        <v>13.7464012059033</v>
      </c>
      <c r="Q32" t="n">
        <v>5.6081668126021</v>
      </c>
      <c r="R32" t="n">
        <v>1.57387172801116</v>
      </c>
      <c r="S32" t="n">
        <v>9.47805325676683</v>
      </c>
      <c r="T32" t="n">
        <v>-16.8685490942778</v>
      </c>
      <c r="U32" t="n">
        <v>14.671454557045</v>
      </c>
      <c r="V32" t="n">
        <v>-0.79360664529986</v>
      </c>
      <c r="W32" t="n">
        <v>25.9847800189018</v>
      </c>
      <c r="X32" t="n">
        <v>10.1717687689751</v>
      </c>
      <c r="Y32" t="n">
        <v>8.65524967681175</v>
      </c>
      <c r="Z32" t="n">
        <v>8.70970116449357</v>
      </c>
      <c r="AA32" t="n">
        <v>-6.47350656184056</v>
      </c>
      <c r="AB32" t="n">
        <v>7.01246839832077</v>
      </c>
      <c r="AC32" t="n">
        <v>-1.42696762127965</v>
      </c>
      <c r="AD32" t="n">
        <v>-1.36228237900529</v>
      </c>
      <c r="AE32" t="n">
        <v>-52.667435893701</v>
      </c>
      <c r="AF32" t="n">
        <v>-12.4490880195273</v>
      </c>
    </row>
    <row r="33">
      <c r="A33" t="s">
        <v>170</v>
      </c>
      <c r="B33" t="s">
        <v>283</v>
      </c>
      <c r="C33" t="s">
        <v>171</v>
      </c>
      <c r="D33" t="s">
        <v>284</v>
      </c>
      <c r="E33" t="s">
        <v>39</v>
      </c>
      <c r="F33" t="n">
        <v>3.72735513312019</v>
      </c>
      <c r="G33" t="n">
        <v>1.23077470877533</v>
      </c>
      <c r="H33" t="n">
        <v>-0.23753677795959</v>
      </c>
      <c r="I33" t="n">
        <v>-1.24970263375985</v>
      </c>
      <c r="J33" t="n">
        <v>-1.10145727634929</v>
      </c>
      <c r="K33" t="n">
        <v>0.914113499387703</v>
      </c>
      <c r="L33" t="n">
        <v>0.306967127270497</v>
      </c>
      <c r="M33" t="n">
        <v>-2.09446369115263</v>
      </c>
      <c r="N33" t="n">
        <v>-2.47186975436264</v>
      </c>
      <c r="O33" t="n">
        <v>1.09309170559442</v>
      </c>
      <c r="P33" t="n">
        <v>-0.968132908924701</v>
      </c>
      <c r="Q33" t="n">
        <v>2.51517052838288</v>
      </c>
      <c r="R33" t="n">
        <v>-1.70780900581189</v>
      </c>
      <c r="S33" t="n">
        <v>-8.27242006587117</v>
      </c>
      <c r="T33" t="n">
        <v>-1.77889368514546</v>
      </c>
      <c r="U33" t="n">
        <v>-4.70948702646048</v>
      </c>
      <c r="V33" t="n">
        <v>2.61295972907192</v>
      </c>
      <c r="W33" t="n">
        <v>-3.10321733065777</v>
      </c>
      <c r="X33" t="n">
        <v>0.185365819721461</v>
      </c>
      <c r="Y33" t="n">
        <v>-1.78742060767512</v>
      </c>
      <c r="Z33" t="n">
        <v>-0.635114859883146</v>
      </c>
      <c r="AA33" t="n">
        <v>-0.309509857869017</v>
      </c>
      <c r="AB33" t="n">
        <v>0.345977534714592</v>
      </c>
      <c r="AC33" t="n">
        <v>1.87045644841497</v>
      </c>
      <c r="AD33" t="n">
        <v>0.656482131032554</v>
      </c>
      <c r="AE33" t="n">
        <v>-1.30892625233052</v>
      </c>
      <c r="AF33" t="n">
        <v>-1.67057876125032</v>
      </c>
    </row>
    <row r="34">
      <c r="A34" t="s">
        <v>172</v>
      </c>
      <c r="B34" t="s">
        <v>283</v>
      </c>
      <c r="C34" t="s">
        <v>173</v>
      </c>
      <c r="D34" t="s">
        <v>284</v>
      </c>
      <c r="E34" t="s">
        <v>39</v>
      </c>
      <c r="F34" t="n">
        <v>0.700645657758514</v>
      </c>
      <c r="G34" t="n">
        <v>2.95302370504267</v>
      </c>
      <c r="H34" t="n">
        <v>0.855407517740403</v>
      </c>
      <c r="I34" t="n">
        <v>-0.592588686197715</v>
      </c>
      <c r="J34" t="n">
        <v>-2.31148904082872</v>
      </c>
      <c r="K34" t="n">
        <v>-4.03843116280775</v>
      </c>
      <c r="L34" t="n">
        <v>-0.535536884133947</v>
      </c>
      <c r="M34" t="n">
        <v>-1.72724618777735</v>
      </c>
      <c r="N34" t="n">
        <v>-3.79254088108674</v>
      </c>
      <c r="O34" t="n">
        <v>-3.74849842890264</v>
      </c>
      <c r="P34" t="n">
        <v>-4.47785978883601</v>
      </c>
      <c r="Q34" t="n">
        <v>-0.0561290288661809</v>
      </c>
      <c r="R34" t="n">
        <v>1.10476707231939</v>
      </c>
      <c r="S34" t="n">
        <v>-5.7826718439177</v>
      </c>
      <c r="T34" t="n">
        <v>-8.57011459474322</v>
      </c>
      <c r="U34" t="n">
        <v>-1.94307702870624</v>
      </c>
      <c r="V34" t="n">
        <v>-1.35278950300623</v>
      </c>
      <c r="W34" t="n">
        <v>-4.04679853729917</v>
      </c>
      <c r="X34" t="n">
        <v>7.2858088859352</v>
      </c>
      <c r="Y34" t="n">
        <v>1.28363747541655</v>
      </c>
      <c r="Z34" t="n">
        <v>-5.93347502387935</v>
      </c>
      <c r="AA34" t="n">
        <v>3.91998085117962</v>
      </c>
      <c r="AB34" t="n">
        <v>2.92770371735749</v>
      </c>
      <c r="AC34" t="n">
        <v>-0.0234483906211835</v>
      </c>
      <c r="AD34" t="n">
        <v>-6.43996927864485</v>
      </c>
      <c r="AE34" t="n">
        <v>-44.1652625847752</v>
      </c>
      <c r="AF34" t="n">
        <v>-11.7694070210909</v>
      </c>
    </row>
    <row r="35">
      <c r="A35" t="s">
        <v>174</v>
      </c>
      <c r="B35" t="s">
        <v>283</v>
      </c>
      <c r="C35" t="s">
        <v>175</v>
      </c>
      <c r="D35" t="s">
        <v>284</v>
      </c>
      <c r="E35" t="s">
        <v>39</v>
      </c>
      <c r="F35" t="n">
        <v>9.85631732831465</v>
      </c>
      <c r="G35" t="n">
        <v>17.1150862675461</v>
      </c>
      <c r="H35" t="n">
        <v>12.9696178039925</v>
      </c>
      <c r="I35" t="n">
        <v>11.915204058543</v>
      </c>
      <c r="J35" t="n">
        <v>4.81445279517736</v>
      </c>
      <c r="K35" t="n">
        <v>7.9361545417381</v>
      </c>
      <c r="L35" t="n">
        <v>7.95314219297474</v>
      </c>
      <c r="M35" t="n">
        <v>4.26438840489993</v>
      </c>
      <c r="N35" t="n">
        <v>3.01573813130105</v>
      </c>
      <c r="O35" t="n">
        <v>-0.820249854841748</v>
      </c>
      <c r="P35" t="n">
        <v>2.83905327789391</v>
      </c>
      <c r="Q35" t="n">
        <v>2.25194096511849</v>
      </c>
      <c r="R35" t="n">
        <v>1.70885841332229</v>
      </c>
      <c r="S35" t="n">
        <v>1.23444498964958</v>
      </c>
      <c r="T35" t="n">
        <v>-2.5437287563097</v>
      </c>
      <c r="U35" t="n">
        <v>-0.441086829020776</v>
      </c>
      <c r="V35" t="n">
        <v>-0.87323031767994</v>
      </c>
      <c r="W35" t="n">
        <v>0.436658365386933</v>
      </c>
      <c r="X35" t="n">
        <v>3.32618313841628</v>
      </c>
      <c r="Y35" t="n">
        <v>0.43828798464105</v>
      </c>
      <c r="Z35" t="n">
        <v>3.788398117117</v>
      </c>
      <c r="AA35" t="n">
        <v>0.893249976144972</v>
      </c>
      <c r="AB35" t="n">
        <v>0.585744647688813</v>
      </c>
      <c r="AC35" t="n">
        <v>2.18953267001041</v>
      </c>
      <c r="AD35" t="n">
        <v>1.00715005037948</v>
      </c>
      <c r="AE35" t="n">
        <v>0.650284996844519</v>
      </c>
      <c r="AF35" t="n">
        <v>3.00204116864968</v>
      </c>
    </row>
    <row r="36">
      <c r="A36" t="s">
        <v>176</v>
      </c>
      <c r="B36" t="s">
        <v>283</v>
      </c>
      <c r="C36" t="s">
        <v>177</v>
      </c>
      <c r="D36" t="s">
        <v>284</v>
      </c>
      <c r="E36" t="s">
        <v>39</v>
      </c>
      <c r="F36" t="n">
        <v>7.5203260815611</v>
      </c>
      <c r="G36" t="n">
        <v>7.10248916226881</v>
      </c>
      <c r="H36" t="n">
        <v>-0.688021065371913</v>
      </c>
      <c r="I36" t="n">
        <v>0.185454818048392</v>
      </c>
      <c r="J36" t="n">
        <v>-3.11054249357596</v>
      </c>
      <c r="K36" t="n">
        <v>1.96498501415601</v>
      </c>
      <c r="L36" t="n">
        <v>-1.28864890016676</v>
      </c>
      <c r="M36" t="n">
        <v>0.281788756525536</v>
      </c>
      <c r="N36" t="n">
        <v>1.09829959351639</v>
      </c>
      <c r="O36" t="n">
        <v>-1.59106077302411</v>
      </c>
      <c r="P36" t="n">
        <v>4.5279394912324</v>
      </c>
      <c r="Q36" t="n">
        <v>-3.10631293071282</v>
      </c>
      <c r="R36" t="n">
        <v>-2.30049433289139</v>
      </c>
      <c r="S36" t="n">
        <v>-6.15970905693359</v>
      </c>
      <c r="T36" t="n">
        <v>-3.80536650601986</v>
      </c>
      <c r="U36" t="n">
        <v>-0.724159030978555</v>
      </c>
      <c r="V36" t="n">
        <v>-7.41173598181248</v>
      </c>
      <c r="W36" t="n">
        <v>-3.87317247953884</v>
      </c>
      <c r="X36" t="n">
        <v>4.39536708587447</v>
      </c>
      <c r="Y36" t="n">
        <v>3.32980587080858</v>
      </c>
      <c r="Z36" t="n">
        <v>7.73689720822386</v>
      </c>
      <c r="AA36" t="n">
        <v>-3.60450399246926</v>
      </c>
      <c r="AB36" t="n">
        <v>-3.44987226492037</v>
      </c>
      <c r="AC36" t="n">
        <v>1.06699822349228</v>
      </c>
      <c r="AD36" t="n">
        <v>-0.506526916013428</v>
      </c>
      <c r="AE36" t="n">
        <v>-2.44827295670067</v>
      </c>
      <c r="AF36" t="n">
        <v>-1.06342303226334</v>
      </c>
    </row>
    <row r="37">
      <c r="A37" t="s">
        <v>178</v>
      </c>
      <c r="B37" t="s">
        <v>283</v>
      </c>
      <c r="C37" t="s">
        <v>179</v>
      </c>
      <c r="D37" t="s">
        <v>284</v>
      </c>
      <c r="E37" t="s">
        <v>39</v>
      </c>
      <c r="F37" t="n">
        <v>12.7356556892361</v>
      </c>
      <c r="G37" t="n">
        <v>22.8721910277953</v>
      </c>
      <c r="H37" t="n">
        <v>22.1418465131723</v>
      </c>
      <c r="I37" t="n">
        <v>12.0907790440812</v>
      </c>
      <c r="J37" t="n">
        <v>6.29547324162356</v>
      </c>
      <c r="K37" t="n">
        <v>9.65916576378572</v>
      </c>
      <c r="L37" t="n">
        <v>9.4697833867178</v>
      </c>
      <c r="M37" t="n">
        <v>3.37733113920375</v>
      </c>
      <c r="N37" t="n">
        <v>1.81713130368291</v>
      </c>
      <c r="O37" t="n">
        <v>-3.96655290824004</v>
      </c>
      <c r="P37" t="n">
        <v>-0.826628161205889</v>
      </c>
      <c r="Q37" t="n">
        <v>4.12562763681361</v>
      </c>
      <c r="R37" t="n">
        <v>4.35456032781278</v>
      </c>
      <c r="S37" t="n">
        <v>6.47194603661614</v>
      </c>
      <c r="T37" t="n">
        <v>0.844192674266075</v>
      </c>
      <c r="U37" t="n">
        <v>4.76675234766439</v>
      </c>
      <c r="V37" t="n">
        <v>2.27179398960082</v>
      </c>
      <c r="W37" t="n">
        <v>1.0024325847457</v>
      </c>
      <c r="X37" t="n">
        <v>4.06417589952426</v>
      </c>
      <c r="Y37" t="n">
        <v>0.825271239135716</v>
      </c>
      <c r="Z37" t="n">
        <v>3.99791450436346</v>
      </c>
      <c r="AA37" t="n">
        <v>4.73477432245204</v>
      </c>
      <c r="AB37" t="n">
        <v>0.761749012832169</v>
      </c>
      <c r="AC37" t="n">
        <v>3.30572821245418</v>
      </c>
      <c r="AD37" t="n">
        <v>-0.631412134064036</v>
      </c>
      <c r="AE37" t="n">
        <v>8.58549886302491</v>
      </c>
      <c r="AF37" t="n">
        <v>0.866874304048793</v>
      </c>
    </row>
    <row r="38">
      <c r="A38" t="s">
        <v>180</v>
      </c>
      <c r="B38" t="s">
        <v>283</v>
      </c>
      <c r="C38" t="s">
        <v>181</v>
      </c>
      <c r="D38" t="s">
        <v>284</v>
      </c>
      <c r="E38" t="s">
        <v>39</v>
      </c>
      <c r="F38" t="n">
        <v>7.83040849082841</v>
      </c>
      <c r="G38" t="n">
        <v>17.3263686859117</v>
      </c>
      <c r="H38" t="n">
        <v>9.71711698325777</v>
      </c>
      <c r="I38" t="n">
        <v>20.232098044171</v>
      </c>
      <c r="J38" t="n">
        <v>8.0069141120072</v>
      </c>
      <c r="K38" t="n">
        <v>9.48130869884185</v>
      </c>
      <c r="L38" t="n">
        <v>11.2823772980722</v>
      </c>
      <c r="M38" t="n">
        <v>7.04527252076375</v>
      </c>
      <c r="N38" t="n">
        <v>4.95920607824409</v>
      </c>
      <c r="O38" t="n">
        <v>2.23644218221537</v>
      </c>
      <c r="P38" t="n">
        <v>4.96994180710999</v>
      </c>
      <c r="Q38" t="n">
        <v>3.31574708193152</v>
      </c>
      <c r="R38" t="n">
        <v>1.57710164773341</v>
      </c>
      <c r="S38" t="n">
        <v>0.554125218046053</v>
      </c>
      <c r="T38" t="n">
        <v>-4.55261155925193</v>
      </c>
      <c r="U38" t="n">
        <v>-4.53391512032333</v>
      </c>
      <c r="V38" t="n">
        <v>-0.868452360717242</v>
      </c>
      <c r="W38" t="n">
        <v>1.6372605990199</v>
      </c>
      <c r="X38" t="n">
        <v>2.28486884348342</v>
      </c>
      <c r="Y38" t="n">
        <v>-1.06304397372554</v>
      </c>
      <c r="Z38" t="n">
        <v>1.90942372398162</v>
      </c>
      <c r="AA38" t="n">
        <v>-0.489849662924868</v>
      </c>
      <c r="AB38" t="n">
        <v>2.14418629858244</v>
      </c>
      <c r="AC38" t="n">
        <v>1.71391110442727</v>
      </c>
      <c r="AD38" t="n">
        <v>2.90441248374513</v>
      </c>
      <c r="AE38" t="n">
        <v>-4.45824602471276</v>
      </c>
      <c r="AF38" t="n">
        <v>6.14266970903081</v>
      </c>
    </row>
    <row r="39">
      <c r="A39" t="s">
        <v>182</v>
      </c>
      <c r="B39" t="s">
        <v>283</v>
      </c>
      <c r="C39" t="s">
        <v>183</v>
      </c>
      <c r="D39" t="s">
        <v>284</v>
      </c>
      <c r="E39" t="s">
        <v>39</v>
      </c>
      <c r="F39" t="n">
        <v>-5.10173691538256</v>
      </c>
      <c r="G39" t="n">
        <v>1.87063728919057</v>
      </c>
      <c r="H39" t="n">
        <v>1.75153831433192</v>
      </c>
      <c r="I39" t="n">
        <v>-4.64360160250763</v>
      </c>
      <c r="J39" t="n">
        <v>-2.00526379423813</v>
      </c>
      <c r="K39" t="n">
        <v>0.0760210829728436</v>
      </c>
      <c r="L39" t="n">
        <v>-2.37839456227356</v>
      </c>
      <c r="M39" t="n">
        <v>-0.455372079699501</v>
      </c>
      <c r="N39" t="n">
        <v>1.16145251996436</v>
      </c>
      <c r="O39" t="n">
        <v>-0.318071620736049</v>
      </c>
      <c r="P39" t="n">
        <v>2.45617464243253</v>
      </c>
      <c r="Q39" t="n">
        <v>-0.19613376641594</v>
      </c>
      <c r="R39" t="n">
        <v>3.80380441209098</v>
      </c>
      <c r="S39" t="n">
        <v>-15.5037158425035</v>
      </c>
      <c r="T39" t="n">
        <v>0.260130626541866</v>
      </c>
      <c r="U39" t="n">
        <v>0.147399424081485</v>
      </c>
      <c r="V39" t="n">
        <v>-1.58232050382594</v>
      </c>
      <c r="W39" t="n">
        <v>2.04046945854621</v>
      </c>
      <c r="X39" t="n">
        <v>8.21280721369462</v>
      </c>
      <c r="Y39" t="n">
        <v>-0.321326260483445</v>
      </c>
      <c r="Z39" t="n">
        <v>3.2447631336165</v>
      </c>
      <c r="AA39" t="n">
        <v>-1.8040713287931</v>
      </c>
      <c r="AB39" t="n">
        <v>1.97520695990185</v>
      </c>
      <c r="AC39" t="n">
        <v>0.35751375927866</v>
      </c>
      <c r="AD39" t="n">
        <v>-1.4251356726227</v>
      </c>
      <c r="AE39" t="n">
        <v>4.71740111605889</v>
      </c>
      <c r="AF39" t="n">
        <v>7.75110572282856</v>
      </c>
    </row>
    <row r="40">
      <c r="A40" t="s">
        <v>184</v>
      </c>
      <c r="B40" t="s">
        <v>283</v>
      </c>
      <c r="C40" t="s">
        <v>185</v>
      </c>
      <c r="D40" t="s">
        <v>284</v>
      </c>
      <c r="E40" t="s">
        <v>39</v>
      </c>
      <c r="F40" t="n">
        <v>1.20640845152877</v>
      </c>
      <c r="G40" t="n">
        <v>1.36822720566592</v>
      </c>
      <c r="H40" t="n">
        <v>0.400909730530685</v>
      </c>
      <c r="I40" t="n">
        <v>-1.07775978881328</v>
      </c>
      <c r="J40" t="n">
        <v>0.874268996267347</v>
      </c>
      <c r="K40" t="n">
        <v>2.71129657000451</v>
      </c>
      <c r="L40" t="n">
        <v>1.25976228199569</v>
      </c>
      <c r="M40" t="n">
        <v>1.22052215601194</v>
      </c>
      <c r="N40" t="n">
        <v>1.48257417746649</v>
      </c>
      <c r="O40" t="n">
        <v>1.57891572027324</v>
      </c>
      <c r="P40" t="n">
        <v>1.94189784975087</v>
      </c>
      <c r="Q40" t="n">
        <v>2.09596880747718</v>
      </c>
      <c r="R40" t="n">
        <v>0.0466611701956055</v>
      </c>
      <c r="S40" t="n">
        <v>0.558769249175128</v>
      </c>
      <c r="T40" t="n">
        <v>0.0344465354675805</v>
      </c>
      <c r="U40" t="n">
        <v>1.42930254825195</v>
      </c>
      <c r="V40" t="n">
        <v>1.09897661463236</v>
      </c>
      <c r="W40" t="n">
        <v>0.723470187036312</v>
      </c>
      <c r="X40" t="n">
        <v>1.84175005991101</v>
      </c>
      <c r="Y40" t="n">
        <v>1.53597119601727</v>
      </c>
      <c r="Z40" t="n">
        <v>0.97412900787468</v>
      </c>
      <c r="AA40" t="n">
        <v>0.34816095490946</v>
      </c>
      <c r="AB40" t="n">
        <v>0.682559028820151</v>
      </c>
      <c r="AC40" t="n">
        <v>0.241348788484785</v>
      </c>
      <c r="AD40" t="n">
        <v>1.00856149311035</v>
      </c>
      <c r="AE40" t="n">
        <v>-0.605211136770123</v>
      </c>
      <c r="AF40" t="n">
        <v>-0.885615747588631</v>
      </c>
    </row>
    <row r="41">
      <c r="A41" t="s">
        <v>186</v>
      </c>
      <c r="B41" t="s">
        <v>283</v>
      </c>
      <c r="C41" t="s">
        <v>187</v>
      </c>
      <c r="D41" t="s">
        <v>284</v>
      </c>
      <c r="E41" t="s">
        <v>39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283</v>
      </c>
      <c r="C42" t="s">
        <v>189</v>
      </c>
      <c r="D42" t="s">
        <v>284</v>
      </c>
      <c r="E42" t="s">
        <v>39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283</v>
      </c>
      <c r="C43" t="s">
        <v>191</v>
      </c>
      <c r="D43" t="s">
        <v>284</v>
      </c>
      <c r="E43" t="s">
        <v>39</v>
      </c>
      <c r="F43" t="n">
        <v>1.60087669764195</v>
      </c>
      <c r="G43" t="n">
        <v>6.74289205912295</v>
      </c>
      <c r="H43" t="n">
        <v>2.755415328037</v>
      </c>
      <c r="I43" t="n">
        <v>2.55463875014215</v>
      </c>
      <c r="J43" t="n">
        <v>-0.253189790169728</v>
      </c>
      <c r="K43" t="n">
        <v>10.773587914424</v>
      </c>
      <c r="L43" t="n">
        <v>4.53322598249883</v>
      </c>
      <c r="M43" t="n">
        <v>3.36718339476718</v>
      </c>
      <c r="N43" t="n">
        <v>5.2654549077257</v>
      </c>
      <c r="O43" t="n">
        <v>5.35178895369413</v>
      </c>
      <c r="P43" t="n">
        <v>7.82277833683018</v>
      </c>
      <c r="Q43" t="n">
        <v>6.65906255807975</v>
      </c>
      <c r="R43" t="n">
        <v>7.08810149189851</v>
      </c>
      <c r="S43" t="n">
        <v>5.27797050252019</v>
      </c>
      <c r="T43" t="n">
        <v>-5.28534861259011</v>
      </c>
      <c r="U43" t="n">
        <v>-0.234557507019062</v>
      </c>
      <c r="V43" t="n">
        <v>4.04088861972056</v>
      </c>
      <c r="W43" t="n">
        <v>0.547546488610706</v>
      </c>
      <c r="X43" t="n">
        <v>2.94025535773521</v>
      </c>
      <c r="Y43" t="n">
        <v>-0.0678654274572921</v>
      </c>
      <c r="Z43" t="n">
        <v>2.75917272736734</v>
      </c>
      <c r="AA43" t="n">
        <v>3.64587508652186</v>
      </c>
      <c r="AB43" t="n">
        <v>-0.827532740717274</v>
      </c>
      <c r="AC43" t="n">
        <v>0.560230429361752</v>
      </c>
      <c r="AD43" t="n">
        <v>1.42059356632629</v>
      </c>
      <c r="AE43" t="n">
        <v>-1.12877877539717</v>
      </c>
      <c r="AF43" t="n">
        <v>1.27802713653331</v>
      </c>
    </row>
    <row r="44">
      <c r="A44" t="s">
        <v>192</v>
      </c>
      <c r="B44" t="s">
        <v>283</v>
      </c>
      <c r="C44" t="s">
        <v>193</v>
      </c>
      <c r="D44" t="s">
        <v>284</v>
      </c>
      <c r="E44" t="s">
        <v>39</v>
      </c>
      <c r="F44" t="n">
        <v>2.60420385428262</v>
      </c>
      <c r="G44" t="n">
        <v>3.54695581598676</v>
      </c>
      <c r="H44" t="n">
        <v>1.48607987964802</v>
      </c>
      <c r="I44" t="n">
        <v>-1.59191160459535</v>
      </c>
      <c r="J44" t="n">
        <v>-0.417698259154164</v>
      </c>
      <c r="K44" t="n">
        <v>2.50585944610755</v>
      </c>
      <c r="L44" t="n">
        <v>-0.845165580399865</v>
      </c>
      <c r="M44" t="n">
        <v>0.243990188083032</v>
      </c>
      <c r="N44" t="n">
        <v>1.47211603426172</v>
      </c>
      <c r="O44" t="n">
        <v>2.37692856373002</v>
      </c>
      <c r="P44" t="n">
        <v>2.47446055354743</v>
      </c>
      <c r="Q44" t="n">
        <v>1.2050849902657</v>
      </c>
      <c r="R44" t="n">
        <v>1.60302372077581</v>
      </c>
      <c r="S44" t="n">
        <v>-1.82106663260697</v>
      </c>
      <c r="T44" t="n">
        <v>-9.68141635270214</v>
      </c>
      <c r="U44" t="n">
        <v>4.68300916424127</v>
      </c>
      <c r="V44" t="n">
        <v>-0.892748675559574</v>
      </c>
      <c r="W44" t="n">
        <v>0.951917736268726</v>
      </c>
      <c r="X44" t="n">
        <v>2.2435742711469</v>
      </c>
      <c r="Y44" t="n">
        <v>0.133967986539929</v>
      </c>
      <c r="Z44" t="n">
        <v>1.51861604720089</v>
      </c>
      <c r="AA44" t="n">
        <v>0.334461574128397</v>
      </c>
      <c r="AB44" t="n">
        <v>2.70046662037622</v>
      </c>
      <c r="AC44" t="n">
        <v>0.536618979796799</v>
      </c>
      <c r="AD44" t="n">
        <v>-1.2828076848816</v>
      </c>
      <c r="AE44" t="n">
        <v>-6.88796655033386</v>
      </c>
      <c r="AF44" t="n">
        <v>3.99350106158423</v>
      </c>
    </row>
    <row r="45">
      <c r="A45" t="s">
        <v>194</v>
      </c>
      <c r="B45" t="s">
        <v>283</v>
      </c>
      <c r="C45" t="s">
        <v>195</v>
      </c>
      <c r="D45" t="s">
        <v>284</v>
      </c>
      <c r="E45" t="s">
        <v>39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283</v>
      </c>
      <c r="C46" t="s">
        <v>197</v>
      </c>
      <c r="D46" t="s">
        <v>284</v>
      </c>
      <c r="E46" t="s">
        <v>39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283</v>
      </c>
      <c r="C47" t="s">
        <v>199</v>
      </c>
      <c r="D47" t="s">
        <v>284</v>
      </c>
      <c r="E47" t="s">
        <v>39</v>
      </c>
      <c r="F47" t="n">
        <v>3.31739315368544</v>
      </c>
      <c r="G47" t="n">
        <v>3.29074609124618</v>
      </c>
      <c r="H47" t="n">
        <v>3.42653803792565</v>
      </c>
      <c r="I47" t="n">
        <v>2.34514052413815</v>
      </c>
      <c r="J47" t="n">
        <v>1.92227159538483</v>
      </c>
      <c r="K47" t="n">
        <v>3.49812773636415</v>
      </c>
      <c r="L47" t="n">
        <v>-0.234108689156543</v>
      </c>
      <c r="M47" t="n">
        <v>0.141525211899918</v>
      </c>
      <c r="N47" t="n">
        <v>2.07408152217248</v>
      </c>
      <c r="O47" t="n">
        <v>0.695149979518206</v>
      </c>
      <c r="P47" t="n">
        <v>0.240399376020051</v>
      </c>
      <c r="Q47" t="n">
        <v>1.93409822682327</v>
      </c>
      <c r="R47" t="n">
        <v>2.51283282371588</v>
      </c>
      <c r="S47" t="n">
        <v>1.55555306218496</v>
      </c>
      <c r="T47" t="n">
        <v>-0.296723395511478</v>
      </c>
      <c r="U47" t="n">
        <v>-0.0194524101786442</v>
      </c>
      <c r="V47" t="n">
        <v>2.62679039355405</v>
      </c>
      <c r="W47" t="n">
        <v>1.41026858429925</v>
      </c>
      <c r="X47" t="n">
        <v>1.38691027915065</v>
      </c>
      <c r="Y47" t="n">
        <v>1.72406107878515</v>
      </c>
      <c r="Z47" t="n">
        <v>1.15859780742475</v>
      </c>
      <c r="AA47" t="n">
        <v>1.17291846799468</v>
      </c>
      <c r="AB47" t="n">
        <v>2.56722292955658</v>
      </c>
      <c r="AC47" t="n">
        <v>2.4061973312584</v>
      </c>
      <c r="AD47" t="n">
        <v>2.05668858751409</v>
      </c>
      <c r="AE47" t="n">
        <v>2.43812063816655</v>
      </c>
      <c r="AF47" t="n">
        <v>2.02900272268423</v>
      </c>
    </row>
    <row r="48">
      <c r="A48" t="s">
        <v>200</v>
      </c>
      <c r="B48" t="s">
        <v>283</v>
      </c>
      <c r="C48" t="s">
        <v>201</v>
      </c>
      <c r="D48" t="s">
        <v>284</v>
      </c>
      <c r="E48" t="s">
        <v>39</v>
      </c>
      <c r="F48" t="n">
        <v>3.71331107069288</v>
      </c>
      <c r="G48" t="n">
        <v>2.90460399741122</v>
      </c>
      <c r="H48" t="n">
        <v>2.70209220854873</v>
      </c>
      <c r="I48" t="n">
        <v>2.08080752222379</v>
      </c>
      <c r="J48" t="n">
        <v>2.50084312529992</v>
      </c>
      <c r="K48" t="n">
        <v>0.89109608872775</v>
      </c>
      <c r="L48" t="n">
        <v>1.51272214194975</v>
      </c>
      <c r="M48" t="n">
        <v>0.808076758659126</v>
      </c>
      <c r="N48" t="n">
        <v>2.32728283493451</v>
      </c>
      <c r="O48" t="n">
        <v>1.59766303606226</v>
      </c>
      <c r="P48" t="n">
        <v>1.58430289347287</v>
      </c>
      <c r="Q48" t="n">
        <v>1.82945048824621</v>
      </c>
      <c r="R48" t="n">
        <v>2.42624602002515</v>
      </c>
      <c r="S48" t="n">
        <v>0.985264531975361</v>
      </c>
      <c r="T48" t="n">
        <v>1.12558059441206</v>
      </c>
      <c r="U48" t="n">
        <v>1.28556228247625</v>
      </c>
      <c r="V48" t="n">
        <v>2.02812030303079</v>
      </c>
      <c r="W48" t="n">
        <v>2.91234857905671</v>
      </c>
      <c r="X48" t="n">
        <v>1.92848896420372</v>
      </c>
      <c r="Y48" t="n">
        <v>1.16794897997963</v>
      </c>
      <c r="Z48" t="n">
        <v>3.07306182651246</v>
      </c>
      <c r="AA48" t="n">
        <v>2.54412147015835</v>
      </c>
      <c r="AB48" t="n">
        <v>0.853384805469659</v>
      </c>
      <c r="AC48" t="n">
        <v>2.19813962053443</v>
      </c>
      <c r="AD48" t="n">
        <v>1.91926104060158</v>
      </c>
      <c r="AE48" t="n">
        <v>1.02236588418307</v>
      </c>
      <c r="AF48" t="n">
        <v>2.74554520934842</v>
      </c>
    </row>
    <row r="49">
      <c r="A49" t="s">
        <v>202</v>
      </c>
      <c r="B49" t="s">
        <v>283</v>
      </c>
      <c r="C49" t="s">
        <v>203</v>
      </c>
      <c r="D49" t="s">
        <v>284</v>
      </c>
      <c r="E49" t="s">
        <v>39</v>
      </c>
      <c r="F49" t="n">
        <v>2.64767771552315</v>
      </c>
      <c r="G49" t="n">
        <v>1.5274853687874</v>
      </c>
      <c r="H49" t="n">
        <v>0.913563728673594</v>
      </c>
      <c r="I49" t="n">
        <v>0.474865072132147</v>
      </c>
      <c r="J49" t="n">
        <v>1.24076643521143</v>
      </c>
      <c r="K49" t="n">
        <v>0.798120177701378</v>
      </c>
      <c r="L49" t="n">
        <v>0.567739355994235</v>
      </c>
      <c r="M49" t="n">
        <v>1.22591475195541</v>
      </c>
      <c r="N49" t="n">
        <v>1.2370733733718</v>
      </c>
      <c r="O49" t="n">
        <v>0.581239634386321</v>
      </c>
      <c r="P49" t="n">
        <v>1.05852507708484</v>
      </c>
      <c r="Q49" t="n">
        <v>1.40020186199017</v>
      </c>
      <c r="R49" t="n">
        <v>1.40220427880138</v>
      </c>
      <c r="S49" t="n">
        <v>1.15806723073924</v>
      </c>
      <c r="T49" t="n">
        <v>1.0821218100741</v>
      </c>
      <c r="U49" t="n">
        <v>0.648478867928759</v>
      </c>
      <c r="V49" t="n">
        <v>2.71855133281882</v>
      </c>
      <c r="W49" t="n">
        <v>0.448327339086418</v>
      </c>
      <c r="X49" t="n">
        <v>-0.452042469291669</v>
      </c>
      <c r="Y49" t="n">
        <v>0.071683754452323</v>
      </c>
      <c r="Z49" t="n">
        <v>-0.0319707699741656</v>
      </c>
      <c r="AA49" t="n">
        <v>0.745594062851396</v>
      </c>
      <c r="AB49" t="n">
        <v>0.920642113208103</v>
      </c>
      <c r="AC49" t="n">
        <v>0.678768213705538</v>
      </c>
      <c r="AD49" t="n">
        <v>1.36243494510637</v>
      </c>
      <c r="AE49" t="n">
        <v>0.670303600728772</v>
      </c>
      <c r="AF49" t="n">
        <v>0.433828254264412</v>
      </c>
    </row>
    <row r="50">
      <c r="A50" t="s">
        <v>204</v>
      </c>
      <c r="B50" t="s">
        <v>283</v>
      </c>
      <c r="C50" t="s">
        <v>205</v>
      </c>
      <c r="D50" t="s">
        <v>284</v>
      </c>
      <c r="E50" t="s">
        <v>39</v>
      </c>
      <c r="F50" t="n">
        <v>5.11918786136789</v>
      </c>
      <c r="G50" t="n">
        <v>3.65803353042153</v>
      </c>
      <c r="H50" t="n">
        <v>3.39574772350382</v>
      </c>
      <c r="I50" t="n">
        <v>3.09724885637799</v>
      </c>
      <c r="J50" t="n">
        <v>4.09360244170074</v>
      </c>
      <c r="K50" t="n">
        <v>-1.78075081670137</v>
      </c>
      <c r="L50" t="n">
        <v>3.88353948996993</v>
      </c>
      <c r="M50" t="n">
        <v>1.14821980920574</v>
      </c>
      <c r="N50" t="n">
        <v>3.32639365857297</v>
      </c>
      <c r="O50" t="n">
        <v>3.10362203061523</v>
      </c>
      <c r="P50" t="n">
        <v>3.1249295776739</v>
      </c>
      <c r="Q50" t="n">
        <v>2.01177628955982</v>
      </c>
      <c r="R50" t="n">
        <v>3.00008351169687</v>
      </c>
      <c r="S50" t="n">
        <v>0.381192353989235</v>
      </c>
      <c r="T50" t="n">
        <v>2.36828789693888</v>
      </c>
      <c r="U50" t="n">
        <v>2.70279606143618</v>
      </c>
      <c r="V50" t="n">
        <v>1.17417968289502</v>
      </c>
      <c r="W50" t="n">
        <v>5.39395668655018</v>
      </c>
      <c r="X50" t="n">
        <v>3.54058033606108</v>
      </c>
      <c r="Y50" t="n">
        <v>1.33847154550608</v>
      </c>
      <c r="Z50" t="n">
        <v>5.88034378619433</v>
      </c>
      <c r="AA50" t="n">
        <v>4.28510809798048</v>
      </c>
      <c r="AB50" t="n">
        <v>-0.285950375940658</v>
      </c>
      <c r="AC50" t="n">
        <v>2.76210356747271</v>
      </c>
      <c r="AD50" t="n">
        <v>2.08356698375773</v>
      </c>
      <c r="AE50" t="n">
        <v>0.269098418421265</v>
      </c>
      <c r="AF50" t="n">
        <v>4.20045807556022</v>
      </c>
    </row>
    <row r="51">
      <c r="A51" t="s">
        <v>206</v>
      </c>
      <c r="B51" t="s">
        <v>283</v>
      </c>
      <c r="C51" t="s">
        <v>207</v>
      </c>
      <c r="D51" t="s">
        <v>284</v>
      </c>
      <c r="E51" t="s">
        <v>39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283</v>
      </c>
      <c r="C52" t="s">
        <v>209</v>
      </c>
      <c r="D52" t="s">
        <v>284</v>
      </c>
      <c r="E52" t="s">
        <v>39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283</v>
      </c>
      <c r="C53" t="s">
        <v>211</v>
      </c>
      <c r="D53" t="s">
        <v>284</v>
      </c>
      <c r="E53" t="s">
        <v>39</v>
      </c>
      <c r="F53" t="n">
        <v>-5.18155001352198</v>
      </c>
      <c r="G53" t="n">
        <v>-2.26065491839176</v>
      </c>
      <c r="H53" t="n">
        <v>-3.80970638156128</v>
      </c>
      <c r="I53" t="n">
        <v>-3.14291827862778</v>
      </c>
      <c r="J53" t="n">
        <v>-4.40827559716954</v>
      </c>
      <c r="K53" t="n">
        <v>4.79335948805897</v>
      </c>
      <c r="L53" t="n">
        <v>-5.24652853579379</v>
      </c>
      <c r="M53" t="n">
        <v>5.70684303675417</v>
      </c>
      <c r="N53" t="n">
        <v>-1.98936589127534</v>
      </c>
      <c r="O53" t="n">
        <v>-1.68062480723652</v>
      </c>
      <c r="P53" t="n">
        <v>3.11128576956588</v>
      </c>
      <c r="Q53" t="n">
        <v>2.11222187995421</v>
      </c>
      <c r="R53" t="n">
        <v>-2.9729319352775</v>
      </c>
      <c r="S53" t="n">
        <v>-2.14492711952836</v>
      </c>
      <c r="T53" t="n">
        <v>-1.77340829525932</v>
      </c>
      <c r="U53" t="n">
        <v>-3.15723380967707</v>
      </c>
      <c r="V53" t="n">
        <v>-1.78693808152453</v>
      </c>
      <c r="W53" t="n">
        <v>6.12200165904202</v>
      </c>
      <c r="X53" t="n">
        <v>3.79185529155475</v>
      </c>
      <c r="Y53" t="n">
        <v>-0.447420826635891</v>
      </c>
      <c r="Z53" t="n">
        <v>-1.6275967575968</v>
      </c>
      <c r="AA53" t="n">
        <v>-7.31102558078955</v>
      </c>
      <c r="AB53" t="n">
        <v>-2.22782444834593</v>
      </c>
      <c r="AC53" t="n">
        <v>-1.30819656356902</v>
      </c>
      <c r="AD53" t="n">
        <v>-3.50964729647902</v>
      </c>
      <c r="AE53" t="n">
        <v>-24.7026456126951</v>
      </c>
      <c r="AF53" t="n">
        <v>3.66698915342063</v>
      </c>
    </row>
    <row r="54">
      <c r="A54" t="s">
        <v>212</v>
      </c>
      <c r="B54" t="s">
        <v>283</v>
      </c>
      <c r="C54" t="s">
        <v>213</v>
      </c>
      <c r="D54" t="s">
        <v>284</v>
      </c>
      <c r="E54" t="s">
        <v>39</v>
      </c>
      <c r="F54" t="n">
        <v>-3.80012444117703</v>
      </c>
      <c r="G54" t="n">
        <v>0.805742872433513</v>
      </c>
      <c r="H54" t="n">
        <v>-0.405979243360122</v>
      </c>
      <c r="I54" t="n">
        <v>0.758265230321697</v>
      </c>
      <c r="J54" t="n">
        <v>-1.02162119044777</v>
      </c>
      <c r="K54" t="n">
        <v>5.62978996547479</v>
      </c>
      <c r="L54" t="n">
        <v>-2.40844080031479</v>
      </c>
      <c r="M54" t="n">
        <v>4.05784421830404</v>
      </c>
      <c r="N54" t="n">
        <v>1.11370714539412</v>
      </c>
      <c r="O54" t="n">
        <v>-0.738389541523787</v>
      </c>
      <c r="P54" t="n">
        <v>2.37507271002997</v>
      </c>
      <c r="Q54" t="n">
        <v>1.01978277288524</v>
      </c>
      <c r="R54" t="n">
        <v>0.330372880011964</v>
      </c>
      <c r="S54" t="n">
        <v>-2.5829087111461</v>
      </c>
      <c r="T54" t="n">
        <v>-4.11782475086326</v>
      </c>
      <c r="U54" t="n">
        <v>-2.32236313868057</v>
      </c>
      <c r="V54" t="n">
        <v>-0.1783841634456</v>
      </c>
      <c r="W54" t="n">
        <v>-0.547286264608005</v>
      </c>
      <c r="X54" t="n">
        <v>-1.50581360656936</v>
      </c>
      <c r="Y54" t="n">
        <v>-2.02642658521981</v>
      </c>
      <c r="Z54" t="n">
        <v>-2.45316988980697</v>
      </c>
      <c r="AA54" t="n">
        <v>-4.59036930296186</v>
      </c>
      <c r="AB54" t="n">
        <v>0.274293996019637</v>
      </c>
      <c r="AC54" t="n">
        <v>-1.46581448032954</v>
      </c>
      <c r="AD54" t="n">
        <v>0.206879060998588</v>
      </c>
      <c r="AE54" t="n">
        <v>-17.5230817773421</v>
      </c>
      <c r="AF54" t="n">
        <v>1.02346871227006</v>
      </c>
    </row>
    <row r="55">
      <c r="A55" t="s">
        <v>214</v>
      </c>
      <c r="B55" t="s">
        <v>283</v>
      </c>
      <c r="C55" t="s">
        <v>215</v>
      </c>
      <c r="D55" t="s">
        <v>284</v>
      </c>
      <c r="E55" t="s">
        <v>39</v>
      </c>
      <c r="F55" t="n">
        <v>-2.64140304035081</v>
      </c>
      <c r="G55" t="n">
        <v>3.28289684958207</v>
      </c>
      <c r="H55" t="n">
        <v>2.14954037359227</v>
      </c>
      <c r="I55" t="n">
        <v>3.5055994319471</v>
      </c>
      <c r="J55" t="n">
        <v>1.21709371093388</v>
      </c>
      <c r="K55" t="n">
        <v>6.15795449837258</v>
      </c>
      <c r="L55" t="n">
        <v>-0.710040207156126</v>
      </c>
      <c r="M55" t="n">
        <v>3.10585462885129</v>
      </c>
      <c r="N55" t="n">
        <v>2.86944309785824</v>
      </c>
      <c r="O55" t="n">
        <v>-0.221947334447137</v>
      </c>
      <c r="P55" t="n">
        <v>1.97425668828366</v>
      </c>
      <c r="Q55" t="n">
        <v>0.426481539843948</v>
      </c>
      <c r="R55" t="n">
        <v>2.07584485932983</v>
      </c>
      <c r="S55" t="n">
        <v>-2.81102380070841</v>
      </c>
      <c r="T55" t="n">
        <v>-5.36439072534236</v>
      </c>
      <c r="U55" t="n">
        <v>-1.87008315357282</v>
      </c>
      <c r="V55" t="n">
        <v>0.676460517250277</v>
      </c>
      <c r="W55" t="n">
        <v>-4.25390315972045</v>
      </c>
      <c r="X55" t="n">
        <v>-4.71923711444191</v>
      </c>
      <c r="Y55" t="n">
        <v>-3.02900371996984</v>
      </c>
      <c r="Z55" t="n">
        <v>-2.97913397982441</v>
      </c>
      <c r="AA55" t="n">
        <v>-2.87657020952814</v>
      </c>
      <c r="AB55" t="n">
        <v>1.81344080314645</v>
      </c>
      <c r="AC55" t="n">
        <v>-1.56145922038569</v>
      </c>
      <c r="AD55" t="n">
        <v>2.39687954890151</v>
      </c>
      <c r="AE55" t="n">
        <v>-13.6253685817884</v>
      </c>
      <c r="AF55" t="n">
        <v>-0.373056296827912</v>
      </c>
    </row>
    <row r="56">
      <c r="A56" t="s">
        <v>216</v>
      </c>
      <c r="B56" t="s">
        <v>283</v>
      </c>
      <c r="C56" t="s">
        <v>217</v>
      </c>
      <c r="D56" t="s">
        <v>284</v>
      </c>
      <c r="E56" t="s">
        <v>39</v>
      </c>
      <c r="F56" t="n">
        <v>-0.431934829604685</v>
      </c>
      <c r="G56" t="n">
        <v>-7.6657091256104</v>
      </c>
      <c r="H56" t="n">
        <v>-8.68686137251249</v>
      </c>
      <c r="I56" t="n">
        <v>-13.105090229311</v>
      </c>
      <c r="J56" t="n">
        <v>-7.18720934611881</v>
      </c>
      <c r="K56" t="n">
        <v>-9.01088967102552</v>
      </c>
      <c r="L56" t="n">
        <v>-9.02601551231328</v>
      </c>
      <c r="M56" t="n">
        <v>-6.24846797805034</v>
      </c>
      <c r="N56" t="n">
        <v>-2.79594591063539</v>
      </c>
      <c r="O56" t="n">
        <v>1.76302900827405</v>
      </c>
      <c r="P56" t="n">
        <v>-13.9644164583034</v>
      </c>
      <c r="Q56" t="n">
        <v>3.31932978056724</v>
      </c>
      <c r="R56" t="n">
        <v>4.75187851424099</v>
      </c>
      <c r="S56" t="n">
        <v>20.6865300489072</v>
      </c>
      <c r="T56" t="n">
        <v>8.50487519699836</v>
      </c>
      <c r="U56" t="n">
        <v>11.6575209003598</v>
      </c>
      <c r="V56" t="n">
        <v>8.05825425110207</v>
      </c>
      <c r="W56" t="n">
        <v>0.148854606498183</v>
      </c>
      <c r="X56" t="n">
        <v>-22.546038401941</v>
      </c>
      <c r="Y56" t="n">
        <v>-6.21818062343902</v>
      </c>
      <c r="Z56" t="n">
        <v>-6.87609850900817</v>
      </c>
      <c r="AA56" t="n">
        <v>19.0033818951775</v>
      </c>
      <c r="AB56" t="n">
        <v>-7.45184238855696</v>
      </c>
      <c r="AC56" t="n">
        <v>1.60915171554503</v>
      </c>
      <c r="AD56" t="n">
        <v>10.1692376997647</v>
      </c>
      <c r="AE56" t="n">
        <v>7.364779567739</v>
      </c>
      <c r="AF56" t="n">
        <v>-5.79009786814062</v>
      </c>
    </row>
    <row r="57">
      <c r="A57" t="s">
        <v>218</v>
      </c>
      <c r="B57" t="s">
        <v>283</v>
      </c>
      <c r="C57" t="s">
        <v>219</v>
      </c>
      <c r="D57" t="s">
        <v>284</v>
      </c>
      <c r="E57" t="s">
        <v>39</v>
      </c>
      <c r="F57" t="n">
        <v>2.57537684144111</v>
      </c>
      <c r="G57" t="n">
        <v>3.1632664674305</v>
      </c>
      <c r="H57" t="n">
        <v>1.46669463810802</v>
      </c>
      <c r="I57" t="n">
        <v>-1.12072025609464</v>
      </c>
      <c r="J57" t="n">
        <v>0.0780106047756135</v>
      </c>
      <c r="K57" t="n">
        <v>2.25862478880785</v>
      </c>
      <c r="L57" t="n">
        <v>-0.319361269654905</v>
      </c>
      <c r="M57" t="n">
        <v>0.406812143062041</v>
      </c>
      <c r="N57" t="n">
        <v>1.58202347102261</v>
      </c>
      <c r="O57" t="n">
        <v>2.17627060146839</v>
      </c>
      <c r="P57" t="n">
        <v>2.23923677343869</v>
      </c>
      <c r="Q57" t="n">
        <v>1.39916863597414</v>
      </c>
      <c r="R57" t="n">
        <v>1.55790118622328</v>
      </c>
      <c r="S57" t="n">
        <v>-1.0535765798906</v>
      </c>
      <c r="T57" t="n">
        <v>-6.76474746392763</v>
      </c>
      <c r="U57" t="n">
        <v>3.77717975173972</v>
      </c>
      <c r="V57" t="n">
        <v>-0.147325283685262</v>
      </c>
      <c r="W57" t="n">
        <v>1.23776062748533</v>
      </c>
      <c r="X57" t="n">
        <v>2.05010683620479</v>
      </c>
      <c r="Y57" t="n">
        <v>0.452799091043232</v>
      </c>
      <c r="Z57" t="n">
        <v>1.67204641466903</v>
      </c>
      <c r="AA57" t="n">
        <v>0.766276683531331</v>
      </c>
      <c r="AB57" t="n">
        <v>2.12894255660743</v>
      </c>
      <c r="AC57" t="n">
        <v>0.773559511731037</v>
      </c>
      <c r="AD57" t="n">
        <v>-0.44169294673857</v>
      </c>
      <c r="AE57" t="n">
        <v>-4.73412427826361</v>
      </c>
      <c r="AF57" t="n">
        <v>3.1587858149738</v>
      </c>
    </row>
    <row r="58">
      <c r="A58" t="s">
        <v>220</v>
      </c>
      <c r="B58" t="s">
        <v>283</v>
      </c>
      <c r="C58" t="s">
        <v>221</v>
      </c>
      <c r="D58" t="s">
        <v>284</v>
      </c>
      <c r="E58" t="s">
        <v>39</v>
      </c>
      <c r="F58" t="n">
        <v>2.59840073556212</v>
      </c>
      <c r="G58" t="n">
        <v>3.23995806936459</v>
      </c>
      <c r="H58" t="n">
        <v>1.53148620878802</v>
      </c>
      <c r="I58" t="n">
        <v>-1.05214140565515</v>
      </c>
      <c r="J58" t="n">
        <v>0.115492300831477</v>
      </c>
      <c r="K58" t="n">
        <v>2.30860632974768</v>
      </c>
      <c r="L58" t="n">
        <v>-0.284855591798561</v>
      </c>
      <c r="M58" t="n">
        <v>0.43181994702266</v>
      </c>
      <c r="N58" t="n">
        <v>1.59743707391904</v>
      </c>
      <c r="O58" t="n">
        <v>2.17765362766542</v>
      </c>
      <c r="P58" t="n">
        <v>2.28911192531349</v>
      </c>
      <c r="Q58" t="n">
        <v>1.39342257372306</v>
      </c>
      <c r="R58" t="n">
        <v>1.54749016474867</v>
      </c>
      <c r="S58" t="n">
        <v>-1.13849354271096</v>
      </c>
      <c r="T58" t="n">
        <v>-6.82770056532931</v>
      </c>
      <c r="U58" t="n">
        <v>3.74619047895166</v>
      </c>
      <c r="V58" t="n">
        <v>-0.182087922439678</v>
      </c>
      <c r="W58" t="n">
        <v>1.2424469819134</v>
      </c>
      <c r="X58" t="n">
        <v>2.14150182199795</v>
      </c>
      <c r="Y58" t="n">
        <v>0.47889093545308</v>
      </c>
      <c r="Z58" t="n">
        <v>1.70374112563181</v>
      </c>
      <c r="AA58" t="n">
        <v>0.693646517723678</v>
      </c>
      <c r="AB58" t="n">
        <v>2.16139545727394</v>
      </c>
      <c r="AC58" t="n">
        <v>0.770530084681909</v>
      </c>
      <c r="AD58" t="n">
        <v>-0.48257549829458</v>
      </c>
      <c r="AE58" t="n">
        <v>-4.78109920968173</v>
      </c>
      <c r="AF58" t="n">
        <v>3.19154712632148</v>
      </c>
    </row>
    <row r="59">
      <c r="A59" t="s">
        <v>222</v>
      </c>
      <c r="B59" t="s">
        <v>283</v>
      </c>
      <c r="C59" t="s">
        <v>223</v>
      </c>
      <c r="D59" t="s">
        <v>284</v>
      </c>
      <c r="E59" t="s">
        <v>39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283</v>
      </c>
      <c r="C2" t="s">
        <v>108</v>
      </c>
      <c r="D2" t="s">
        <v>284</v>
      </c>
      <c r="E2" t="s">
        <v>27</v>
      </c>
      <c r="F2" t="n">
        <v>-0.272494845335756</v>
      </c>
      <c r="G2" t="n">
        <v>-0.424474930911616</v>
      </c>
      <c r="H2" t="n">
        <v>-1.65842200932905</v>
      </c>
      <c r="I2" t="n">
        <v>-0.426403471815204</v>
      </c>
      <c r="J2" t="n">
        <v>-0.983343909264962</v>
      </c>
      <c r="K2" t="n">
        <v>-1.12646083407438</v>
      </c>
      <c r="L2" t="n">
        <v>-0.629409008400966</v>
      </c>
      <c r="M2" t="n">
        <v>-2.75529107489367</v>
      </c>
      <c r="N2" t="n">
        <v>-0.170866822280614</v>
      </c>
      <c r="O2" t="n">
        <v>-0.36404394381384</v>
      </c>
      <c r="P2" t="n">
        <v>-0.0843802658661318</v>
      </c>
      <c r="Q2" t="n">
        <v>-2.640434509244</v>
      </c>
      <c r="R2" t="n">
        <v>-0.328380326645564</v>
      </c>
      <c r="S2" t="n">
        <v>-1.51816414349117</v>
      </c>
      <c r="T2" t="n">
        <v>-1.12685127385196</v>
      </c>
      <c r="U2" t="n">
        <v>-2.88631701462323</v>
      </c>
      <c r="V2" t="n">
        <v>-1.47680437698124</v>
      </c>
      <c r="W2" t="n">
        <v>-2.13346493806288</v>
      </c>
      <c r="X2" t="n">
        <v>-2.53787283716776</v>
      </c>
      <c r="Y2" t="n">
        <v>-0.543878088845431</v>
      </c>
      <c r="Z2" t="n">
        <v>-0.0711329443915549</v>
      </c>
      <c r="AA2" t="n">
        <v>-3.60037309761377</v>
      </c>
      <c r="AB2" t="n">
        <v>1.3250598756858</v>
      </c>
      <c r="AC2" t="n">
        <v>-0.0112116001272407</v>
      </c>
      <c r="AD2" t="n">
        <v>-2.66630144682283</v>
      </c>
      <c r="AE2" t="n">
        <v>-4.054794248971</v>
      </c>
      <c r="AF2"/>
    </row>
    <row r="3">
      <c r="A3" t="s">
        <v>110</v>
      </c>
      <c r="B3" t="s">
        <v>283</v>
      </c>
      <c r="C3" t="s">
        <v>111</v>
      </c>
      <c r="D3" t="s">
        <v>284</v>
      </c>
      <c r="E3" t="s">
        <v>27</v>
      </c>
      <c r="F3" t="n">
        <v>-0.613012632496517</v>
      </c>
      <c r="G3" t="n">
        <v>0.305206303594322</v>
      </c>
      <c r="H3" t="n">
        <v>5.4548534642947</v>
      </c>
      <c r="I3" t="n">
        <v>-5.968021676292</v>
      </c>
      <c r="J3" t="n">
        <v>-2.19853150805646</v>
      </c>
      <c r="K3" t="n">
        <v>-0.940110277762466</v>
      </c>
      <c r="L3" t="n">
        <v>-2.21471521347054</v>
      </c>
      <c r="M3" t="n">
        <v>-10.0520194612183</v>
      </c>
      <c r="N3" t="n">
        <v>-0.0994805615213062</v>
      </c>
      <c r="O3" t="n">
        <v>-12.8664251407605</v>
      </c>
      <c r="P3" t="n">
        <v>-0.631418099089162</v>
      </c>
      <c r="Q3" t="n">
        <v>0.0135738556168162</v>
      </c>
      <c r="R3" t="n">
        <v>0.45814402130141</v>
      </c>
      <c r="S3" t="n">
        <v>-12.0076104208815</v>
      </c>
      <c r="T3" t="n">
        <v>8.03599001429174</v>
      </c>
      <c r="U3" t="n">
        <v>-0.688666141222388</v>
      </c>
      <c r="V3" t="n">
        <v>-7.63593325342431</v>
      </c>
      <c r="W3" t="n">
        <v>0.828538085661082</v>
      </c>
      <c r="X3" t="n">
        <v>0.0313057265092757</v>
      </c>
      <c r="Y3" t="n">
        <v>14.1771642121942</v>
      </c>
      <c r="Z3" t="n">
        <v>-0.429300896448548</v>
      </c>
      <c r="AA3" t="n">
        <v>-13.029464913287</v>
      </c>
      <c r="AB3" t="n">
        <v>11.6575584962281</v>
      </c>
      <c r="AC3" t="n">
        <v>-12.9407807766035</v>
      </c>
      <c r="AD3" t="n">
        <v>0.634259603061261</v>
      </c>
      <c r="AE3" t="n">
        <v>-0.779478019294768</v>
      </c>
      <c r="AF3"/>
    </row>
    <row r="4">
      <c r="A4" t="s">
        <v>112</v>
      </c>
      <c r="B4" t="s">
        <v>283</v>
      </c>
      <c r="C4" t="s">
        <v>113</v>
      </c>
      <c r="D4" t="s">
        <v>284</v>
      </c>
      <c r="E4" t="s">
        <v>27</v>
      </c>
      <c r="F4" t="n">
        <v>-1.11055150728674</v>
      </c>
      <c r="G4" t="n">
        <v>-0.312321300188215</v>
      </c>
      <c r="H4" t="n">
        <v>-0.846823498004689</v>
      </c>
      <c r="I4" t="n">
        <v>-3.95831797410492</v>
      </c>
      <c r="J4" t="n">
        <v>-1.73538906935127</v>
      </c>
      <c r="K4" t="n">
        <v>0.321727729156049</v>
      </c>
      <c r="L4" t="n">
        <v>-2.81624064946516</v>
      </c>
      <c r="M4" t="n">
        <v>-3.07164552694539</v>
      </c>
      <c r="N4" t="n">
        <v>-1.40926563619294</v>
      </c>
      <c r="O4" t="n">
        <v>-1.05183221552368</v>
      </c>
      <c r="P4" t="n">
        <v>-0.589230747329635</v>
      </c>
      <c r="Q4" t="n">
        <v>2.02183277773386</v>
      </c>
      <c r="R4" t="n">
        <v>-0.144588084072411</v>
      </c>
      <c r="S4" t="n">
        <v>-2.12538570305083</v>
      </c>
      <c r="T4" t="n">
        <v>-7.72818259690648</v>
      </c>
      <c r="U4" t="n">
        <v>2.13162332468063</v>
      </c>
      <c r="V4" t="n">
        <v>-0.485934690583477</v>
      </c>
      <c r="W4" t="n">
        <v>0.0390022630844472</v>
      </c>
      <c r="X4" t="n">
        <v>-2.38755889547326</v>
      </c>
      <c r="Y4" t="n">
        <v>-0.0787648540560104</v>
      </c>
      <c r="Z4" t="n">
        <v>-0.27011080849157</v>
      </c>
      <c r="AA4" t="n">
        <v>0.38302134313162</v>
      </c>
      <c r="AB4" t="n">
        <v>0.945648065871831</v>
      </c>
      <c r="AC4" t="n">
        <v>0.0815571427722254</v>
      </c>
      <c r="AD4" t="n">
        <v>-1.41643385062755</v>
      </c>
      <c r="AE4" t="n">
        <v>-4.20437116417888</v>
      </c>
      <c r="AF4"/>
    </row>
    <row r="5">
      <c r="A5" t="s">
        <v>114</v>
      </c>
      <c r="B5" t="s">
        <v>283</v>
      </c>
      <c r="C5" t="s">
        <v>115</v>
      </c>
      <c r="D5" t="s">
        <v>284</v>
      </c>
      <c r="E5" t="s">
        <v>27</v>
      </c>
      <c r="F5" t="n">
        <v>-0.0817758495955131</v>
      </c>
      <c r="G5" t="n">
        <v>0.339634186655643</v>
      </c>
      <c r="H5" t="n">
        <v>-2.20442558137393</v>
      </c>
      <c r="I5" t="n">
        <v>-1.39472964766041</v>
      </c>
      <c r="J5" t="n">
        <v>-0.708242151564046</v>
      </c>
      <c r="K5" t="n">
        <v>0.379087998580037</v>
      </c>
      <c r="L5" t="n">
        <v>-0.665876533400437</v>
      </c>
      <c r="M5" t="n">
        <v>-0.382397694877851</v>
      </c>
      <c r="N5" t="n">
        <v>-1.48228392807226</v>
      </c>
      <c r="O5" t="n">
        <v>-0.685626359077961</v>
      </c>
      <c r="P5" t="n">
        <v>-0.61080367903718</v>
      </c>
      <c r="Q5" t="n">
        <v>0.88434339524856</v>
      </c>
      <c r="R5" t="n">
        <v>-2.09686194013754</v>
      </c>
      <c r="S5" t="n">
        <v>-1.2929030011404</v>
      </c>
      <c r="T5" t="n">
        <v>-3.80324319038284</v>
      </c>
      <c r="U5" t="n">
        <v>2.6126274751807</v>
      </c>
      <c r="V5" t="n">
        <v>-3.01389727720761</v>
      </c>
      <c r="W5" t="n">
        <v>3.5482537393435</v>
      </c>
      <c r="X5" t="n">
        <v>-1.85690136829435</v>
      </c>
      <c r="Y5" t="n">
        <v>0.0825154131420153</v>
      </c>
      <c r="Z5" t="n">
        <v>-0.358660739399532</v>
      </c>
      <c r="AA5" t="n">
        <v>-0.272034259473292</v>
      </c>
      <c r="AB5" t="n">
        <v>1.40920405223479</v>
      </c>
      <c r="AC5" t="n">
        <v>-1.08592312196632</v>
      </c>
      <c r="AD5" t="n">
        <v>-1.62238111135658</v>
      </c>
      <c r="AE5" t="n">
        <v>-4.59886292469187</v>
      </c>
      <c r="AF5"/>
    </row>
    <row r="6">
      <c r="A6" t="s">
        <v>116</v>
      </c>
      <c r="B6" t="s">
        <v>283</v>
      </c>
      <c r="C6" t="s">
        <v>117</v>
      </c>
      <c r="D6" t="s">
        <v>284</v>
      </c>
      <c r="E6" t="s">
        <v>27</v>
      </c>
      <c r="F6" t="n">
        <v>-5.71138690343822</v>
      </c>
      <c r="G6" t="n">
        <v>-2.94756220116403</v>
      </c>
      <c r="H6" t="n">
        <v>-5.21717898914553</v>
      </c>
      <c r="I6" t="n">
        <v>-9.00197394424096</v>
      </c>
      <c r="J6" t="n">
        <v>-5.94309598427078</v>
      </c>
      <c r="K6" t="n">
        <v>-7.03105593724577</v>
      </c>
      <c r="L6" t="n">
        <v>-6.70107306473352</v>
      </c>
      <c r="M6" t="n">
        <v>-8.00182161355262</v>
      </c>
      <c r="N6" t="n">
        <v>-4.66727845461434</v>
      </c>
      <c r="O6" t="n">
        <v>-5.76950770591034</v>
      </c>
      <c r="P6" t="n">
        <v>-5.4693665316806</v>
      </c>
      <c r="Q6" t="n">
        <v>0.776880616375849</v>
      </c>
      <c r="R6" t="n">
        <v>-3.43722438508257</v>
      </c>
      <c r="S6" t="n">
        <v>-5.42460853099036</v>
      </c>
      <c r="T6" t="n">
        <v>-10.6090526571292</v>
      </c>
      <c r="U6" t="n">
        <v>-1.21248931102308</v>
      </c>
      <c r="V6" t="n">
        <v>-1.25959136541899</v>
      </c>
      <c r="W6" t="n">
        <v>-0.28606733683058</v>
      </c>
      <c r="X6" t="n">
        <v>-6.16223693759818</v>
      </c>
      <c r="Y6" t="n">
        <v>-2.9634966630348</v>
      </c>
      <c r="Z6" t="n">
        <v>-4.9340455836171</v>
      </c>
      <c r="AA6" t="n">
        <v>0.0931939720508409</v>
      </c>
      <c r="AB6" t="n">
        <v>-1.62650887235398</v>
      </c>
      <c r="AC6" t="n">
        <v>-2.82638180249197</v>
      </c>
      <c r="AD6" t="n">
        <v>-3.77679088417466</v>
      </c>
      <c r="AE6" t="n">
        <v>-13.3563854323139</v>
      </c>
      <c r="AF6"/>
    </row>
    <row r="7">
      <c r="A7" t="s">
        <v>118</v>
      </c>
      <c r="B7" t="s">
        <v>283</v>
      </c>
      <c r="C7" t="s">
        <v>119</v>
      </c>
      <c r="D7" t="s">
        <v>284</v>
      </c>
      <c r="E7" t="s">
        <v>27</v>
      </c>
      <c r="F7" t="n">
        <v>-0.971752035354674</v>
      </c>
      <c r="G7" t="n">
        <v>0.184046455373027</v>
      </c>
      <c r="H7" t="n">
        <v>-2.71711083006344</v>
      </c>
      <c r="I7" t="n">
        <v>-4.00391364069874</v>
      </c>
      <c r="J7" t="n">
        <v>-2.4168670041561</v>
      </c>
      <c r="K7" t="n">
        <v>-1.0107871471666</v>
      </c>
      <c r="L7" t="n">
        <v>-2.3291813584632</v>
      </c>
      <c r="M7" t="n">
        <v>-3.01957649398997</v>
      </c>
      <c r="N7" t="n">
        <v>-2.11802967483432</v>
      </c>
      <c r="O7" t="n">
        <v>-2.44423561802907</v>
      </c>
      <c r="P7" t="n">
        <v>-1.96446778979299</v>
      </c>
      <c r="Q7" t="n">
        <v>0.777999420636718</v>
      </c>
      <c r="R7" t="n">
        <v>-3.68300424089713</v>
      </c>
      <c r="S7" t="n">
        <v>-3.81076358314884</v>
      </c>
      <c r="T7" t="n">
        <v>-6.27139224481092</v>
      </c>
      <c r="U7" t="n">
        <v>-0.504282331937398</v>
      </c>
      <c r="V7" t="n">
        <v>-2.28379039999874</v>
      </c>
      <c r="W7" t="n">
        <v>1.74057997136674</v>
      </c>
      <c r="X7" t="n">
        <v>-4.45328280366109</v>
      </c>
      <c r="Y7" t="n">
        <v>-1.85288286047128</v>
      </c>
      <c r="Z7" t="n">
        <v>-1.87230497244236</v>
      </c>
      <c r="AA7" t="n">
        <v>-0.478462653150178</v>
      </c>
      <c r="AB7" t="n">
        <v>-0.413044419336247</v>
      </c>
      <c r="AC7" t="n">
        <v>-1.71069939001574</v>
      </c>
      <c r="AD7" t="n">
        <v>-2.13367838727947</v>
      </c>
      <c r="AE7" t="n">
        <v>-7.35784066973634</v>
      </c>
      <c r="AF7"/>
    </row>
    <row r="8">
      <c r="A8" t="s">
        <v>120</v>
      </c>
      <c r="B8" t="s">
        <v>283</v>
      </c>
      <c r="C8" t="s">
        <v>121</v>
      </c>
      <c r="D8" t="s">
        <v>284</v>
      </c>
      <c r="E8" t="s">
        <v>27</v>
      </c>
      <c r="F8" t="n">
        <v>-1.69584731749498</v>
      </c>
      <c r="G8" t="n">
        <v>-0.249513167998205</v>
      </c>
      <c r="H8" t="n">
        <v>-0.333769561429724</v>
      </c>
      <c r="I8" t="n">
        <v>-1.0944256711666</v>
      </c>
      <c r="J8" t="n">
        <v>-1.79526040390519</v>
      </c>
      <c r="K8" t="n">
        <v>-1.54550747923411</v>
      </c>
      <c r="L8" t="n">
        <v>-1.01572486578028</v>
      </c>
      <c r="M8" t="n">
        <v>-1.97776134070055</v>
      </c>
      <c r="N8" t="n">
        <v>-1.0110066202219</v>
      </c>
      <c r="O8" t="n">
        <v>-1.6686039539078</v>
      </c>
      <c r="P8" t="n">
        <v>-0.658339306063994</v>
      </c>
      <c r="Q8" t="n">
        <v>0.199510386467939</v>
      </c>
      <c r="R8" t="n">
        <v>-1.77516730505069</v>
      </c>
      <c r="S8" t="n">
        <v>0.21694652699623</v>
      </c>
      <c r="T8" t="n">
        <v>-1.81432442882788</v>
      </c>
      <c r="U8" t="n">
        <v>1.79440567862895</v>
      </c>
      <c r="V8" t="n">
        <v>2.68196390636838</v>
      </c>
      <c r="W8" t="n">
        <v>-2.29573018837882</v>
      </c>
      <c r="X8" t="n">
        <v>-1.52640653301975</v>
      </c>
      <c r="Y8" t="n">
        <v>1.14950812466473</v>
      </c>
      <c r="Z8" t="n">
        <v>-0.917699499302228</v>
      </c>
      <c r="AA8" t="n">
        <v>1.33628779232538</v>
      </c>
      <c r="AB8" t="n">
        <v>1.16815956384212</v>
      </c>
      <c r="AC8" t="n">
        <v>0.683350451215719</v>
      </c>
      <c r="AD8" t="n">
        <v>0.542595845872438</v>
      </c>
      <c r="AE8" t="n">
        <v>2.34738226721672</v>
      </c>
      <c r="AF8"/>
    </row>
    <row r="9">
      <c r="A9" t="s">
        <v>122</v>
      </c>
      <c r="B9" t="s">
        <v>283</v>
      </c>
      <c r="C9" t="s">
        <v>123</v>
      </c>
      <c r="D9" t="s">
        <v>284</v>
      </c>
      <c r="E9" t="s">
        <v>27</v>
      </c>
      <c r="F9" t="n">
        <v>-1.8690343570426</v>
      </c>
      <c r="G9" t="n">
        <v>0.108728164529822</v>
      </c>
      <c r="H9" t="n">
        <v>-0.0477187493003775</v>
      </c>
      <c r="I9" t="n">
        <v>-1.57416959198859</v>
      </c>
      <c r="J9" t="n">
        <v>-0.110963211587406</v>
      </c>
      <c r="K9" t="n">
        <v>0.0603151343263745</v>
      </c>
      <c r="L9" t="n">
        <v>-0.576694713220607</v>
      </c>
      <c r="M9" t="n">
        <v>-1.40377147663103</v>
      </c>
      <c r="N9" t="n">
        <v>-1.37542684540171</v>
      </c>
      <c r="O9" t="n">
        <v>-0.580814759124462</v>
      </c>
      <c r="P9" t="n">
        <v>1.00840965239686</v>
      </c>
      <c r="Q9" t="n">
        <v>1.10094452573808</v>
      </c>
      <c r="R9" t="n">
        <v>-1.4911256654273</v>
      </c>
      <c r="S9" t="n">
        <v>-0.38864353565612</v>
      </c>
      <c r="T9" t="n">
        <v>-3.23096071312213</v>
      </c>
      <c r="U9" t="n">
        <v>0.808203470639546</v>
      </c>
      <c r="V9" t="n">
        <v>0.865971705531471</v>
      </c>
      <c r="W9" t="n">
        <v>-0.834547166504356</v>
      </c>
      <c r="X9" t="n">
        <v>-2.09490495217124</v>
      </c>
      <c r="Y9" t="n">
        <v>-0.486265734185827</v>
      </c>
      <c r="Z9" t="n">
        <v>0.9187620444786</v>
      </c>
      <c r="AA9" t="n">
        <v>1.10951205058194</v>
      </c>
      <c r="AB9" t="n">
        <v>1.69619277376921</v>
      </c>
      <c r="AC9" t="n">
        <v>1.15573748810396</v>
      </c>
      <c r="AD9" t="n">
        <v>-0.214272554201901</v>
      </c>
      <c r="AE9" t="n">
        <v>0.615879995645843</v>
      </c>
      <c r="AF9"/>
    </row>
    <row r="10">
      <c r="A10" t="s">
        <v>124</v>
      </c>
      <c r="B10" t="s">
        <v>283</v>
      </c>
      <c r="C10" t="s">
        <v>125</v>
      </c>
      <c r="D10" t="s">
        <v>284</v>
      </c>
      <c r="E10" t="s">
        <v>27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283</v>
      </c>
      <c r="C11" t="s">
        <v>127</v>
      </c>
      <c r="D11" t="s">
        <v>284</v>
      </c>
      <c r="E11" t="s">
        <v>27</v>
      </c>
      <c r="F11" t="n">
        <v>-0.87437379546333</v>
      </c>
      <c r="G11" t="n">
        <v>0.701077287848098</v>
      </c>
      <c r="H11" t="n">
        <v>-0.36488506378827</v>
      </c>
      <c r="I11" t="n">
        <v>-1.78462319805187</v>
      </c>
      <c r="J11" t="n">
        <v>0.996091642516556</v>
      </c>
      <c r="K11" t="n">
        <v>0.378627140169681</v>
      </c>
      <c r="L11" t="n">
        <v>0.874704455499241</v>
      </c>
      <c r="M11" t="n">
        <v>-0.171576919356724</v>
      </c>
      <c r="N11" t="n">
        <v>-1.61916408877542</v>
      </c>
      <c r="O11" t="n">
        <v>0.444345207420465</v>
      </c>
      <c r="P11" t="n">
        <v>0.313792936907773</v>
      </c>
      <c r="Q11" t="n">
        <v>0.969354605937891</v>
      </c>
      <c r="R11" t="n">
        <v>-3.62878278879371</v>
      </c>
      <c r="S11" t="n">
        <v>-1.02832817835344</v>
      </c>
      <c r="T11" t="n">
        <v>-1.54188021027252</v>
      </c>
      <c r="U11" t="n">
        <v>1.36535740107834</v>
      </c>
      <c r="V11" t="n">
        <v>-0.470982848324538</v>
      </c>
      <c r="W11" t="n">
        <v>1.18518323068401</v>
      </c>
      <c r="X11" t="n">
        <v>-1.0427836515683</v>
      </c>
      <c r="Y11" t="n">
        <v>0.960644193315199</v>
      </c>
      <c r="Z11" t="n">
        <v>0.239261124427797</v>
      </c>
      <c r="AA11" t="n">
        <v>0.387196845067392</v>
      </c>
      <c r="AB11" t="n">
        <v>0.0866305965519683</v>
      </c>
      <c r="AC11" t="n">
        <v>-0.0174183677739769</v>
      </c>
      <c r="AD11" t="n">
        <v>0.0357714473254252</v>
      </c>
      <c r="AE11" t="n">
        <v>0.420009900005395</v>
      </c>
      <c r="AF11"/>
    </row>
    <row r="12">
      <c r="A12" t="s">
        <v>128</v>
      </c>
      <c r="B12" t="s">
        <v>283</v>
      </c>
      <c r="C12" t="s">
        <v>129</v>
      </c>
      <c r="D12" t="s">
        <v>284</v>
      </c>
      <c r="E12" t="s">
        <v>27</v>
      </c>
      <c r="F12" t="n">
        <v>-0.801732759855777</v>
      </c>
      <c r="G12" t="n">
        <v>-0.637265691521576</v>
      </c>
      <c r="H12" t="n">
        <v>-1.50607999544159</v>
      </c>
      <c r="I12" t="n">
        <v>-4.62359434742602</v>
      </c>
      <c r="J12" t="n">
        <v>-1.6061313810207</v>
      </c>
      <c r="K12" t="n">
        <v>0.617435453314502</v>
      </c>
      <c r="L12" t="n">
        <v>-2.53091265023898</v>
      </c>
      <c r="M12" t="n">
        <v>-3.6397809304062</v>
      </c>
      <c r="N12" t="n">
        <v>-0.981388863255793</v>
      </c>
      <c r="O12" t="n">
        <v>-1.56302237080278</v>
      </c>
      <c r="P12" t="n">
        <v>-1.22963564056034</v>
      </c>
      <c r="Q12" t="n">
        <v>1.6343569365976</v>
      </c>
      <c r="R12" t="n">
        <v>1.06185190774573</v>
      </c>
      <c r="S12" t="n">
        <v>-3.38900470187176</v>
      </c>
      <c r="T12" t="n">
        <v>-7.91538473474263</v>
      </c>
      <c r="U12" t="n">
        <v>2.89628886186317</v>
      </c>
      <c r="V12" t="n">
        <v>0.201003021824809</v>
      </c>
      <c r="W12" t="n">
        <v>1.07000615701339</v>
      </c>
      <c r="X12" t="n">
        <v>-0.58925107139681</v>
      </c>
      <c r="Y12" t="n">
        <v>-1.11074647290759</v>
      </c>
      <c r="Z12" t="n">
        <v>0.168335903921424</v>
      </c>
      <c r="AA12" t="n">
        <v>0.330304833155524</v>
      </c>
      <c r="AB12" t="n">
        <v>1.23152957556605</v>
      </c>
      <c r="AC12" t="n">
        <v>1.22063424597993</v>
      </c>
      <c r="AD12" t="n">
        <v>-1.08228103187917</v>
      </c>
      <c r="AE12" t="n">
        <v>-4.76871851622466</v>
      </c>
      <c r="AF12"/>
    </row>
    <row r="13">
      <c r="A13" t="s">
        <v>130</v>
      </c>
      <c r="B13" t="s">
        <v>283</v>
      </c>
      <c r="C13" t="s">
        <v>131</v>
      </c>
      <c r="D13" t="s">
        <v>284</v>
      </c>
      <c r="E13" t="s">
        <v>27</v>
      </c>
      <c r="F13" t="n">
        <v>-0.501342716506436</v>
      </c>
      <c r="G13" t="n">
        <v>-0.180221665332589</v>
      </c>
      <c r="H13" t="n">
        <v>-0.384501692646178</v>
      </c>
      <c r="I13" t="n">
        <v>-6.29220365348445</v>
      </c>
      <c r="J13" t="n">
        <v>-3.37657033751504</v>
      </c>
      <c r="K13" t="n">
        <v>2.30689228162609</v>
      </c>
      <c r="L13" t="n">
        <v>-3.03651321283482</v>
      </c>
      <c r="M13" t="n">
        <v>-2.75173820401082</v>
      </c>
      <c r="N13" t="n">
        <v>-1.9945408757604</v>
      </c>
      <c r="O13" t="n">
        <v>-1.59417427941748</v>
      </c>
      <c r="P13" t="n">
        <v>0.406424239029889</v>
      </c>
      <c r="Q13" t="n">
        <v>3.13875472393447</v>
      </c>
      <c r="R13" t="n">
        <v>0.114497324835112</v>
      </c>
      <c r="S13" t="n">
        <v>-2.13179512392692</v>
      </c>
      <c r="T13" t="n">
        <v>-11.0005480055503</v>
      </c>
      <c r="U13" t="n">
        <v>3.23300660023865</v>
      </c>
      <c r="V13" t="n">
        <v>0.0868851986066223</v>
      </c>
      <c r="W13" t="n">
        <v>1.88147370961658</v>
      </c>
      <c r="X13" t="n">
        <v>-1.91497859855776</v>
      </c>
      <c r="Y13" t="n">
        <v>0.635630002363123</v>
      </c>
      <c r="Z13" t="n">
        <v>-2.4524462164403</v>
      </c>
      <c r="AA13" t="n">
        <v>1.32378931443721</v>
      </c>
      <c r="AB13" t="n">
        <v>1.51727070348828</v>
      </c>
      <c r="AC13" t="n">
        <v>0.994935337879171</v>
      </c>
      <c r="AD13" t="n">
        <v>-1.38656167072118</v>
      </c>
      <c r="AE13" t="n">
        <v>-6.42949782292318</v>
      </c>
      <c r="AF13"/>
    </row>
    <row r="14">
      <c r="A14" t="s">
        <v>132</v>
      </c>
      <c r="B14" t="s">
        <v>283</v>
      </c>
      <c r="C14" t="s">
        <v>133</v>
      </c>
      <c r="D14" t="s">
        <v>284</v>
      </c>
      <c r="E14" t="s">
        <v>27</v>
      </c>
      <c r="F14" t="n">
        <v>-0.25163800503272</v>
      </c>
      <c r="G14" t="n">
        <v>-0.959336576059526</v>
      </c>
      <c r="H14" t="n">
        <v>0.956320729046857</v>
      </c>
      <c r="I14" t="n">
        <v>-1.82600994500345</v>
      </c>
      <c r="J14" t="n">
        <v>0.10972747124676</v>
      </c>
      <c r="K14" t="n">
        <v>1.05151534764059</v>
      </c>
      <c r="L14" t="n">
        <v>-5.10293808175983</v>
      </c>
      <c r="M14" t="n">
        <v>-4.8055353727112</v>
      </c>
      <c r="N14" t="n">
        <v>-1.04290774241</v>
      </c>
      <c r="O14" t="n">
        <v>-1.00051736605649</v>
      </c>
      <c r="P14" t="n">
        <v>-2.7995504554043</v>
      </c>
      <c r="Q14" t="n">
        <v>2.91648976377283</v>
      </c>
      <c r="R14" t="n">
        <v>1.13163544223854</v>
      </c>
      <c r="S14" t="n">
        <v>-2.544612514529</v>
      </c>
      <c r="T14" t="n">
        <v>-8.20063581498105</v>
      </c>
      <c r="U14" t="n">
        <v>1.18345824001066</v>
      </c>
      <c r="V14" t="n">
        <v>-0.654478729387216</v>
      </c>
      <c r="W14" t="n">
        <v>-5.93541642077336</v>
      </c>
      <c r="X14" t="n">
        <v>-3.49338620941995</v>
      </c>
      <c r="Y14" t="n">
        <v>-1.02726012842806</v>
      </c>
      <c r="Z14" t="n">
        <v>-0.57073466315475</v>
      </c>
      <c r="AA14" t="n">
        <v>-0.0733223302690069</v>
      </c>
      <c r="AB14" t="n">
        <v>0.779195240367675</v>
      </c>
      <c r="AC14" t="n">
        <v>0.658711434317198</v>
      </c>
      <c r="AD14" t="n">
        <v>-1.04978702564679</v>
      </c>
      <c r="AE14" t="n">
        <v>-1.51741361524921</v>
      </c>
      <c r="AF14"/>
    </row>
    <row r="15">
      <c r="A15" t="s">
        <v>134</v>
      </c>
      <c r="B15" t="s">
        <v>283</v>
      </c>
      <c r="C15" t="s">
        <v>135</v>
      </c>
      <c r="D15" t="s">
        <v>284</v>
      </c>
      <c r="E15" t="s">
        <v>27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283</v>
      </c>
      <c r="C16" t="s">
        <v>137</v>
      </c>
      <c r="D16" t="s">
        <v>284</v>
      </c>
      <c r="E16" t="s">
        <v>27</v>
      </c>
      <c r="F16" t="n">
        <v>-1.07821161251031</v>
      </c>
      <c r="G16" t="n">
        <v>-1.17580025190294</v>
      </c>
      <c r="H16" t="n">
        <v>0.147420954946891</v>
      </c>
      <c r="I16" t="n">
        <v>-4.08169451229436</v>
      </c>
      <c r="J16" t="n">
        <v>-0.732536799959891</v>
      </c>
      <c r="K16" t="n">
        <v>0.90321907822272</v>
      </c>
      <c r="L16" t="n">
        <v>-3.5107222852297</v>
      </c>
      <c r="M16" t="n">
        <v>-3.66296649413105</v>
      </c>
      <c r="N16" t="n">
        <v>-3.32578364902766</v>
      </c>
      <c r="O16" t="n">
        <v>-0.522787237017007</v>
      </c>
      <c r="P16" t="n">
        <v>1.27148328692166</v>
      </c>
      <c r="Q16" t="n">
        <v>2.80817993722114</v>
      </c>
      <c r="R16" t="n">
        <v>-0.246756722629785</v>
      </c>
      <c r="S16" t="n">
        <v>-4.35100410186384</v>
      </c>
      <c r="T16" t="n">
        <v>-7.0226816599143</v>
      </c>
      <c r="U16" t="n">
        <v>3.35643871975183</v>
      </c>
      <c r="V16" t="n">
        <v>-0.613843297149559</v>
      </c>
      <c r="W16" t="n">
        <v>-1.27436774982186</v>
      </c>
      <c r="X16" t="n">
        <v>-2.16827217081068</v>
      </c>
      <c r="Y16" t="n">
        <v>0.244542270476503</v>
      </c>
      <c r="Z16" t="n">
        <v>0.255608478441766</v>
      </c>
      <c r="AA16" t="n">
        <v>-0.165695723527511</v>
      </c>
      <c r="AB16" t="n">
        <v>-0.467232977052375</v>
      </c>
      <c r="AC16" t="n">
        <v>0.881890807022447</v>
      </c>
      <c r="AD16" t="n">
        <v>-0.578300933912137</v>
      </c>
      <c r="AE16" t="n">
        <v>-2.48127092321017</v>
      </c>
      <c r="AF16"/>
    </row>
    <row r="17">
      <c r="A17" t="s">
        <v>138</v>
      </c>
      <c r="B17" t="s">
        <v>283</v>
      </c>
      <c r="C17" t="s">
        <v>139</v>
      </c>
      <c r="D17" t="s">
        <v>284</v>
      </c>
      <c r="E17" t="s">
        <v>27</v>
      </c>
      <c r="F17" t="n">
        <v>0.822384187389679</v>
      </c>
      <c r="G17" t="n">
        <v>2.01600216999848</v>
      </c>
      <c r="H17" t="n">
        <v>0.00967683227789685</v>
      </c>
      <c r="I17" t="n">
        <v>-4.46539879964333</v>
      </c>
      <c r="J17" t="n">
        <v>-2.26206113732182</v>
      </c>
      <c r="K17" t="n">
        <v>2.81537381433398</v>
      </c>
      <c r="L17" t="n">
        <v>-3.35765763830988</v>
      </c>
      <c r="M17" t="n">
        <v>-4.21854723296473</v>
      </c>
      <c r="N17" t="n">
        <v>-0.931592385174031</v>
      </c>
      <c r="O17" t="n">
        <v>0.76941912431335</v>
      </c>
      <c r="P17" t="n">
        <v>0.419668734617461</v>
      </c>
      <c r="Q17" t="n">
        <v>3.89273686502517</v>
      </c>
      <c r="R17" t="n">
        <v>2.93183280166481</v>
      </c>
      <c r="S17" t="n">
        <v>0.331535891555741</v>
      </c>
      <c r="T17" t="n">
        <v>-13.3976218490262</v>
      </c>
      <c r="U17" t="n">
        <v>4.55696679092701</v>
      </c>
      <c r="V17" t="n">
        <v>0.716235769316827</v>
      </c>
      <c r="W17" t="n">
        <v>0.21861321807754</v>
      </c>
      <c r="X17" t="n">
        <v>-3.60116597023669</v>
      </c>
      <c r="Y17" t="n">
        <v>0.760153151238354</v>
      </c>
      <c r="Z17" t="n">
        <v>-0.3397319752465</v>
      </c>
      <c r="AA17" t="n">
        <v>-0.0281796344481751</v>
      </c>
      <c r="AB17" t="n">
        <v>2.91975372333469</v>
      </c>
      <c r="AC17" t="n">
        <v>0.909246736516294</v>
      </c>
      <c r="AD17" t="n">
        <v>-1.95165040777048</v>
      </c>
      <c r="AE17" t="n">
        <v>-4.27157694175466</v>
      </c>
      <c r="AF17"/>
    </row>
    <row r="18">
      <c r="A18" t="s">
        <v>140</v>
      </c>
      <c r="B18" t="s">
        <v>283</v>
      </c>
      <c r="C18" t="s">
        <v>141</v>
      </c>
      <c r="D18" t="s">
        <v>284</v>
      </c>
      <c r="E18" t="s">
        <v>27</v>
      </c>
      <c r="F18" t="n">
        <v>-1.5661382459477</v>
      </c>
      <c r="G18" t="n">
        <v>-0.23799052065024</v>
      </c>
      <c r="H18" t="n">
        <v>1.91216085271146</v>
      </c>
      <c r="I18" t="n">
        <v>-3.90739592814697</v>
      </c>
      <c r="J18" t="n">
        <v>-1.14136748263337</v>
      </c>
      <c r="K18" t="n">
        <v>0.532533842171502</v>
      </c>
      <c r="L18" t="n">
        <v>-1.15787199948697</v>
      </c>
      <c r="M18" t="n">
        <v>-0.490823220067525</v>
      </c>
      <c r="N18" t="n">
        <v>1.17046113692101</v>
      </c>
      <c r="O18" t="n">
        <v>0.864321274362317</v>
      </c>
      <c r="P18" t="n">
        <v>1.63144310132555</v>
      </c>
      <c r="Q18" t="n">
        <v>1.4475532903057</v>
      </c>
      <c r="R18" t="n">
        <v>0.504471251654696</v>
      </c>
      <c r="S18" t="n">
        <v>-1.39129802297623</v>
      </c>
      <c r="T18" t="n">
        <v>-9.23552380263464</v>
      </c>
      <c r="U18" t="n">
        <v>3.36266246903222</v>
      </c>
      <c r="V18" t="n">
        <v>0.49363519452545</v>
      </c>
      <c r="W18" t="n">
        <v>-0.0752389058944491</v>
      </c>
      <c r="X18" t="n">
        <v>-1.02896280356057</v>
      </c>
      <c r="Y18" t="n">
        <v>1.82930987595413</v>
      </c>
      <c r="Z18" t="n">
        <v>3.3951598450718</v>
      </c>
      <c r="AA18" t="n">
        <v>1.45509776944842</v>
      </c>
      <c r="AB18" t="n">
        <v>0.999226122278638</v>
      </c>
      <c r="AC18" t="n">
        <v>-0.477004872769738</v>
      </c>
      <c r="AD18" t="n">
        <v>-1.80462202158024</v>
      </c>
      <c r="AE18" t="n">
        <v>-4.15320572797501</v>
      </c>
      <c r="AF18"/>
    </row>
    <row r="19">
      <c r="A19" t="s">
        <v>142</v>
      </c>
      <c r="B19" t="s">
        <v>283</v>
      </c>
      <c r="C19" t="s">
        <v>143</v>
      </c>
      <c r="D19" t="s">
        <v>284</v>
      </c>
      <c r="E19" t="s">
        <v>27</v>
      </c>
      <c r="F19" t="n">
        <v>-2.51535216217397</v>
      </c>
      <c r="G19" t="n">
        <v>-0.248746311322153</v>
      </c>
      <c r="H19" t="n">
        <v>-2.61639106475047</v>
      </c>
      <c r="I19" t="n">
        <v>-5.35501613683453</v>
      </c>
      <c r="J19" t="n">
        <v>-3.9897405418471</v>
      </c>
      <c r="K19" t="n">
        <v>-1.3643303032457</v>
      </c>
      <c r="L19" t="n">
        <v>-3.48000914136765</v>
      </c>
      <c r="M19" t="n">
        <v>-6.09716775855776</v>
      </c>
      <c r="N19" t="n">
        <v>-1.43062819548384</v>
      </c>
      <c r="O19" t="n">
        <v>-3.99902491475442</v>
      </c>
      <c r="P19" t="n">
        <v>-0.998403443524491</v>
      </c>
      <c r="Q19" t="n">
        <v>2.41348290741304</v>
      </c>
      <c r="R19" t="n">
        <v>1.12400749954592</v>
      </c>
      <c r="S19" t="n">
        <v>-3.43966894892976</v>
      </c>
      <c r="T19" t="n">
        <v>-4.96638938903418</v>
      </c>
      <c r="U19" t="n">
        <v>-1.89473514277448</v>
      </c>
      <c r="V19" t="n">
        <v>0.225972402811494</v>
      </c>
      <c r="W19" t="n">
        <v>1.23185637774881</v>
      </c>
      <c r="X19" t="n">
        <v>-3.51883133683279</v>
      </c>
      <c r="Y19" t="n">
        <v>-1.39759484596195</v>
      </c>
      <c r="Z19" t="n">
        <v>-1.67281708392526</v>
      </c>
      <c r="AA19" t="n">
        <v>0.780067317257863</v>
      </c>
      <c r="AB19" t="n">
        <v>-1.19594879519394</v>
      </c>
      <c r="AC19" t="n">
        <v>-1.36888291836301</v>
      </c>
      <c r="AD19" t="n">
        <v>-2.19772322963588</v>
      </c>
      <c r="AE19" t="n">
        <v>-8.83229821055886</v>
      </c>
      <c r="AF19"/>
    </row>
    <row r="20">
      <c r="A20" t="s">
        <v>144</v>
      </c>
      <c r="B20" t="s">
        <v>283</v>
      </c>
      <c r="C20" t="s">
        <v>145</v>
      </c>
      <c r="D20" t="s">
        <v>284</v>
      </c>
      <c r="E20" t="s">
        <v>27</v>
      </c>
      <c r="F20" t="n">
        <v>1.72921256509914</v>
      </c>
      <c r="G20" t="n">
        <v>-2.58463848971669</v>
      </c>
      <c r="H20" t="n">
        <v>-1.4495438784934</v>
      </c>
      <c r="I20" t="n">
        <v>0.521161318269578</v>
      </c>
      <c r="J20" t="n">
        <v>-0.267620636743789</v>
      </c>
      <c r="K20" t="n">
        <v>-0.948061969719155</v>
      </c>
      <c r="L20" t="n">
        <v>-0.517229374585269</v>
      </c>
      <c r="M20" t="n">
        <v>-0.304471242352588</v>
      </c>
      <c r="N20" t="n">
        <v>-1.33231017140641</v>
      </c>
      <c r="O20" t="n">
        <v>0.0172081571193296</v>
      </c>
      <c r="P20" t="n">
        <v>2.60938991128503</v>
      </c>
      <c r="Q20" t="n">
        <v>1.00986682612323</v>
      </c>
      <c r="R20" t="n">
        <v>-2.64098445551362</v>
      </c>
      <c r="S20" t="n">
        <v>0.0478725421062368</v>
      </c>
      <c r="T20" t="n">
        <v>0.931004886983356</v>
      </c>
      <c r="U20" t="n">
        <v>0.190147985074038</v>
      </c>
      <c r="V20" t="n">
        <v>-1.63272553934562</v>
      </c>
      <c r="W20" t="n">
        <v>0.693336455206172</v>
      </c>
      <c r="X20" t="n">
        <v>-1.58493088486069</v>
      </c>
      <c r="Y20" t="n">
        <v>-0.463757801484936</v>
      </c>
      <c r="Z20" t="n">
        <v>-0.0323655345151698</v>
      </c>
      <c r="AA20" t="n">
        <v>1.02330246096121</v>
      </c>
      <c r="AB20" t="n">
        <v>-1.88815205886186</v>
      </c>
      <c r="AC20" t="n">
        <v>0.129875662410379</v>
      </c>
      <c r="AD20" t="n">
        <v>-1.50285957735183</v>
      </c>
      <c r="AE20" t="n">
        <v>3.9144411130343</v>
      </c>
      <c r="AF20"/>
    </row>
    <row r="21">
      <c r="A21" t="s">
        <v>146</v>
      </c>
      <c r="B21" t="s">
        <v>283</v>
      </c>
      <c r="C21" t="s">
        <v>147</v>
      </c>
      <c r="D21" t="s">
        <v>284</v>
      </c>
      <c r="E21" t="s">
        <v>27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283</v>
      </c>
      <c r="C22" t="s">
        <v>149</v>
      </c>
      <c r="D22" t="s">
        <v>284</v>
      </c>
      <c r="E22" t="s">
        <v>27</v>
      </c>
      <c r="F22" t="n">
        <v>2.60514685035646</v>
      </c>
      <c r="G22" t="n">
        <v>-1.5954280755106</v>
      </c>
      <c r="H22" t="n">
        <v>0.227990440398083</v>
      </c>
      <c r="I22" t="n">
        <v>1.94063358252007</v>
      </c>
      <c r="J22" t="n">
        <v>1.10926169635756</v>
      </c>
      <c r="K22" t="n">
        <v>0.253999835864908</v>
      </c>
      <c r="L22" t="n">
        <v>0.0727466222708746</v>
      </c>
      <c r="M22" t="n">
        <v>0.242161508150861</v>
      </c>
      <c r="N22" t="n">
        <v>0.0879316289466486</v>
      </c>
      <c r="O22" t="n">
        <v>1.77251262416863</v>
      </c>
      <c r="P22" t="n">
        <v>3.38738421349106</v>
      </c>
      <c r="Q22" t="n">
        <v>1.73393629949528</v>
      </c>
      <c r="R22" t="n">
        <v>-2.10954507628952</v>
      </c>
      <c r="S22" t="n">
        <v>1.24445175947502</v>
      </c>
      <c r="T22" t="n">
        <v>1.68919148493993</v>
      </c>
      <c r="U22" t="n">
        <v>1.23408672454688</v>
      </c>
      <c r="V22" t="n">
        <v>-0.966465436609154</v>
      </c>
      <c r="W22" t="n">
        <v>0.148927919873696</v>
      </c>
      <c r="X22" t="n">
        <v>-1.70427159555649</v>
      </c>
      <c r="Y22" t="n">
        <v>-0.674142229485927</v>
      </c>
      <c r="Z22" t="n">
        <v>0.0175141704621336</v>
      </c>
      <c r="AA22" t="n">
        <v>0.574782175276836</v>
      </c>
      <c r="AB22" t="n">
        <v>-1.38389204459659</v>
      </c>
      <c r="AC22" t="n">
        <v>0.742020062784433</v>
      </c>
      <c r="AD22" t="n">
        <v>0.0369367661254276</v>
      </c>
      <c r="AE22" t="n">
        <v>-0.242797551739254</v>
      </c>
      <c r="AF22"/>
    </row>
    <row r="23">
      <c r="A23" t="s">
        <v>150</v>
      </c>
      <c r="B23" t="s">
        <v>283</v>
      </c>
      <c r="C23" t="s">
        <v>151</v>
      </c>
      <c r="D23" t="s">
        <v>284</v>
      </c>
      <c r="E23" t="s">
        <v>27</v>
      </c>
      <c r="F23" t="n">
        <v>1.5585631045542</v>
      </c>
      <c r="G23" t="n">
        <v>0.806870732131977</v>
      </c>
      <c r="H23" t="n">
        <v>0.34063627958947</v>
      </c>
      <c r="I23" t="n">
        <v>-3.36386269536109</v>
      </c>
      <c r="J23" t="n">
        <v>-1.21075842448916</v>
      </c>
      <c r="K23" t="n">
        <v>1.13874099197887</v>
      </c>
      <c r="L23" t="n">
        <v>-5.1911129745591</v>
      </c>
      <c r="M23" t="n">
        <v>-2.29523804568952</v>
      </c>
      <c r="N23" t="n">
        <v>-0.821954509294619</v>
      </c>
      <c r="O23" t="n">
        <v>2.60636834612616</v>
      </c>
      <c r="P23" t="n">
        <v>-4.92831618931431</v>
      </c>
      <c r="Q23" t="n">
        <v>-1.19014029164564</v>
      </c>
      <c r="R23" t="n">
        <v>0.321267464969062</v>
      </c>
      <c r="S23" t="n">
        <v>-2.85712556013687</v>
      </c>
      <c r="T23" t="n">
        <v>-6.16562746662445</v>
      </c>
      <c r="U23" t="n">
        <v>-2.43596714787373</v>
      </c>
      <c r="V23" t="n">
        <v>0.339417337512425</v>
      </c>
      <c r="W23" t="n">
        <v>0.329636577020685</v>
      </c>
      <c r="X23" t="n">
        <v>-1.95252588855651</v>
      </c>
      <c r="Y23" t="n">
        <v>2.01987167247604</v>
      </c>
      <c r="Z23" t="n">
        <v>-1.15523713754396</v>
      </c>
      <c r="AA23" t="n">
        <v>-1.7537982673453</v>
      </c>
      <c r="AB23" t="n">
        <v>1.29644118901981</v>
      </c>
      <c r="AC23" t="n">
        <v>-1.6442395853897</v>
      </c>
      <c r="AD23" t="n">
        <v>-1.72836792971431</v>
      </c>
      <c r="AE23" t="n">
        <v>-3.68456114373999</v>
      </c>
      <c r="AF23"/>
    </row>
    <row r="24">
      <c r="A24" t="s">
        <v>152</v>
      </c>
      <c r="B24" t="s">
        <v>283</v>
      </c>
      <c r="C24" t="s">
        <v>153</v>
      </c>
      <c r="D24" t="s">
        <v>284</v>
      </c>
      <c r="E24" t="s">
        <v>27</v>
      </c>
      <c r="F24" t="n">
        <v>0.394937971756112</v>
      </c>
      <c r="G24" t="n">
        <v>0.0247639061080973</v>
      </c>
      <c r="H24" t="n">
        <v>-1.52852550965723</v>
      </c>
      <c r="I24" t="n">
        <v>-0.205381013677417</v>
      </c>
      <c r="J24" t="n">
        <v>0.535820311363296</v>
      </c>
      <c r="K24" t="n">
        <v>-1.08798774129717</v>
      </c>
      <c r="L24" t="n">
        <v>-2.16337171038843</v>
      </c>
      <c r="M24" t="n">
        <v>-2.99702420731837</v>
      </c>
      <c r="N24" t="n">
        <v>-0.618981337943847</v>
      </c>
      <c r="O24" t="n">
        <v>0.998020477524048</v>
      </c>
      <c r="P24" t="n">
        <v>-1.41437389803302</v>
      </c>
      <c r="Q24" t="n">
        <v>-0.938167065793742</v>
      </c>
      <c r="R24" t="n">
        <v>-1.27948476411017</v>
      </c>
      <c r="S24" t="n">
        <v>-1.86881090033907</v>
      </c>
      <c r="T24" t="n">
        <v>-2.70132885772771</v>
      </c>
      <c r="U24" t="n">
        <v>0.979085097487493</v>
      </c>
      <c r="V24" t="n">
        <v>-0.586801150147674</v>
      </c>
      <c r="W24" t="n">
        <v>-1.81570618507676</v>
      </c>
      <c r="X24" t="n">
        <v>-1.08638840796825</v>
      </c>
      <c r="Y24" t="n">
        <v>-1.18170869351116</v>
      </c>
      <c r="Z24" t="n">
        <v>1.67946266291383</v>
      </c>
      <c r="AA24" t="n">
        <v>1.00109240902054</v>
      </c>
      <c r="AB24" t="n">
        <v>0.241702491108937</v>
      </c>
      <c r="AC24" t="n">
        <v>-1.97123298187877</v>
      </c>
      <c r="AD24" t="n">
        <v>-2.18643368191897</v>
      </c>
      <c r="AE24" t="n">
        <v>-5.07641571962559</v>
      </c>
      <c r="AF24"/>
    </row>
    <row r="25">
      <c r="A25" t="s">
        <v>154</v>
      </c>
      <c r="B25" t="s">
        <v>283</v>
      </c>
      <c r="C25" t="s">
        <v>155</v>
      </c>
      <c r="D25" t="s">
        <v>284</v>
      </c>
      <c r="E25" t="s">
        <v>27</v>
      </c>
      <c r="F25" t="n">
        <v>2.43162691971408</v>
      </c>
      <c r="G25" t="n">
        <v>1.16695756516835</v>
      </c>
      <c r="H25" t="n">
        <v>0.947583380232321</v>
      </c>
      <c r="I25" t="n">
        <v>-2.31415265867217</v>
      </c>
      <c r="J25" t="n">
        <v>-2.30364588045163</v>
      </c>
      <c r="K25" t="n">
        <v>-1.37926781824356</v>
      </c>
      <c r="L25" t="n">
        <v>1.16580393456937</v>
      </c>
      <c r="M25" t="n">
        <v>-2.2456796580937</v>
      </c>
      <c r="N25" t="n">
        <v>1.5560808925234</v>
      </c>
      <c r="O25" t="n">
        <v>0.273353842628764</v>
      </c>
      <c r="P25" t="n">
        <v>1.14659675366105</v>
      </c>
      <c r="Q25" t="n">
        <v>3.46312169041369</v>
      </c>
      <c r="R25" t="n">
        <v>-2.42515359729793</v>
      </c>
      <c r="S25" t="n">
        <v>-3.47926884233513</v>
      </c>
      <c r="T25" t="n">
        <v>-1.77141871068358</v>
      </c>
      <c r="U25" t="n">
        <v>1.3967573571679</v>
      </c>
      <c r="V25" t="n">
        <v>-0.398219459278653</v>
      </c>
      <c r="W25" t="n">
        <v>-1.34245732636926</v>
      </c>
      <c r="X25" t="n">
        <v>-1.47001456506811</v>
      </c>
      <c r="Y25" t="n">
        <v>-3.29651928507482</v>
      </c>
      <c r="Z25" t="n">
        <v>-1.00305970770582</v>
      </c>
      <c r="AA25" t="n">
        <v>-2.38960027763265</v>
      </c>
      <c r="AB25" t="n">
        <v>-1.06373907183048</v>
      </c>
      <c r="AC25" t="n">
        <v>1.60231710892772</v>
      </c>
      <c r="AD25" t="n">
        <v>-0.535180046098079</v>
      </c>
      <c r="AE25" t="n">
        <v>-6.65501189778027</v>
      </c>
      <c r="AF25"/>
    </row>
    <row r="26">
      <c r="A26" t="s">
        <v>156</v>
      </c>
      <c r="B26" t="s">
        <v>283</v>
      </c>
      <c r="C26" t="s">
        <v>157</v>
      </c>
      <c r="D26" t="s">
        <v>284</v>
      </c>
      <c r="E26" t="s">
        <v>27</v>
      </c>
      <c r="F26" t="n">
        <v>0.0573433949812299</v>
      </c>
      <c r="G26" t="n">
        <v>-0.989309210619501</v>
      </c>
      <c r="H26" t="n">
        <v>-1.78165610909939</v>
      </c>
      <c r="I26" t="n">
        <v>-1.71938818671266</v>
      </c>
      <c r="J26" t="n">
        <v>-1.07943729257364</v>
      </c>
      <c r="K26" t="n">
        <v>-3.86817495816967</v>
      </c>
      <c r="L26" t="n">
        <v>-3.00512899650623</v>
      </c>
      <c r="M26" t="n">
        <v>-5.21495047319003</v>
      </c>
      <c r="N26" t="n">
        <v>-1.18774667017774</v>
      </c>
      <c r="O26" t="n">
        <v>0.241040360868087</v>
      </c>
      <c r="P26" t="n">
        <v>-1.13489720323229</v>
      </c>
      <c r="Q26" t="n">
        <v>-0.7415865173565</v>
      </c>
      <c r="R26" t="n">
        <v>-0.0662975165315648</v>
      </c>
      <c r="S26" t="n">
        <v>-1.31228100483767</v>
      </c>
      <c r="T26" t="n">
        <v>-2.57310771319946</v>
      </c>
      <c r="U26" t="n">
        <v>0.147044438257352</v>
      </c>
      <c r="V26" t="n">
        <v>0.508922300176997</v>
      </c>
      <c r="W26" t="n">
        <v>-2.48619714184796</v>
      </c>
      <c r="X26" t="n">
        <v>-0.965019189517078</v>
      </c>
      <c r="Y26" t="n">
        <v>-0.688393446012003</v>
      </c>
      <c r="Z26" t="n">
        <v>3.0044347487367</v>
      </c>
      <c r="AA26" t="n">
        <v>1.41237564505746</v>
      </c>
      <c r="AB26" t="n">
        <v>1.07896176441913</v>
      </c>
      <c r="AC26" t="n">
        <v>-0.918907148582484</v>
      </c>
      <c r="AD26" t="n">
        <v>-3.51389673266817</v>
      </c>
      <c r="AE26" t="n">
        <v>-1.69544247060031</v>
      </c>
      <c r="AF26"/>
    </row>
    <row r="27">
      <c r="A27" t="s">
        <v>158</v>
      </c>
      <c r="B27" t="s">
        <v>283</v>
      </c>
      <c r="C27" t="s">
        <v>159</v>
      </c>
      <c r="D27" t="s">
        <v>284</v>
      </c>
      <c r="E27" t="s">
        <v>27</v>
      </c>
      <c r="F27" t="n">
        <v>0.439342739172235</v>
      </c>
      <c r="G27" t="n">
        <v>0.548115607019185</v>
      </c>
      <c r="H27" t="n">
        <v>-1.53193514703084</v>
      </c>
      <c r="I27" t="n">
        <v>0.86518224298665</v>
      </c>
      <c r="J27" t="n">
        <v>1.67045241379364</v>
      </c>
      <c r="K27" t="n">
        <v>0.499282129581597</v>
      </c>
      <c r="L27" t="n">
        <v>-1.91596590685097</v>
      </c>
      <c r="M27" t="n">
        <v>-1.82945618499931</v>
      </c>
      <c r="N27" t="n">
        <v>-0.481653444513019</v>
      </c>
      <c r="O27" t="n">
        <v>1.43072819049168</v>
      </c>
      <c r="P27" t="n">
        <v>-1.733746854309</v>
      </c>
      <c r="Q27" t="n">
        <v>-1.38891164939927</v>
      </c>
      <c r="R27" t="n">
        <v>-1.80382590326975</v>
      </c>
      <c r="S27" t="n">
        <v>-2.0066821809782</v>
      </c>
      <c r="T27" t="n">
        <v>-2.82349938984472</v>
      </c>
      <c r="U27" t="n">
        <v>1.3909228320738</v>
      </c>
      <c r="V27" t="n">
        <v>-1.20763160201339</v>
      </c>
      <c r="W27" t="n">
        <v>-1.47878977136718</v>
      </c>
      <c r="X27" t="n">
        <v>-1.11534746770038</v>
      </c>
      <c r="Y27" t="n">
        <v>-1.26300172032207</v>
      </c>
      <c r="Z27" t="n">
        <v>1.1556504158049</v>
      </c>
      <c r="AA27" t="n">
        <v>1.02872985961001</v>
      </c>
      <c r="AB27" t="n">
        <v>-0.124536585809549</v>
      </c>
      <c r="AC27" t="n">
        <v>-2.81450255062119</v>
      </c>
      <c r="AD27" t="n">
        <v>-1.54209183479907</v>
      </c>
      <c r="AE27" t="n">
        <v>-6.75942133518752</v>
      </c>
      <c r="AF27"/>
    </row>
    <row r="28">
      <c r="A28" t="s">
        <v>160</v>
      </c>
      <c r="B28" t="s">
        <v>283</v>
      </c>
      <c r="C28" t="s">
        <v>161</v>
      </c>
      <c r="D28" t="s">
        <v>284</v>
      </c>
      <c r="E28" t="s">
        <v>27</v>
      </c>
      <c r="F28" t="n">
        <v>1.75418126348689</v>
      </c>
      <c r="G28" t="n">
        <v>1.34152881619101</v>
      </c>
      <c r="H28" t="n">
        <v>-1.41919968060735</v>
      </c>
      <c r="I28" t="n">
        <v>-1.09648127618903</v>
      </c>
      <c r="J28" t="n">
        <v>-0.177589530570243</v>
      </c>
      <c r="K28" t="n">
        <v>1.36156502160185</v>
      </c>
      <c r="L28" t="n">
        <v>-2.25723795355046</v>
      </c>
      <c r="M28" t="n">
        <v>-0.928536355870517</v>
      </c>
      <c r="N28" t="n">
        <v>0.114925214734943</v>
      </c>
      <c r="O28" t="n">
        <v>-0.89988235156668</v>
      </c>
      <c r="P28" t="n">
        <v>-1.69910021074044</v>
      </c>
      <c r="Q28" t="n">
        <v>2.58864879596368</v>
      </c>
      <c r="R28" t="n">
        <v>0.862098369317877</v>
      </c>
      <c r="S28" t="n">
        <v>-2.54147879605264</v>
      </c>
      <c r="T28" t="n">
        <v>-1.07527466706873</v>
      </c>
      <c r="U28" t="n">
        <v>1.08527290719725</v>
      </c>
      <c r="V28" t="n">
        <v>-0.711725072118771</v>
      </c>
      <c r="W28" t="n">
        <v>1.52860379487607</v>
      </c>
      <c r="X28" t="n">
        <v>0.482923476245118</v>
      </c>
      <c r="Y28" t="n">
        <v>1.05006853669896</v>
      </c>
      <c r="Z28" t="n">
        <v>-1.2319964578876</v>
      </c>
      <c r="AA28" t="n">
        <v>-0.158289882531544</v>
      </c>
      <c r="AB28" t="n">
        <v>1.36201239564337</v>
      </c>
      <c r="AC28" t="n">
        <v>-1.57083817849496</v>
      </c>
      <c r="AD28" t="n">
        <v>-0.96250928836067</v>
      </c>
      <c r="AE28" t="n">
        <v>-3.72784243175345</v>
      </c>
      <c r="AF28"/>
    </row>
    <row r="29">
      <c r="A29" t="s">
        <v>162</v>
      </c>
      <c r="B29" t="s">
        <v>283</v>
      </c>
      <c r="C29" t="s">
        <v>163</v>
      </c>
      <c r="D29" t="s">
        <v>284</v>
      </c>
      <c r="E29" t="s">
        <v>27</v>
      </c>
      <c r="F29" t="n">
        <v>2.18720440647728</v>
      </c>
      <c r="G29" t="n">
        <v>2.07245401585556</v>
      </c>
      <c r="H29" t="n">
        <v>-1.40899951505316</v>
      </c>
      <c r="I29" t="n">
        <v>-1.083919691442</v>
      </c>
      <c r="J29" t="n">
        <v>0.078474196997166</v>
      </c>
      <c r="K29" t="n">
        <v>1.14348917755072</v>
      </c>
      <c r="L29" t="n">
        <v>-2.81577732796569</v>
      </c>
      <c r="M29" t="n">
        <v>-1.01634869596518</v>
      </c>
      <c r="N29" t="n">
        <v>0.384561752662646</v>
      </c>
      <c r="O29" t="n">
        <v>-0.900372188628119</v>
      </c>
      <c r="P29" t="n">
        <v>-1.98650259343636</v>
      </c>
      <c r="Q29" t="n">
        <v>2.39987112249017</v>
      </c>
      <c r="R29" t="n">
        <v>0.505016462537214</v>
      </c>
      <c r="S29" t="n">
        <v>-2.91986838228514</v>
      </c>
      <c r="T29" t="n">
        <v>-1.59246006117811</v>
      </c>
      <c r="U29" t="n">
        <v>0.675658339491101</v>
      </c>
      <c r="V29" t="n">
        <v>-0.666183446961906</v>
      </c>
      <c r="W29" t="n">
        <v>2.04231043325131</v>
      </c>
      <c r="X29" t="n">
        <v>0.459632548511953</v>
      </c>
      <c r="Y29" t="n">
        <v>0.977421617510813</v>
      </c>
      <c r="Z29" t="n">
        <v>-1.57461705682128</v>
      </c>
      <c r="AA29" t="n">
        <v>-0.41865631592609</v>
      </c>
      <c r="AB29" t="n">
        <v>1.6090922390012</v>
      </c>
      <c r="AC29" t="n">
        <v>-1.83269320728036</v>
      </c>
      <c r="AD29" t="n">
        <v>-1.55611116461442</v>
      </c>
      <c r="AE29" t="n">
        <v>-3.86544241452692</v>
      </c>
      <c r="AF29"/>
    </row>
    <row r="30">
      <c r="A30" t="s">
        <v>164</v>
      </c>
      <c r="B30" t="s">
        <v>283</v>
      </c>
      <c r="C30" t="s">
        <v>165</v>
      </c>
      <c r="D30" t="s">
        <v>284</v>
      </c>
      <c r="E30" t="s">
        <v>27</v>
      </c>
      <c r="F30" t="n">
        <v>0.76921673689583</v>
      </c>
      <c r="G30" t="n">
        <v>-0.542587526084585</v>
      </c>
      <c r="H30" t="n">
        <v>-4.05290548032822</v>
      </c>
      <c r="I30" t="n">
        <v>-3.51474212794764</v>
      </c>
      <c r="J30" t="n">
        <v>-3.92107067543754</v>
      </c>
      <c r="K30" t="n">
        <v>0.344478825898678</v>
      </c>
      <c r="L30" t="n">
        <v>-2.40804843226187</v>
      </c>
      <c r="M30" t="n">
        <v>-2.25186361333258</v>
      </c>
      <c r="N30" t="n">
        <v>-1.04469285526382</v>
      </c>
      <c r="O30" t="n">
        <v>-2.40676681048665</v>
      </c>
      <c r="P30" t="n">
        <v>-0.869938622902626</v>
      </c>
      <c r="Q30" t="n">
        <v>3.70525740505962</v>
      </c>
      <c r="R30" t="n">
        <v>0.817982922492605</v>
      </c>
      <c r="S30" t="n">
        <v>-1.43659008597601</v>
      </c>
      <c r="T30" t="n">
        <v>-1.34260742662005</v>
      </c>
      <c r="U30" t="n">
        <v>-0.383276764368649</v>
      </c>
      <c r="V30" t="n">
        <v>-0.986725750970176</v>
      </c>
      <c r="W30" t="n">
        <v>-0.529695996296633</v>
      </c>
      <c r="X30" t="n">
        <v>3.78673842859917</v>
      </c>
      <c r="Y30" t="n">
        <v>1.12816567308945</v>
      </c>
      <c r="Z30" t="n">
        <v>-3.14284361501824</v>
      </c>
      <c r="AA30" t="n">
        <v>-0.974085741216259</v>
      </c>
      <c r="AB30" t="n">
        <v>1.38554990865766</v>
      </c>
      <c r="AC30" t="n">
        <v>2.3069556345806</v>
      </c>
      <c r="AD30" t="n">
        <v>0.315100835282506</v>
      </c>
      <c r="AE30" t="n">
        <v>-5.31527399802908</v>
      </c>
      <c r="AF30"/>
    </row>
    <row r="31">
      <c r="A31" t="s">
        <v>166</v>
      </c>
      <c r="B31" t="s">
        <v>283</v>
      </c>
      <c r="C31" t="s">
        <v>167</v>
      </c>
      <c r="D31" t="s">
        <v>284</v>
      </c>
      <c r="E31" t="s">
        <v>27</v>
      </c>
      <c r="F31" t="n">
        <v>0.621420149030323</v>
      </c>
      <c r="G31" t="n">
        <v>-0.365052710213694</v>
      </c>
      <c r="H31" t="n">
        <v>-3.87851003926414</v>
      </c>
      <c r="I31" t="n">
        <v>-3.78056680716076</v>
      </c>
      <c r="J31" t="n">
        <v>-3.70817696390569</v>
      </c>
      <c r="K31" t="n">
        <v>2.01984812086425</v>
      </c>
      <c r="L31" t="n">
        <v>0.155500557446072</v>
      </c>
      <c r="M31" t="n">
        <v>-1.0960634338956</v>
      </c>
      <c r="N31" t="n">
        <v>-1.18495670964922</v>
      </c>
      <c r="O31" t="n">
        <v>-2.93970814814947</v>
      </c>
      <c r="P31" t="n">
        <v>-1.52248734363516</v>
      </c>
      <c r="Q31" t="n">
        <v>1.7126607965887</v>
      </c>
      <c r="R31" t="n">
        <v>4.79744144305519</v>
      </c>
      <c r="S31" t="n">
        <v>2.14035168364342</v>
      </c>
      <c r="T31" t="n">
        <v>1.05719273682529</v>
      </c>
      <c r="U31" t="n">
        <v>3.03199321637847</v>
      </c>
      <c r="V31" t="n">
        <v>2.31886107805721</v>
      </c>
      <c r="W31" t="n">
        <v>3.30034341176067</v>
      </c>
      <c r="X31" t="n">
        <v>-4.07492399436421</v>
      </c>
      <c r="Y31" t="n">
        <v>-7.02165795849627</v>
      </c>
      <c r="Z31" t="n">
        <v>-1.13856782751165</v>
      </c>
      <c r="AA31" t="n">
        <v>-1.54042783674765</v>
      </c>
      <c r="AB31" t="n">
        <v>-0.603612257518976</v>
      </c>
      <c r="AC31" t="n">
        <v>-0.60300460280268</v>
      </c>
      <c r="AD31" t="n">
        <v>-0.534841758100711</v>
      </c>
      <c r="AE31" t="n">
        <v>-0.88889624677111</v>
      </c>
      <c r="AF31"/>
    </row>
    <row r="32">
      <c r="A32" t="s">
        <v>168</v>
      </c>
      <c r="B32" t="s">
        <v>283</v>
      </c>
      <c r="C32" t="s">
        <v>169</v>
      </c>
      <c r="D32" t="s">
        <v>284</v>
      </c>
      <c r="E32" t="s">
        <v>27</v>
      </c>
      <c r="F32" t="n">
        <v>0.451819862485602</v>
      </c>
      <c r="G32" t="n">
        <v>0.0270826142224965</v>
      </c>
      <c r="H32" t="n">
        <v>-1.50903402485692</v>
      </c>
      <c r="I32" t="n">
        <v>-1.26524419200951</v>
      </c>
      <c r="J32" t="n">
        <v>-0.474612819591788</v>
      </c>
      <c r="K32" t="n">
        <v>2.06277753643069</v>
      </c>
      <c r="L32" t="n">
        <v>-0.406436928317052</v>
      </c>
      <c r="M32" t="n">
        <v>-0.698014900085657</v>
      </c>
      <c r="N32" t="n">
        <v>-0.758687997068157</v>
      </c>
      <c r="O32" t="n">
        <v>-0.53700569172745</v>
      </c>
      <c r="P32" t="n">
        <v>-0.872900345431278</v>
      </c>
      <c r="Q32" t="n">
        <v>3.05641006451616</v>
      </c>
      <c r="R32" t="n">
        <v>1.9952459162549</v>
      </c>
      <c r="S32" t="n">
        <v>-1.06647153865344</v>
      </c>
      <c r="T32" t="n">
        <v>-0.163142290492258</v>
      </c>
      <c r="U32" t="n">
        <v>0.870212945669028</v>
      </c>
      <c r="V32" t="n">
        <v>-1.44048825877386</v>
      </c>
      <c r="W32" t="n">
        <v>-0.191163914589628</v>
      </c>
      <c r="X32" t="n">
        <v>0.931083280137528</v>
      </c>
      <c r="Y32" t="n">
        <v>2.34600541886485</v>
      </c>
      <c r="Z32" t="n">
        <v>-0.289841439543386</v>
      </c>
      <c r="AA32" t="n">
        <v>0.874498601982878</v>
      </c>
      <c r="AB32" t="n">
        <v>1.62940520592023</v>
      </c>
      <c r="AC32" t="n">
        <v>-1.28315380268746</v>
      </c>
      <c r="AD32" t="n">
        <v>3.57208076404878</v>
      </c>
      <c r="AE32" t="n">
        <v>-3.42979259712048</v>
      </c>
      <c r="AF32"/>
    </row>
    <row r="33">
      <c r="A33" t="s">
        <v>170</v>
      </c>
      <c r="B33" t="s">
        <v>283</v>
      </c>
      <c r="C33" t="s">
        <v>171</v>
      </c>
      <c r="D33" t="s">
        <v>284</v>
      </c>
      <c r="E33" t="s">
        <v>27</v>
      </c>
      <c r="F33" t="n">
        <v>0.877178990392398</v>
      </c>
      <c r="G33" t="n">
        <v>-2.51181493358884</v>
      </c>
      <c r="H33" t="n">
        <v>2.04606561377978</v>
      </c>
      <c r="I33" t="n">
        <v>2.0444602403923</v>
      </c>
      <c r="J33" t="n">
        <v>1.50557479710221</v>
      </c>
      <c r="K33" t="n">
        <v>3.0802758513796</v>
      </c>
      <c r="L33" t="n">
        <v>-0.761051417351492</v>
      </c>
      <c r="M33" t="n">
        <v>0.343171921305442</v>
      </c>
      <c r="N33" t="n">
        <v>0.0675162456152225</v>
      </c>
      <c r="O33" t="n">
        <v>-0.0406486407208557</v>
      </c>
      <c r="P33" t="n">
        <v>-1.14565205344583</v>
      </c>
      <c r="Q33" t="n">
        <v>3.88990510843762</v>
      </c>
      <c r="R33" t="n">
        <v>1.09986513477805</v>
      </c>
      <c r="S33" t="n">
        <v>-4.72802729687429</v>
      </c>
      <c r="T33" t="n">
        <v>1.10335383538591</v>
      </c>
      <c r="U33" t="n">
        <v>5.43184446692564</v>
      </c>
      <c r="V33" t="n">
        <v>-1.40259256363111</v>
      </c>
      <c r="W33" t="n">
        <v>0.307841247608562</v>
      </c>
      <c r="X33" t="n">
        <v>0.630867124276122</v>
      </c>
      <c r="Y33" t="n">
        <v>3.45494216909937</v>
      </c>
      <c r="Z33" t="n">
        <v>0.952979186490638</v>
      </c>
      <c r="AA33" t="n">
        <v>1.46724288368539</v>
      </c>
      <c r="AB33" t="n">
        <v>-0.0371266385497393</v>
      </c>
      <c r="AC33" t="n">
        <v>-2.7657008356284</v>
      </c>
      <c r="AD33" t="n">
        <v>-4.42502429715526</v>
      </c>
      <c r="AE33" t="n">
        <v>-4.35226672661111</v>
      </c>
      <c r="AF33"/>
    </row>
    <row r="34">
      <c r="A34" t="s">
        <v>172</v>
      </c>
      <c r="B34" t="s">
        <v>283</v>
      </c>
      <c r="C34" t="s">
        <v>173</v>
      </c>
      <c r="D34" t="s">
        <v>284</v>
      </c>
      <c r="E34" t="s">
        <v>27</v>
      </c>
      <c r="F34" t="n">
        <v>1.57357585792149</v>
      </c>
      <c r="G34" t="n">
        <v>2.15106106047713</v>
      </c>
      <c r="H34" t="n">
        <v>-1.589072153748</v>
      </c>
      <c r="I34" t="n">
        <v>-0.709909573064896</v>
      </c>
      <c r="J34" t="n">
        <v>0.299013111849186</v>
      </c>
      <c r="K34" t="n">
        <v>0.281627517309868</v>
      </c>
      <c r="L34" t="n">
        <v>-2.13473909837489</v>
      </c>
      <c r="M34" t="n">
        <v>0.548416435171339</v>
      </c>
      <c r="N34" t="n">
        <v>-2.91236340777618</v>
      </c>
      <c r="O34" t="n">
        <v>1.96151717819418</v>
      </c>
      <c r="P34" t="n">
        <v>-1.39835041050703</v>
      </c>
      <c r="Q34" t="n">
        <v>0.0308015597598059</v>
      </c>
      <c r="R34" t="n">
        <v>-1.39298945312098</v>
      </c>
      <c r="S34" t="n">
        <v>-1.84207561915502</v>
      </c>
      <c r="T34" t="n">
        <v>-1.06912578578948</v>
      </c>
      <c r="U34" t="n">
        <v>0.27288244175283</v>
      </c>
      <c r="V34" t="n">
        <v>-3.13617605102873</v>
      </c>
      <c r="W34" t="n">
        <v>-0.313666121735376</v>
      </c>
      <c r="X34" t="n">
        <v>0.843902474073874</v>
      </c>
      <c r="Y34" t="n">
        <v>-1.18214203372093</v>
      </c>
      <c r="Z34" t="n">
        <v>-0.854580427755094</v>
      </c>
      <c r="AA34" t="n">
        <v>1.45854620210112</v>
      </c>
      <c r="AB34" t="n">
        <v>-2.27185662678052</v>
      </c>
      <c r="AC34" t="n">
        <v>0.605206203539464</v>
      </c>
      <c r="AD34" t="n">
        <v>-0.349881793743001</v>
      </c>
      <c r="AE34" t="n">
        <v>-12.474272195853</v>
      </c>
      <c r="AF34"/>
    </row>
    <row r="35">
      <c r="A35" t="s">
        <v>174</v>
      </c>
      <c r="B35" t="s">
        <v>283</v>
      </c>
      <c r="C35" t="s">
        <v>175</v>
      </c>
      <c r="D35" t="s">
        <v>284</v>
      </c>
      <c r="E35" t="s">
        <v>27</v>
      </c>
      <c r="F35" t="n">
        <v>1.29730026656329</v>
      </c>
      <c r="G35" t="n">
        <v>0.544524524879175</v>
      </c>
      <c r="H35" t="n">
        <v>1.02717271421596</v>
      </c>
      <c r="I35" t="n">
        <v>2.35739088242139</v>
      </c>
      <c r="J35" t="n">
        <v>0.324937979250029</v>
      </c>
      <c r="K35" t="n">
        <v>4.7874060362528</v>
      </c>
      <c r="L35" t="n">
        <v>1.50447752273908</v>
      </c>
      <c r="M35" t="n">
        <v>-1.07260509231878</v>
      </c>
      <c r="N35" t="n">
        <v>1.68522341195989</v>
      </c>
      <c r="O35" t="n">
        <v>0.000541861435394316</v>
      </c>
      <c r="P35" t="n">
        <v>3.10068148929882</v>
      </c>
      <c r="Q35" t="n">
        <v>3.10332841640552</v>
      </c>
      <c r="R35" t="n">
        <v>-0.325224619041146</v>
      </c>
      <c r="S35" t="n">
        <v>0.869003452426313</v>
      </c>
      <c r="T35" t="n">
        <v>-1.44478265486908</v>
      </c>
      <c r="U35" t="n">
        <v>1.86951635297408</v>
      </c>
      <c r="V35" t="n">
        <v>-1.2761774093808</v>
      </c>
      <c r="W35" t="n">
        <v>-3.21573871732051</v>
      </c>
      <c r="X35" t="n">
        <v>0.00426257194869422</v>
      </c>
      <c r="Y35" t="n">
        <v>1.59629701501794</v>
      </c>
      <c r="Z35" t="n">
        <v>-1.64982140125946</v>
      </c>
      <c r="AA35" t="n">
        <v>2.04149306918837</v>
      </c>
      <c r="AB35" t="n">
        <v>2.50667472455721</v>
      </c>
      <c r="AC35" t="n">
        <v>1.68883380963236</v>
      </c>
      <c r="AD35" t="n">
        <v>-0.648111809320819</v>
      </c>
      <c r="AE35" t="n">
        <v>1.22614366861852</v>
      </c>
      <c r="AF35"/>
    </row>
    <row r="36">
      <c r="A36" t="s">
        <v>176</v>
      </c>
      <c r="B36" t="s">
        <v>283</v>
      </c>
      <c r="C36" t="s">
        <v>177</v>
      </c>
      <c r="D36" t="s">
        <v>284</v>
      </c>
      <c r="E36" t="s">
        <v>27</v>
      </c>
      <c r="F36" t="n">
        <v>1.39281436424466</v>
      </c>
      <c r="G36" t="n">
        <v>0.41924864088245</v>
      </c>
      <c r="H36" t="n">
        <v>-0.185112630210456</v>
      </c>
      <c r="I36" t="n">
        <v>-1.396285326187</v>
      </c>
      <c r="J36" t="n">
        <v>-0.0162659915785238</v>
      </c>
      <c r="K36" t="n">
        <v>0.788441550261344</v>
      </c>
      <c r="L36" t="n">
        <v>-0.272593518172366</v>
      </c>
      <c r="M36" t="n">
        <v>-0.765670212823068</v>
      </c>
      <c r="N36" t="n">
        <v>0.422199226796118</v>
      </c>
      <c r="O36" t="n">
        <v>-2.04071517714414</v>
      </c>
      <c r="P36" t="n">
        <v>0.297288745271563</v>
      </c>
      <c r="Q36" t="n">
        <v>1.10564850409436</v>
      </c>
      <c r="R36" t="n">
        <v>-0.385083491204605</v>
      </c>
      <c r="S36" t="n">
        <v>0.681736683179483</v>
      </c>
      <c r="T36" t="n">
        <v>-1.64603188790324</v>
      </c>
      <c r="U36" t="n">
        <v>1.99395672224168</v>
      </c>
      <c r="V36" t="n">
        <v>-1.53357788988967</v>
      </c>
      <c r="W36" t="n">
        <v>-6.37642513283679</v>
      </c>
      <c r="X36" t="n">
        <v>-2.53155231061766</v>
      </c>
      <c r="Y36" t="n">
        <v>0.375196095475403</v>
      </c>
      <c r="Z36" t="n">
        <v>-0.514329660992328</v>
      </c>
      <c r="AA36" t="n">
        <v>0.472027662098302</v>
      </c>
      <c r="AB36" t="n">
        <v>1.35350516524825</v>
      </c>
      <c r="AC36" t="n">
        <v>1.61735384011078</v>
      </c>
      <c r="AD36" t="n">
        <v>1.0029408032833</v>
      </c>
      <c r="AE36" t="n">
        <v>-0.703250293876903</v>
      </c>
      <c r="AF36"/>
    </row>
    <row r="37">
      <c r="A37" t="s">
        <v>178</v>
      </c>
      <c r="B37" t="s">
        <v>283</v>
      </c>
      <c r="C37" t="s">
        <v>179</v>
      </c>
      <c r="D37" t="s">
        <v>284</v>
      </c>
      <c r="E37" t="s">
        <v>27</v>
      </c>
      <c r="F37" t="n">
        <v>-0.715115178377482</v>
      </c>
      <c r="G37" t="n">
        <v>2.80604858069877</v>
      </c>
      <c r="H37" t="n">
        <v>-1.01689013572525</v>
      </c>
      <c r="I37" t="n">
        <v>-0.748497410740689</v>
      </c>
      <c r="J37" t="n">
        <v>1.03252474857683</v>
      </c>
      <c r="K37" t="n">
        <v>6.65908286235485</v>
      </c>
      <c r="L37" t="n">
        <v>0.573616161184238</v>
      </c>
      <c r="M37" t="n">
        <v>-4.16204268385324</v>
      </c>
      <c r="N37" t="n">
        <v>-1.20864824570759</v>
      </c>
      <c r="O37" t="n">
        <v>-1.91594687586015</v>
      </c>
      <c r="P37" t="n">
        <v>3.66911432811862</v>
      </c>
      <c r="Q37" t="n">
        <v>3.63748520752245</v>
      </c>
      <c r="R37" t="n">
        <v>0.198723216441122</v>
      </c>
      <c r="S37" t="n">
        <v>0.410322583473178</v>
      </c>
      <c r="T37" t="n">
        <v>-1.20087795366363</v>
      </c>
      <c r="U37" t="n">
        <v>0.11930184256595</v>
      </c>
      <c r="V37" t="n">
        <v>-0.468251229841687</v>
      </c>
      <c r="W37" t="n">
        <v>0.393493089563628</v>
      </c>
      <c r="X37" t="n">
        <v>0.153450879711577</v>
      </c>
      <c r="Y37" t="n">
        <v>0.171659451861015</v>
      </c>
      <c r="Z37" t="n">
        <v>-1.8379669667518</v>
      </c>
      <c r="AA37" t="n">
        <v>3.13934386704277</v>
      </c>
      <c r="AB37" t="n">
        <v>2.9063788957965</v>
      </c>
      <c r="AC37" t="n">
        <v>1.71790425549089</v>
      </c>
      <c r="AD37" t="n">
        <v>-1.06815746259355</v>
      </c>
      <c r="AE37" t="n">
        <v>2.60822858781343</v>
      </c>
      <c r="AF37"/>
    </row>
    <row r="38">
      <c r="A38" t="s">
        <v>180</v>
      </c>
      <c r="B38" t="s">
        <v>283</v>
      </c>
      <c r="C38" t="s">
        <v>181</v>
      </c>
      <c r="D38" t="s">
        <v>284</v>
      </c>
      <c r="E38" t="s">
        <v>27</v>
      </c>
      <c r="F38" t="n">
        <v>2.39256994606357</v>
      </c>
      <c r="G38" t="n">
        <v>-0.533682902787466</v>
      </c>
      <c r="H38" t="n">
        <v>3.096584479079</v>
      </c>
      <c r="I38" t="n">
        <v>6.61747136900562</v>
      </c>
      <c r="J38" t="n">
        <v>0.167067453726067</v>
      </c>
      <c r="K38" t="n">
        <v>6.48403858910148</v>
      </c>
      <c r="L38" t="n">
        <v>3.10243610590585</v>
      </c>
      <c r="M38" t="n">
        <v>0.324359473004661</v>
      </c>
      <c r="N38" t="n">
        <v>3.96102039263147</v>
      </c>
      <c r="O38" t="n">
        <v>1.92780710744997</v>
      </c>
      <c r="P38" t="n">
        <v>4.18019186648823</v>
      </c>
      <c r="Q38" t="n">
        <v>3.8152796408756</v>
      </c>
      <c r="R38" t="n">
        <v>-0.602843805215602</v>
      </c>
      <c r="S38" t="n">
        <v>1.22769527701723</v>
      </c>
      <c r="T38" t="n">
        <v>-1.50209551892613</v>
      </c>
      <c r="U38" t="n">
        <v>2.83857983829754</v>
      </c>
      <c r="V38" t="n">
        <v>-1.63699640335601</v>
      </c>
      <c r="W38" t="n">
        <v>-4.03829372222881</v>
      </c>
      <c r="X38" t="n">
        <v>0.911260748046493</v>
      </c>
      <c r="Y38" t="n">
        <v>2.79596743212221</v>
      </c>
      <c r="Z38" t="n">
        <v>-1.95302056978072</v>
      </c>
      <c r="AA38" t="n">
        <v>2.06251991230344</v>
      </c>
      <c r="AB38" t="n">
        <v>2.70102024871262</v>
      </c>
      <c r="AC38" t="n">
        <v>1.69881556512272</v>
      </c>
      <c r="AD38" t="n">
        <v>-1.05378066332195</v>
      </c>
      <c r="AE38" t="n">
        <v>1.30135474406667</v>
      </c>
      <c r="AF38"/>
    </row>
    <row r="39">
      <c r="A39" t="s">
        <v>182</v>
      </c>
      <c r="B39" t="s">
        <v>283</v>
      </c>
      <c r="C39" t="s">
        <v>183</v>
      </c>
      <c r="D39" t="s">
        <v>284</v>
      </c>
      <c r="E39" t="s">
        <v>27</v>
      </c>
      <c r="F39" t="n">
        <v>0.724995493658715</v>
      </c>
      <c r="G39" t="n">
        <v>-3.73039034084895</v>
      </c>
      <c r="H39" t="n">
        <v>-3.70010347884403</v>
      </c>
      <c r="I39" t="n">
        <v>1.22750906104364</v>
      </c>
      <c r="J39" t="n">
        <v>-4.3802360234726</v>
      </c>
      <c r="K39" t="n">
        <v>-1.29084480860258</v>
      </c>
      <c r="L39" t="n">
        <v>-5.23332362693453</v>
      </c>
      <c r="M39" t="n">
        <v>-1.17400602567352</v>
      </c>
      <c r="N39" t="n">
        <v>-3.22245633002257</v>
      </c>
      <c r="O39" t="n">
        <v>-2.84873115435234</v>
      </c>
      <c r="P39" t="n">
        <v>-0.313787733614072</v>
      </c>
      <c r="Q39" t="n">
        <v>0.822404402588375</v>
      </c>
      <c r="R39" t="n">
        <v>1.25978919315299</v>
      </c>
      <c r="S39" t="n">
        <v>2.39041897781089</v>
      </c>
      <c r="T39" t="n">
        <v>-2.35918350255147</v>
      </c>
      <c r="U39" t="n">
        <v>-0.148812666787011</v>
      </c>
      <c r="V39" t="n">
        <v>-0.75431566234095</v>
      </c>
      <c r="W39" t="n">
        <v>0.703792672859651</v>
      </c>
      <c r="X39" t="n">
        <v>-4.79961988455318</v>
      </c>
      <c r="Y39" t="n">
        <v>-4.47179892987338</v>
      </c>
      <c r="Z39" t="n">
        <v>2.07559653915278</v>
      </c>
      <c r="AA39" t="n">
        <v>2.19902293964748</v>
      </c>
      <c r="AB39" t="n">
        <v>1.77159636984884</v>
      </c>
      <c r="AC39" t="n">
        <v>-1.11480907575589</v>
      </c>
      <c r="AD39" t="n">
        <v>-1.45797598008652</v>
      </c>
      <c r="AE39" t="n">
        <v>0.850201458261846</v>
      </c>
      <c r="AF39"/>
    </row>
    <row r="40">
      <c r="A40" t="s">
        <v>184</v>
      </c>
      <c r="B40" t="s">
        <v>283</v>
      </c>
      <c r="C40" t="s">
        <v>185</v>
      </c>
      <c r="D40" t="s">
        <v>284</v>
      </c>
      <c r="E40" t="s">
        <v>27</v>
      </c>
      <c r="F40" t="n">
        <v>0.678033331710722</v>
      </c>
      <c r="G40" t="n">
        <v>-0.0572708790886154</v>
      </c>
      <c r="H40" t="n">
        <v>-0.109371955515303</v>
      </c>
      <c r="I40" t="n">
        <v>0.455141896581483</v>
      </c>
      <c r="J40" t="n">
        <v>-0.28228984431045</v>
      </c>
      <c r="K40" t="n">
        <v>0.310892765070846</v>
      </c>
      <c r="L40" t="n">
        <v>-0.318127110961435</v>
      </c>
      <c r="M40" t="n">
        <v>0.360427319263243</v>
      </c>
      <c r="N40" t="n">
        <v>-0.130144354616795</v>
      </c>
      <c r="O40" t="n">
        <v>0.323612522592123</v>
      </c>
      <c r="P40" t="n">
        <v>0.348000821472385</v>
      </c>
      <c r="Q40" t="n">
        <v>1.09810804939906</v>
      </c>
      <c r="R40" t="n">
        <v>0.638960217865389</v>
      </c>
      <c r="S40" t="n">
        <v>1.12617210585981</v>
      </c>
      <c r="T40" t="n">
        <v>-0.00369582180358629</v>
      </c>
      <c r="U40" t="n">
        <v>-0.117243935705389</v>
      </c>
      <c r="V40" t="n">
        <v>-0.561876271504404</v>
      </c>
      <c r="W40" t="n">
        <v>1.05043528704391</v>
      </c>
      <c r="X40" t="n">
        <v>-1.07359639732022</v>
      </c>
      <c r="Y40" t="n">
        <v>-0.769112205869825</v>
      </c>
      <c r="Z40" t="n">
        <v>0.885183916442877</v>
      </c>
      <c r="AA40" t="n">
        <v>0.624425688228658</v>
      </c>
      <c r="AB40" t="n">
        <v>1.66304930366227</v>
      </c>
      <c r="AC40" t="n">
        <v>0.27496742220786</v>
      </c>
      <c r="AD40" t="n">
        <v>-0.279862909179241</v>
      </c>
      <c r="AE40" t="n">
        <v>0.572085011444032</v>
      </c>
      <c r="AF40"/>
    </row>
    <row r="41">
      <c r="A41" t="s">
        <v>186</v>
      </c>
      <c r="B41" t="s">
        <v>283</v>
      </c>
      <c r="C41" t="s">
        <v>187</v>
      </c>
      <c r="D41" t="s">
        <v>284</v>
      </c>
      <c r="E41" t="s">
        <v>27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283</v>
      </c>
      <c r="C42" t="s">
        <v>189</v>
      </c>
      <c r="D42" t="s">
        <v>284</v>
      </c>
      <c r="E42" t="s">
        <v>27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283</v>
      </c>
      <c r="C43" t="s">
        <v>191</v>
      </c>
      <c r="D43" t="s">
        <v>284</v>
      </c>
      <c r="E43" t="s">
        <v>27</v>
      </c>
      <c r="F43" t="n">
        <v>3.35504766642732</v>
      </c>
      <c r="G43" t="n">
        <v>1.04738664899331</v>
      </c>
      <c r="H43" t="n">
        <v>1.94634704792832</v>
      </c>
      <c r="I43" t="n">
        <v>0.936410890127774</v>
      </c>
      <c r="J43" t="n">
        <v>-0.0581622216031238</v>
      </c>
      <c r="K43" t="n">
        <v>2.86593476461093</v>
      </c>
      <c r="L43" t="n">
        <v>1.06314304813235</v>
      </c>
      <c r="M43" t="n">
        <v>0.72939673161171</v>
      </c>
      <c r="N43" t="n">
        <v>4.17829515748586</v>
      </c>
      <c r="O43" t="n">
        <v>4.77172349933048</v>
      </c>
      <c r="P43" t="n">
        <v>2.47219900212136</v>
      </c>
      <c r="Q43" t="n">
        <v>3.47739936651257</v>
      </c>
      <c r="R43" t="n">
        <v>-0.329647722482066</v>
      </c>
      <c r="S43" t="n">
        <v>0.635373575552954</v>
      </c>
      <c r="T43" t="n">
        <v>-5.57978139157193</v>
      </c>
      <c r="U43" t="n">
        <v>-1.06849441635552</v>
      </c>
      <c r="V43" t="n">
        <v>1.92653478373972</v>
      </c>
      <c r="W43" t="n">
        <v>9.22784053114679</v>
      </c>
      <c r="X43" t="n">
        <v>-0.517420464533673</v>
      </c>
      <c r="Y43" t="n">
        <v>0.591578799788466</v>
      </c>
      <c r="Z43" t="n">
        <v>1.72669275228712</v>
      </c>
      <c r="AA43" t="n">
        <v>1.98351202269196</v>
      </c>
      <c r="AB43" t="n">
        <v>1.63509061816203</v>
      </c>
      <c r="AC43" t="n">
        <v>1.39994262069815</v>
      </c>
      <c r="AD43" t="n">
        <v>0.0192544099416818</v>
      </c>
      <c r="AE43" t="n">
        <v>-4.74734279018484</v>
      </c>
      <c r="AF43"/>
    </row>
    <row r="44">
      <c r="A44" t="s">
        <v>192</v>
      </c>
      <c r="B44" t="s">
        <v>283</v>
      </c>
      <c r="C44" t="s">
        <v>193</v>
      </c>
      <c r="D44" t="s">
        <v>284</v>
      </c>
      <c r="E44" t="s">
        <v>27</v>
      </c>
      <c r="F44" t="n">
        <v>0.443440690372965</v>
      </c>
      <c r="G44" t="n">
        <v>0.0328738523866924</v>
      </c>
      <c r="H44" t="n">
        <v>-1.15980751088444</v>
      </c>
      <c r="I44" t="n">
        <v>-1.64468563731873</v>
      </c>
      <c r="J44" t="n">
        <v>-0.912902272286142</v>
      </c>
      <c r="K44" t="n">
        <v>0.32879514394399</v>
      </c>
      <c r="L44" t="n">
        <v>-2.06115314542552</v>
      </c>
      <c r="M44" t="n">
        <v>-2.02710915255221</v>
      </c>
      <c r="N44" t="n">
        <v>-0.531142525055527</v>
      </c>
      <c r="O44" t="n">
        <v>0.527566623440799</v>
      </c>
      <c r="P44" t="n">
        <v>-0.699261417889987</v>
      </c>
      <c r="Q44" t="n">
        <v>0.932770059801956</v>
      </c>
      <c r="R44" t="n">
        <v>-0.601065396582624</v>
      </c>
      <c r="S44" t="n">
        <v>-1.48420873154443</v>
      </c>
      <c r="T44" t="n">
        <v>-3.7954356709674</v>
      </c>
      <c r="U44" t="n">
        <v>0.482661412623294</v>
      </c>
      <c r="V44" t="n">
        <v>-0.628027016691122</v>
      </c>
      <c r="W44" t="n">
        <v>0.348995056022799</v>
      </c>
      <c r="X44" t="n">
        <v>-1.37162544491604</v>
      </c>
      <c r="Y44" t="n">
        <v>-0.160385021860205</v>
      </c>
      <c r="Z44" t="n">
        <v>0.00256907496423554</v>
      </c>
      <c r="AA44" t="n">
        <v>0.325640775227241</v>
      </c>
      <c r="AB44" t="n">
        <v>0.832858729109349</v>
      </c>
      <c r="AC44" t="n">
        <v>-0.338553169970452</v>
      </c>
      <c r="AD44" t="n">
        <v>-1.20045164658231</v>
      </c>
      <c r="AE44" t="n">
        <v>-4.32168624631469</v>
      </c>
      <c r="AF44"/>
    </row>
    <row r="45">
      <c r="A45" t="s">
        <v>194</v>
      </c>
      <c r="B45" t="s">
        <v>283</v>
      </c>
      <c r="C45" t="s">
        <v>195</v>
      </c>
      <c r="D45" t="s">
        <v>284</v>
      </c>
      <c r="E45" t="s">
        <v>27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283</v>
      </c>
      <c r="C46" t="s">
        <v>197</v>
      </c>
      <c r="D46" t="s">
        <v>284</v>
      </c>
      <c r="E46" t="s">
        <v>27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283</v>
      </c>
      <c r="C47" t="s">
        <v>199</v>
      </c>
      <c r="D47" t="s">
        <v>284</v>
      </c>
      <c r="E47" t="s">
        <v>27</v>
      </c>
      <c r="F47" t="n">
        <v>1.95776652783088</v>
      </c>
      <c r="G47" t="n">
        <v>-2.31669536357755</v>
      </c>
      <c r="H47" t="n">
        <v>-0.47009152775008</v>
      </c>
      <c r="I47" t="n">
        <v>0.781838192692492</v>
      </c>
      <c r="J47" t="n">
        <v>-0.78774526909027</v>
      </c>
      <c r="K47" t="n">
        <v>1.47403461521841</v>
      </c>
      <c r="L47" t="n">
        <v>-2.19044560894336</v>
      </c>
      <c r="M47" t="n">
        <v>1.4320940507898</v>
      </c>
      <c r="N47" t="n">
        <v>2.78774834419092</v>
      </c>
      <c r="O47" t="n">
        <v>1.82441924914326</v>
      </c>
      <c r="P47" t="n">
        <v>-1.20482902586098</v>
      </c>
      <c r="Q47" t="n">
        <v>-0.402739747421697</v>
      </c>
      <c r="R47" t="n">
        <v>-0.109882502711891</v>
      </c>
      <c r="S47" t="n">
        <v>-1.95352860346238</v>
      </c>
      <c r="T47" t="n">
        <v>-0.00537699576878999</v>
      </c>
      <c r="U47" t="n">
        <v>-0.944631919890036</v>
      </c>
      <c r="V47" t="n">
        <v>-0.0478807599167253</v>
      </c>
      <c r="W47" t="n">
        <v>0.702230773260726</v>
      </c>
      <c r="X47" t="n">
        <v>-0.457176972681586</v>
      </c>
      <c r="Y47" t="n">
        <v>0.151335221628584</v>
      </c>
      <c r="Z47" t="n">
        <v>-0.768012458912311</v>
      </c>
      <c r="AA47" t="n">
        <v>-0.70727935272787</v>
      </c>
      <c r="AB47" t="n">
        <v>1.10603164485039</v>
      </c>
      <c r="AC47" t="n">
        <v>-1.53788325689843</v>
      </c>
      <c r="AD47" t="n">
        <v>2.3651378730645</v>
      </c>
      <c r="AE47" t="n">
        <v>-0.617648706056027</v>
      </c>
      <c r="AF47"/>
    </row>
    <row r="48">
      <c r="A48" t="s">
        <v>200</v>
      </c>
      <c r="B48" t="s">
        <v>283</v>
      </c>
      <c r="C48" t="s">
        <v>201</v>
      </c>
      <c r="D48" t="s">
        <v>284</v>
      </c>
      <c r="E48" t="s">
        <v>27</v>
      </c>
      <c r="F48" t="n">
        <v>1.98169882932404</v>
      </c>
      <c r="G48" t="n">
        <v>-0.0149482717301318</v>
      </c>
      <c r="H48" t="n">
        <v>1.52648878022678</v>
      </c>
      <c r="I48" t="n">
        <v>2.36186028294964</v>
      </c>
      <c r="J48" t="n">
        <v>0.46711570107507</v>
      </c>
      <c r="K48" t="n">
        <v>2.28854274423071</v>
      </c>
      <c r="L48" t="n">
        <v>-0.175078162313418</v>
      </c>
      <c r="M48" t="n">
        <v>1.76654948120893</v>
      </c>
      <c r="N48" t="n">
        <v>4.20203709922858</v>
      </c>
      <c r="O48" t="n">
        <v>4.12559512578254</v>
      </c>
      <c r="P48" t="n">
        <v>1.20404105050218</v>
      </c>
      <c r="Q48" t="n">
        <v>2.07387394324108</v>
      </c>
      <c r="R48" t="n">
        <v>-1.12311530994337</v>
      </c>
      <c r="S48" t="n">
        <v>-0.144554710861919</v>
      </c>
      <c r="T48" t="n">
        <v>2.01391340658268</v>
      </c>
      <c r="U48" t="n">
        <v>1.88364876498563</v>
      </c>
      <c r="V48" t="n">
        <v>1.09650160557251</v>
      </c>
      <c r="W48" t="n">
        <v>1.75010228832116</v>
      </c>
      <c r="X48" t="n">
        <v>1.18358847817543</v>
      </c>
      <c r="Y48" t="n">
        <v>1.18034041455833</v>
      </c>
      <c r="Z48" t="n">
        <v>1.06326567322754</v>
      </c>
      <c r="AA48" t="n">
        <v>1.15363746126983</v>
      </c>
      <c r="AB48" t="n">
        <v>2.20530947797444</v>
      </c>
      <c r="AC48" t="n">
        <v>-0.264429542321039</v>
      </c>
      <c r="AD48" t="n">
        <v>0.724873216987827</v>
      </c>
      <c r="AE48" t="n">
        <v>-2.06627091681744</v>
      </c>
      <c r="AF48"/>
    </row>
    <row r="49">
      <c r="A49" t="s">
        <v>202</v>
      </c>
      <c r="B49" t="s">
        <v>283</v>
      </c>
      <c r="C49" t="s">
        <v>203</v>
      </c>
      <c r="D49" t="s">
        <v>284</v>
      </c>
      <c r="E49" t="s">
        <v>27</v>
      </c>
      <c r="F49" t="n">
        <v>0.44875970066542</v>
      </c>
      <c r="G49" t="n">
        <v>-1.57589916938446</v>
      </c>
      <c r="H49" t="n">
        <v>1.80399551540588</v>
      </c>
      <c r="I49" t="n">
        <v>2.02020400973748</v>
      </c>
      <c r="J49" t="n">
        <v>-0.598532232244842</v>
      </c>
      <c r="K49" t="n">
        <v>-1.12148583568425</v>
      </c>
      <c r="L49" t="n">
        <v>-1.93028343513579</v>
      </c>
      <c r="M49" t="n">
        <v>-1.05176313661693</v>
      </c>
      <c r="N49" t="n">
        <v>4.51928836856769</v>
      </c>
      <c r="O49" t="n">
        <v>4.5956777753835</v>
      </c>
      <c r="P49" t="n">
        <v>-0.213420589403445</v>
      </c>
      <c r="Q49" t="n">
        <v>1.0432186794019</v>
      </c>
      <c r="R49" t="n">
        <v>-2.73657457881512</v>
      </c>
      <c r="S49" t="n">
        <v>0.998802186758063</v>
      </c>
      <c r="T49" t="n">
        <v>2.11524697090928</v>
      </c>
      <c r="U49" t="n">
        <v>1.6825807563363</v>
      </c>
      <c r="V49" t="n">
        <v>-0.101026797503438</v>
      </c>
      <c r="W49" t="n">
        <v>-1.22439669789358</v>
      </c>
      <c r="X49" t="n">
        <v>-1.46086296993724</v>
      </c>
      <c r="Y49" t="n">
        <v>0.56813143182607</v>
      </c>
      <c r="Z49" t="n">
        <v>1.74192592047451</v>
      </c>
      <c r="AA49" t="n">
        <v>1.6776642723173</v>
      </c>
      <c r="AB49" t="n">
        <v>1.43256567439539</v>
      </c>
      <c r="AC49" t="n">
        <v>0.0915105598483179</v>
      </c>
      <c r="AD49" t="n">
        <v>-1.45239937123853</v>
      </c>
      <c r="AE49" t="n">
        <v>-2.54448853342761</v>
      </c>
      <c r="AF49"/>
    </row>
    <row r="50">
      <c r="A50" t="s">
        <v>204</v>
      </c>
      <c r="B50" t="s">
        <v>283</v>
      </c>
      <c r="C50" t="s">
        <v>205</v>
      </c>
      <c r="D50" t="s">
        <v>284</v>
      </c>
      <c r="E50" t="s">
        <v>27</v>
      </c>
      <c r="F50" t="n">
        <v>3.19940395966974</v>
      </c>
      <c r="G50" t="n">
        <v>4.19867418899456</v>
      </c>
      <c r="H50" t="n">
        <v>3.85932465030314</v>
      </c>
      <c r="I50" t="n">
        <v>4.37091256685115</v>
      </c>
      <c r="J50" t="n">
        <v>2.39384371510373</v>
      </c>
      <c r="K50" t="n">
        <v>5.04534436916083</v>
      </c>
      <c r="L50" t="n">
        <v>2.62255594149602</v>
      </c>
      <c r="M50" t="n">
        <v>3.50801024003443</v>
      </c>
      <c r="N50" t="n">
        <v>5.42719296209935</v>
      </c>
      <c r="O50" t="n">
        <v>5.98191470591134</v>
      </c>
      <c r="P50" t="n">
        <v>3.79602176880062</v>
      </c>
      <c r="Q50" t="n">
        <v>4.50765466639623</v>
      </c>
      <c r="R50" t="n">
        <v>-1.2587483181278</v>
      </c>
      <c r="S50" t="n">
        <v>0.688774967940634</v>
      </c>
      <c r="T50" t="n">
        <v>3.49306915680358</v>
      </c>
      <c r="U50" t="n">
        <v>3.93582936570577</v>
      </c>
      <c r="V50" t="n">
        <v>2.35779531865161</v>
      </c>
      <c r="W50" t="n">
        <v>3.62847044053007</v>
      </c>
      <c r="X50" t="n">
        <v>3.17310154595396</v>
      </c>
      <c r="Y50" t="n">
        <v>2.01524669337383</v>
      </c>
      <c r="Z50" t="n">
        <v>1.81691560217088</v>
      </c>
      <c r="AA50" t="n">
        <v>1.9179610564054</v>
      </c>
      <c r="AB50" t="n">
        <v>3.07394750005873</v>
      </c>
      <c r="AC50" t="n">
        <v>0.206503228222538</v>
      </c>
      <c r="AD50" t="n">
        <v>0.736060984036024</v>
      </c>
      <c r="AE50" t="n">
        <v>-2.65384226614993</v>
      </c>
      <c r="AF50"/>
    </row>
    <row r="51">
      <c r="A51" t="s">
        <v>206</v>
      </c>
      <c r="B51" t="s">
        <v>283</v>
      </c>
      <c r="C51" t="s">
        <v>207</v>
      </c>
      <c r="D51" t="s">
        <v>284</v>
      </c>
      <c r="E51" t="s">
        <v>27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283</v>
      </c>
      <c r="C52" t="s">
        <v>209</v>
      </c>
      <c r="D52" t="s">
        <v>284</v>
      </c>
      <c r="E52" t="s">
        <v>27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283</v>
      </c>
      <c r="C53" t="s">
        <v>211</v>
      </c>
      <c r="D53" t="s">
        <v>284</v>
      </c>
      <c r="E53" t="s">
        <v>27</v>
      </c>
      <c r="F53" t="n">
        <v>3.39563686182252</v>
      </c>
      <c r="G53" t="n">
        <v>1.74384336209208</v>
      </c>
      <c r="H53" t="n">
        <v>-2.75668652923508</v>
      </c>
      <c r="I53" t="n">
        <v>-2.73162175733109</v>
      </c>
      <c r="J53" t="n">
        <v>-1.05010620486573</v>
      </c>
      <c r="K53" t="n">
        <v>0.248209562919353</v>
      </c>
      <c r="L53" t="n">
        <v>-1.52582006341415</v>
      </c>
      <c r="M53" t="n">
        <v>0.745528909390416</v>
      </c>
      <c r="N53" t="n">
        <v>-0.421945243362985</v>
      </c>
      <c r="O53" t="n">
        <v>0.524923815914576</v>
      </c>
      <c r="P53" t="n">
        <v>-2.32996686091978</v>
      </c>
      <c r="Q53" t="n">
        <v>0.980244057031635</v>
      </c>
      <c r="R53" t="n">
        <v>-1.9176080019227</v>
      </c>
      <c r="S53" t="n">
        <v>0.652733091777899</v>
      </c>
      <c r="T53" t="n">
        <v>1.08088362017263</v>
      </c>
      <c r="U53" t="n">
        <v>0.277431119108402</v>
      </c>
      <c r="V53" t="n">
        <v>-1.71395375650527</v>
      </c>
      <c r="W53" t="n">
        <v>-0.221033256369152</v>
      </c>
      <c r="X53" t="n">
        <v>-1.85832648468362</v>
      </c>
      <c r="Y53" t="n">
        <v>-0.829409430743181</v>
      </c>
      <c r="Z53" t="n">
        <v>-0.689008445340997</v>
      </c>
      <c r="AA53" t="n">
        <v>1.52976075258565</v>
      </c>
      <c r="AB53" t="n">
        <v>2.14373167591851</v>
      </c>
      <c r="AC53" t="n">
        <v>0.85437584591023</v>
      </c>
      <c r="AD53" t="n">
        <v>0.0855950073855433</v>
      </c>
      <c r="AE53" t="n">
        <v>-4.8149012601751</v>
      </c>
      <c r="AF53"/>
    </row>
    <row r="54">
      <c r="A54" t="s">
        <v>212</v>
      </c>
      <c r="B54" t="s">
        <v>283</v>
      </c>
      <c r="C54" t="s">
        <v>213</v>
      </c>
      <c r="D54" t="s">
        <v>284</v>
      </c>
      <c r="E54" t="s">
        <v>27</v>
      </c>
      <c r="F54" t="n">
        <v>1.76251413808233</v>
      </c>
      <c r="G54" t="n">
        <v>-0.314680122461122</v>
      </c>
      <c r="H54" t="n">
        <v>-2.72984907571178</v>
      </c>
      <c r="I54" t="n">
        <v>-2.07383342804841</v>
      </c>
      <c r="J54" t="n">
        <v>-2.44179772889534</v>
      </c>
      <c r="K54" t="n">
        <v>1.76481280708392</v>
      </c>
      <c r="L54" t="n">
        <v>0.371278319855063</v>
      </c>
      <c r="M54" t="n">
        <v>0.153369172321498</v>
      </c>
      <c r="N54" t="n">
        <v>-0.16328621275686</v>
      </c>
      <c r="O54" t="n">
        <v>1.30369831142233</v>
      </c>
      <c r="P54" t="n">
        <v>0.294578101237549</v>
      </c>
      <c r="Q54" t="n">
        <v>3.80729086804825</v>
      </c>
      <c r="R54" t="n">
        <v>-3.5687280983218</v>
      </c>
      <c r="S54" t="n">
        <v>-0.630583659662453</v>
      </c>
      <c r="T54" t="n">
        <v>-0.121676537400449</v>
      </c>
      <c r="U54" t="n">
        <v>0.854752372815937</v>
      </c>
      <c r="V54" t="n">
        <v>-1.37624823763298</v>
      </c>
      <c r="W54" t="n">
        <v>-0.359695829660673</v>
      </c>
      <c r="X54" t="n">
        <v>-1.96700514211701</v>
      </c>
      <c r="Y54" t="n">
        <v>-1.39352648834657</v>
      </c>
      <c r="Z54" t="n">
        <v>-1.53771000567533</v>
      </c>
      <c r="AA54" t="n">
        <v>-0.489375314754396</v>
      </c>
      <c r="AB54" t="n">
        <v>1.56795607054171</v>
      </c>
      <c r="AC54" t="n">
        <v>0.775550667349017</v>
      </c>
      <c r="AD54" t="n">
        <v>0.233407447346776</v>
      </c>
      <c r="AE54" t="n">
        <v>-5.15208263294845</v>
      </c>
      <c r="AF54"/>
    </row>
    <row r="55">
      <c r="A55" t="s">
        <v>214</v>
      </c>
      <c r="B55" t="s">
        <v>283</v>
      </c>
      <c r="C55" t="s">
        <v>215</v>
      </c>
      <c r="D55" t="s">
        <v>284</v>
      </c>
      <c r="E55" t="s">
        <v>27</v>
      </c>
      <c r="F55" t="n">
        <v>0.944111549246457</v>
      </c>
      <c r="G55" t="n">
        <v>-1.39530029045141</v>
      </c>
      <c r="H55" t="n">
        <v>-2.72804324469637</v>
      </c>
      <c r="I55" t="n">
        <v>-1.73525802973576</v>
      </c>
      <c r="J55" t="n">
        <v>-3.18742605288342</v>
      </c>
      <c r="K55" t="n">
        <v>2.58373542135683</v>
      </c>
      <c r="L55" t="n">
        <v>1.38848530917036</v>
      </c>
      <c r="M55" t="n">
        <v>-0.169230234540924</v>
      </c>
      <c r="N55" t="n">
        <v>-0.0192508578150601</v>
      </c>
      <c r="O55" t="n">
        <v>1.71880593241509</v>
      </c>
      <c r="P55" t="n">
        <v>1.72616350800488</v>
      </c>
      <c r="Q55" t="n">
        <v>5.25921924939508</v>
      </c>
      <c r="R55" t="n">
        <v>-4.38079457253684</v>
      </c>
      <c r="S55" t="n">
        <v>-1.3081960912117</v>
      </c>
      <c r="T55" t="n">
        <v>-0.763583842341439</v>
      </c>
      <c r="U55" t="n">
        <v>1.14473236439673</v>
      </c>
      <c r="V55" t="n">
        <v>-1.19028780014762</v>
      </c>
      <c r="W55" t="n">
        <v>-0.426754327390456</v>
      </c>
      <c r="X55" t="n">
        <v>-2.02827686955553</v>
      </c>
      <c r="Y55" t="n">
        <v>-1.68344842525266</v>
      </c>
      <c r="Z55" t="n">
        <v>-1.97697421089448</v>
      </c>
      <c r="AA55" t="n">
        <v>-1.4534875705719</v>
      </c>
      <c r="AB55" t="n">
        <v>1.34071309415777</v>
      </c>
      <c r="AC55" t="n">
        <v>0.759410720374186</v>
      </c>
      <c r="AD55" t="n">
        <v>0.306668557652734</v>
      </c>
      <c r="AE55" t="n">
        <v>-5.42063104751011</v>
      </c>
      <c r="AF55"/>
    </row>
    <row r="56">
      <c r="A56" t="s">
        <v>216</v>
      </c>
      <c r="B56" t="s">
        <v>283</v>
      </c>
      <c r="C56" t="s">
        <v>217</v>
      </c>
      <c r="D56" t="s">
        <v>284</v>
      </c>
      <c r="E56" t="s">
        <v>27</v>
      </c>
      <c r="F56" t="n">
        <v>1.67122535793816</v>
      </c>
      <c r="G56" t="n">
        <v>-1.02928503343591</v>
      </c>
      <c r="H56" t="n">
        <v>-1.72542418889172</v>
      </c>
      <c r="I56" t="n">
        <v>-1.0292794540895</v>
      </c>
      <c r="J56" t="n">
        <v>-3.43970715305026</v>
      </c>
      <c r="K56" t="n">
        <v>-2.3851779270732</v>
      </c>
      <c r="L56" t="n">
        <v>-3.37856939230825</v>
      </c>
      <c r="M56" t="n">
        <v>-8.61756243765335</v>
      </c>
      <c r="N56" t="n">
        <v>-4.8562656946487</v>
      </c>
      <c r="O56" t="n">
        <v>-6.36249212965616</v>
      </c>
      <c r="P56" t="n">
        <v>1.73715727270931</v>
      </c>
      <c r="Q56" t="n">
        <v>3.67444247776163</v>
      </c>
      <c r="R56" t="n">
        <v>-4.5296796748417</v>
      </c>
      <c r="S56" t="n">
        <v>-1.84330583031134</v>
      </c>
      <c r="T56" t="n">
        <v>-0.568115410749925</v>
      </c>
      <c r="U56" t="n">
        <v>3.08729635822367</v>
      </c>
      <c r="V56" t="n">
        <v>1.238045088623</v>
      </c>
      <c r="W56" t="n">
        <v>1.35169650461648</v>
      </c>
      <c r="X56" t="n">
        <v>3.18695228788286</v>
      </c>
      <c r="Y56" t="n">
        <v>3.45078633440359</v>
      </c>
      <c r="Z56" t="n">
        <v>-7.42534695735166</v>
      </c>
      <c r="AA56" t="n">
        <v>-7.10073218305141</v>
      </c>
      <c r="AB56" t="n">
        <v>0.705286868568322</v>
      </c>
      <c r="AC56" t="n">
        <v>0.42741996603155</v>
      </c>
      <c r="AD56" t="n">
        <v>-1.79344664447782</v>
      </c>
      <c r="AE56" t="n">
        <v>-5.48500049653668</v>
      </c>
      <c r="AF56"/>
    </row>
    <row r="57">
      <c r="A57" t="s">
        <v>218</v>
      </c>
      <c r="B57" t="s">
        <v>283</v>
      </c>
      <c r="C57" t="s">
        <v>219</v>
      </c>
      <c r="D57" t="s">
        <v>284</v>
      </c>
      <c r="E57" t="s">
        <v>27</v>
      </c>
      <c r="F57" t="n">
        <v>0.615142352159668</v>
      </c>
      <c r="G57" t="n">
        <v>0.0201083827375287</v>
      </c>
      <c r="H57" t="n">
        <v>-0.758679487104156</v>
      </c>
      <c r="I57" t="n">
        <v>-1.01158920868566</v>
      </c>
      <c r="J57" t="n">
        <v>-0.68955710843976</v>
      </c>
      <c r="K57" t="n">
        <v>0.544517842935168</v>
      </c>
      <c r="L57" t="n">
        <v>-1.67017827963124</v>
      </c>
      <c r="M57" t="n">
        <v>-1.36146534471294</v>
      </c>
      <c r="N57" t="n">
        <v>0.107812525296041</v>
      </c>
      <c r="O57" t="n">
        <v>0.987854104355997</v>
      </c>
      <c r="P57" t="n">
        <v>-0.365610524017155</v>
      </c>
      <c r="Q57" t="n">
        <v>1.08608893429025</v>
      </c>
      <c r="R57" t="n">
        <v>-0.596969301969533</v>
      </c>
      <c r="S57" t="n">
        <v>-1.1181862667241</v>
      </c>
      <c r="T57" t="n">
        <v>-2.6597178987762</v>
      </c>
      <c r="U57" t="n">
        <v>0.641639624301896</v>
      </c>
      <c r="V57" t="n">
        <v>-0.352128846704808</v>
      </c>
      <c r="W57" t="n">
        <v>0.598592039905999</v>
      </c>
      <c r="X57" t="n">
        <v>-0.928967223170146</v>
      </c>
      <c r="Y57" t="n">
        <v>0.0330040775248087</v>
      </c>
      <c r="Z57" t="n">
        <v>0.219757143240286</v>
      </c>
      <c r="AA57" t="n">
        <v>0.475003605788529</v>
      </c>
      <c r="AB57" t="n">
        <v>1.09655125964485</v>
      </c>
      <c r="AC57" t="n">
        <v>-0.297567101907023</v>
      </c>
      <c r="AD57" t="n">
        <v>-0.826096235519344</v>
      </c>
      <c r="AE57" t="n">
        <v>-3.75693770453003</v>
      </c>
      <c r="AF57"/>
    </row>
    <row r="58">
      <c r="A58" t="s">
        <v>220</v>
      </c>
      <c r="B58" t="s">
        <v>283</v>
      </c>
      <c r="C58" t="s">
        <v>221</v>
      </c>
      <c r="D58" t="s">
        <v>284</v>
      </c>
      <c r="E58" t="s">
        <v>27</v>
      </c>
      <c r="F58" t="n">
        <v>0.61501494731878</v>
      </c>
      <c r="G58" t="n">
        <v>0.0202334390186934</v>
      </c>
      <c r="H58" t="n">
        <v>-0.758564672017087</v>
      </c>
      <c r="I58" t="n">
        <v>-1.01158938864973</v>
      </c>
      <c r="J58" t="n">
        <v>-0.689231381419695</v>
      </c>
      <c r="K58" t="n">
        <v>0.544858235373742</v>
      </c>
      <c r="L58" t="n">
        <v>-1.66999436099028</v>
      </c>
      <c r="M58" t="n">
        <v>-1.36068066184552</v>
      </c>
      <c r="N58" t="n">
        <v>0.108328452922435</v>
      </c>
      <c r="O58" t="n">
        <v>0.988584722653026</v>
      </c>
      <c r="P58" t="n">
        <v>-0.365816011718927</v>
      </c>
      <c r="Q58" t="n">
        <v>1.08583978225805</v>
      </c>
      <c r="R58" t="n">
        <v>-0.596590976353478</v>
      </c>
      <c r="S58" t="n">
        <v>-1.11812058660091</v>
      </c>
      <c r="T58" t="n">
        <v>-2.65991928738959</v>
      </c>
      <c r="U58" t="n">
        <v>0.641399924358633</v>
      </c>
      <c r="V58" t="n">
        <v>-0.352290609283691</v>
      </c>
      <c r="W58" t="n">
        <v>0.598509968312827</v>
      </c>
      <c r="X58" t="n">
        <v>-0.929410505034314</v>
      </c>
      <c r="Y58" t="n">
        <v>0.0326095688578489</v>
      </c>
      <c r="Z58" t="n">
        <v>0.220628243477235</v>
      </c>
      <c r="AA58" t="n">
        <v>0.475805022238153</v>
      </c>
      <c r="AB58" t="n">
        <v>1.09657270279452</v>
      </c>
      <c r="AC58" t="n">
        <v>-0.297638131661725</v>
      </c>
      <c r="AD58" t="n">
        <v>-0.825981999336571</v>
      </c>
      <c r="AE58" t="n">
        <v>-3.7567050551605</v>
      </c>
      <c r="AF58"/>
    </row>
    <row r="59">
      <c r="A59" t="s">
        <v>222</v>
      </c>
      <c r="B59" t="s">
        <v>283</v>
      </c>
      <c r="C59" t="s">
        <v>223</v>
      </c>
      <c r="D59" t="s">
        <v>284</v>
      </c>
      <c r="E59" t="s">
        <v>27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283</v>
      </c>
      <c r="C2" t="s">
        <v>108</v>
      </c>
      <c r="D2" t="s">
        <v>284</v>
      </c>
      <c r="E2" t="s">
        <v>29</v>
      </c>
      <c r="F2" t="n">
        <v>-0.0799668515398786</v>
      </c>
      <c r="G2" t="n">
        <v>-0.0312955080586569</v>
      </c>
      <c r="H2" t="n">
        <v>0.225954994062839</v>
      </c>
      <c r="I2" t="n">
        <v>-0.332652960458818</v>
      </c>
      <c r="J2" t="n">
        <v>-0.0796737501148039</v>
      </c>
      <c r="K2" t="n">
        <v>0.177383190078052</v>
      </c>
      <c r="L2" t="n">
        <v>-0.551526427196094</v>
      </c>
      <c r="M2" t="n">
        <v>0.584662240292155</v>
      </c>
      <c r="N2" t="n">
        <v>-0.0508986826228506</v>
      </c>
      <c r="O2" t="n">
        <v>0.0859881910083659</v>
      </c>
      <c r="P2" t="n">
        <v>0.0192809938402612</v>
      </c>
      <c r="Q2" t="n">
        <v>0.874495299206779</v>
      </c>
      <c r="R2" t="n">
        <v>0.186395595337898</v>
      </c>
      <c r="S2" t="n">
        <v>0.351405742425831</v>
      </c>
      <c r="T2" t="n">
        <v>0.0877699156045731</v>
      </c>
      <c r="U2" t="n">
        <v>0.602570487077069</v>
      </c>
      <c r="V2" t="n">
        <v>0.73267689945921</v>
      </c>
      <c r="W2" t="n">
        <v>0.33058710754196</v>
      </c>
      <c r="X2" t="n">
        <v>0.0723030314807074</v>
      </c>
      <c r="Y2" t="n">
        <v>0.242794330089439</v>
      </c>
      <c r="Z2" t="n">
        <v>0.0913259745600163</v>
      </c>
      <c r="AA2" t="n">
        <v>0.914801632064178</v>
      </c>
      <c r="AB2" t="n">
        <v>0.210634413007753</v>
      </c>
      <c r="AC2" t="n">
        <v>0.37257619397949</v>
      </c>
      <c r="AD2" t="n">
        <v>0.132082599192676</v>
      </c>
      <c r="AE2" t="n">
        <v>0.305818080313687</v>
      </c>
      <c r="AF2"/>
    </row>
    <row r="3">
      <c r="A3" t="s">
        <v>110</v>
      </c>
      <c r="B3" t="s">
        <v>283</v>
      </c>
      <c r="C3" t="s">
        <v>111</v>
      </c>
      <c r="D3" t="s">
        <v>284</v>
      </c>
      <c r="E3" t="s">
        <v>29</v>
      </c>
      <c r="F3" t="n">
        <v>0.105759866928409</v>
      </c>
      <c r="G3" t="n">
        <v>-0.116631550629362</v>
      </c>
      <c r="H3" t="n">
        <v>0.843575376692927</v>
      </c>
      <c r="I3" t="n">
        <v>0.355194319499418</v>
      </c>
      <c r="J3" t="n">
        <v>0.684831393961504</v>
      </c>
      <c r="K3" t="n">
        <v>0.130765838560893</v>
      </c>
      <c r="L3" t="n">
        <v>0.33892605843929</v>
      </c>
      <c r="M3" t="n">
        <v>0.588786403612525</v>
      </c>
      <c r="N3" t="n">
        <v>0.405060062880774</v>
      </c>
      <c r="O3" t="n">
        <v>0.3559279278387</v>
      </c>
      <c r="P3" t="n">
        <v>0.168840579760816</v>
      </c>
      <c r="Q3" t="n">
        <v>0.173428024689307</v>
      </c>
      <c r="R3" t="n">
        <v>0.511506273815049</v>
      </c>
      <c r="S3" t="n">
        <v>-0.711585919054021</v>
      </c>
      <c r="T3" t="n">
        <v>2.48969885477825</v>
      </c>
      <c r="U3" t="n">
        <v>-0.387320886269551</v>
      </c>
      <c r="V3" t="n">
        <v>0.459870284338936</v>
      </c>
      <c r="W3" t="n">
        <v>0.313900247158621</v>
      </c>
      <c r="X3" t="n">
        <v>-0.0612213543995513</v>
      </c>
      <c r="Y3" t="n">
        <v>0.2099524400951</v>
      </c>
      <c r="Z3" t="n">
        <v>-0.51307022863753</v>
      </c>
      <c r="AA3" t="n">
        <v>1.1698081738984</v>
      </c>
      <c r="AB3" t="n">
        <v>-0.407111668188061</v>
      </c>
      <c r="AC3" t="n">
        <v>0.658924643285299</v>
      </c>
      <c r="AD3" t="n">
        <v>0.16590598447391</v>
      </c>
      <c r="AE3" t="n">
        <v>-1.49889815711668</v>
      </c>
      <c r="AF3"/>
    </row>
    <row r="4">
      <c r="A4" t="s">
        <v>112</v>
      </c>
      <c r="B4" t="s">
        <v>283</v>
      </c>
      <c r="C4" t="s">
        <v>113</v>
      </c>
      <c r="D4" t="s">
        <v>284</v>
      </c>
      <c r="E4" t="s">
        <v>29</v>
      </c>
      <c r="F4" t="n">
        <v>0.450512786576138</v>
      </c>
      <c r="G4" t="n">
        <v>0.321926875994444</v>
      </c>
      <c r="H4" t="n">
        <v>0.471649964666556</v>
      </c>
      <c r="I4" t="n">
        <v>0.7643535477001</v>
      </c>
      <c r="J4" t="n">
        <v>0.486311581927865</v>
      </c>
      <c r="K4" t="n">
        <v>0.317136657845629</v>
      </c>
      <c r="L4" t="n">
        <v>0.634486905212956</v>
      </c>
      <c r="M4" t="n">
        <v>0.557901656681456</v>
      </c>
      <c r="N4" t="n">
        <v>0.516547331969058</v>
      </c>
      <c r="O4" t="n">
        <v>0.545414388759846</v>
      </c>
      <c r="P4" t="n">
        <v>0.613002152121276</v>
      </c>
      <c r="Q4" t="n">
        <v>0.318571331215967</v>
      </c>
      <c r="R4" t="n">
        <v>0.68256546705202</v>
      </c>
      <c r="S4" t="n">
        <v>0.375269779260971</v>
      </c>
      <c r="T4" t="n">
        <v>0.439606240808431</v>
      </c>
      <c r="U4" t="n">
        <v>0.188398887820369</v>
      </c>
      <c r="V4" t="n">
        <v>0.150500377942814</v>
      </c>
      <c r="W4" t="n">
        <v>0.618282011489258</v>
      </c>
      <c r="X4" t="n">
        <v>0.118926754851782</v>
      </c>
      <c r="Y4" t="n">
        <v>-0.0337833918733306</v>
      </c>
      <c r="Z4" t="n">
        <v>0.397477048432042</v>
      </c>
      <c r="AA4" t="n">
        <v>0.17275429440489</v>
      </c>
      <c r="AB4" t="n">
        <v>0.199058234005765</v>
      </c>
      <c r="AC4" t="n">
        <v>0.00573727222041231</v>
      </c>
      <c r="AD4" t="n">
        <v>0.0386272253067324</v>
      </c>
      <c r="AE4" t="n">
        <v>-0.272779526998459</v>
      </c>
      <c r="AF4"/>
    </row>
    <row r="5">
      <c r="A5" t="s">
        <v>114</v>
      </c>
      <c r="B5" t="s">
        <v>283</v>
      </c>
      <c r="C5" t="s">
        <v>115</v>
      </c>
      <c r="D5" t="s">
        <v>284</v>
      </c>
      <c r="E5" t="s">
        <v>29</v>
      </c>
      <c r="F5" t="n">
        <v>0.487042234590518</v>
      </c>
      <c r="G5" t="n">
        <v>0.0569693759644491</v>
      </c>
      <c r="H5" t="n">
        <v>0.257320240235125</v>
      </c>
      <c r="I5" t="n">
        <v>0.741878543714797</v>
      </c>
      <c r="J5" t="n">
        <v>0.093913368651779</v>
      </c>
      <c r="K5" t="n">
        <v>-0.0557272911936552</v>
      </c>
      <c r="L5" t="n">
        <v>0.592553402761057</v>
      </c>
      <c r="M5" t="n">
        <v>0.417788864229333</v>
      </c>
      <c r="N5" t="n">
        <v>0.483869316924879</v>
      </c>
      <c r="O5" t="n">
        <v>0.432872773443669</v>
      </c>
      <c r="P5" t="n">
        <v>0.41017857705596</v>
      </c>
      <c r="Q5" t="n">
        <v>0.264531495817842</v>
      </c>
      <c r="R5" t="n">
        <v>0.781628292712011</v>
      </c>
      <c r="S5" t="n">
        <v>0.00699311500814334</v>
      </c>
      <c r="T5" t="n">
        <v>0.277186352119212</v>
      </c>
      <c r="U5" t="n">
        <v>0.0624576276495891</v>
      </c>
      <c r="V5" t="n">
        <v>0.187656356038189</v>
      </c>
      <c r="W5" t="n">
        <v>0.834852217048474</v>
      </c>
      <c r="X5" t="n">
        <v>0.104253072388447</v>
      </c>
      <c r="Y5" t="n">
        <v>0.039351039690565</v>
      </c>
      <c r="Z5" t="n">
        <v>0.321154700996044</v>
      </c>
      <c r="AA5" t="n">
        <v>0.169897315154824</v>
      </c>
      <c r="AB5" t="n">
        <v>0.356491385814624</v>
      </c>
      <c r="AC5" t="n">
        <v>-0.357728798594045</v>
      </c>
      <c r="AD5" t="n">
        <v>0.429416977720889</v>
      </c>
      <c r="AE5" t="n">
        <v>-0.574581180425611</v>
      </c>
      <c r="AF5"/>
    </row>
    <row r="6">
      <c r="A6" t="s">
        <v>116</v>
      </c>
      <c r="B6" t="s">
        <v>283</v>
      </c>
      <c r="C6" t="s">
        <v>117</v>
      </c>
      <c r="D6" t="s">
        <v>284</v>
      </c>
      <c r="E6" t="s">
        <v>29</v>
      </c>
      <c r="F6" t="n">
        <v>0.132094773629738</v>
      </c>
      <c r="G6" t="n">
        <v>0.473353773695918</v>
      </c>
      <c r="H6" t="n">
        <v>0.448650058220144</v>
      </c>
      <c r="I6" t="n">
        <v>0.625027968050582</v>
      </c>
      <c r="J6" t="n">
        <v>0.0677592209425561</v>
      </c>
      <c r="K6" t="n">
        <v>0.209140718898158</v>
      </c>
      <c r="L6" t="n">
        <v>0.881041610004638</v>
      </c>
      <c r="M6" t="n">
        <v>0.542538699099451</v>
      </c>
      <c r="N6" t="n">
        <v>0.412886807595191</v>
      </c>
      <c r="O6" t="n">
        <v>1.08168507394917</v>
      </c>
      <c r="P6" t="n">
        <v>0.489740519774305</v>
      </c>
      <c r="Q6" t="n">
        <v>-0.0541442522705941</v>
      </c>
      <c r="R6" t="n">
        <v>0.321715724998981</v>
      </c>
      <c r="S6" t="n">
        <v>0.909565865758727</v>
      </c>
      <c r="T6" t="n">
        <v>1.19546970940667</v>
      </c>
      <c r="U6" t="n">
        <v>0.511054890303216</v>
      </c>
      <c r="V6" t="n">
        <v>-0.569266646689151</v>
      </c>
      <c r="W6" t="n">
        <v>1.11429549495344</v>
      </c>
      <c r="X6" t="n">
        <v>0.31457993712998</v>
      </c>
      <c r="Y6" t="n">
        <v>-0.330379319956257</v>
      </c>
      <c r="Z6" t="n">
        <v>-0.30908737750861</v>
      </c>
      <c r="AA6" t="n">
        <v>0.7127983052957</v>
      </c>
      <c r="AB6" t="n">
        <v>-0.00293293656837785</v>
      </c>
      <c r="AC6" t="n">
        <v>0.221030266303278</v>
      </c>
      <c r="AD6" t="n">
        <v>0.210114119923149</v>
      </c>
      <c r="AE6" t="n">
        <v>-0.473426388271968</v>
      </c>
      <c r="AF6"/>
    </row>
    <row r="7">
      <c r="A7" t="s">
        <v>118</v>
      </c>
      <c r="B7" t="s">
        <v>283</v>
      </c>
      <c r="C7" t="s">
        <v>119</v>
      </c>
      <c r="D7" t="s">
        <v>284</v>
      </c>
      <c r="E7" t="s">
        <v>29</v>
      </c>
      <c r="F7" t="n">
        <v>0.544949514313146</v>
      </c>
      <c r="G7" t="n">
        <v>0.50360726345756</v>
      </c>
      <c r="H7" t="n">
        <v>0.183008222754729</v>
      </c>
      <c r="I7" t="n">
        <v>0.816066754392482</v>
      </c>
      <c r="J7" t="n">
        <v>1.00439288864204</v>
      </c>
      <c r="K7" t="n">
        <v>0.623573740624377</v>
      </c>
      <c r="L7" t="n">
        <v>0.47158828286282</v>
      </c>
      <c r="M7" t="n">
        <v>0.129893027236239</v>
      </c>
      <c r="N7" t="n">
        <v>0.953874980208372</v>
      </c>
      <c r="O7" t="n">
        <v>0.453155352870673</v>
      </c>
      <c r="P7" t="n">
        <v>0.687365262122846</v>
      </c>
      <c r="Q7" t="n">
        <v>-0.0739852834995094</v>
      </c>
      <c r="R7" t="n">
        <v>1.52090124183988</v>
      </c>
      <c r="S7" t="n">
        <v>0.641745417926355</v>
      </c>
      <c r="T7" t="n">
        <v>0.077359362088009</v>
      </c>
      <c r="U7" t="n">
        <v>0.390492696343987</v>
      </c>
      <c r="V7" t="n">
        <v>-0.160630450758392</v>
      </c>
      <c r="W7" t="n">
        <v>0.881095725449601</v>
      </c>
      <c r="X7" t="n">
        <v>0.230548398087322</v>
      </c>
      <c r="Y7" t="n">
        <v>-0.0364205147811302</v>
      </c>
      <c r="Z7" t="n">
        <v>0.737090853063124</v>
      </c>
      <c r="AA7" t="n">
        <v>-0.393918656341147</v>
      </c>
      <c r="AB7" t="n">
        <v>0.192882448351813</v>
      </c>
      <c r="AC7" t="n">
        <v>-0.3119728795477</v>
      </c>
      <c r="AD7" t="n">
        <v>0.125579535895857</v>
      </c>
      <c r="AE7" t="n">
        <v>-0.478498298093271</v>
      </c>
      <c r="AF7"/>
    </row>
    <row r="8">
      <c r="A8" t="s">
        <v>120</v>
      </c>
      <c r="B8" t="s">
        <v>283</v>
      </c>
      <c r="C8" t="s">
        <v>121</v>
      </c>
      <c r="D8" t="s">
        <v>284</v>
      </c>
      <c r="E8" t="s">
        <v>29</v>
      </c>
      <c r="F8" t="n">
        <v>0.1587200065182</v>
      </c>
      <c r="G8" t="n">
        <v>0.0179267266051072</v>
      </c>
      <c r="H8" t="n">
        <v>0.116180501524239</v>
      </c>
      <c r="I8" t="n">
        <v>0.10308915169566</v>
      </c>
      <c r="J8" t="n">
        <v>0.182612038223103</v>
      </c>
      <c r="K8" t="n">
        <v>0.238001807581291</v>
      </c>
      <c r="L8" t="n">
        <v>0.683278388836662</v>
      </c>
      <c r="M8" t="n">
        <v>0.752172414387162</v>
      </c>
      <c r="N8" t="n">
        <v>0.834315898221668</v>
      </c>
      <c r="O8" t="n">
        <v>0.485610733527265</v>
      </c>
      <c r="P8" t="n">
        <v>0.269232496488456</v>
      </c>
      <c r="Q8" t="n">
        <v>0.0580755364254537</v>
      </c>
      <c r="R8" t="n">
        <v>0.244717379905928</v>
      </c>
      <c r="S8" t="n">
        <v>-1.07780207159009</v>
      </c>
      <c r="T8" t="n">
        <v>-0.248005594429823</v>
      </c>
      <c r="U8" t="n">
        <v>1.15186764905433</v>
      </c>
      <c r="V8" t="n">
        <v>-0.0942737833010573</v>
      </c>
      <c r="W8" t="n">
        <v>0.875966501370232</v>
      </c>
      <c r="X8" t="n">
        <v>-1.2194931653605</v>
      </c>
      <c r="Y8" t="n">
        <v>0.0397507136374851</v>
      </c>
      <c r="Z8" t="n">
        <v>-0.554398421260078</v>
      </c>
      <c r="AA8" t="n">
        <v>1.97807201940473</v>
      </c>
      <c r="AB8" t="n">
        <v>-0.939162182397331</v>
      </c>
      <c r="AC8" t="n">
        <v>-0.570103788422962</v>
      </c>
      <c r="AD8" t="n">
        <v>0.194291378682936</v>
      </c>
      <c r="AE8" t="n">
        <v>-1.15459324615976</v>
      </c>
      <c r="AF8"/>
    </row>
    <row r="9">
      <c r="A9" t="s">
        <v>122</v>
      </c>
      <c r="B9" t="s">
        <v>283</v>
      </c>
      <c r="C9" t="s">
        <v>123</v>
      </c>
      <c r="D9" t="s">
        <v>284</v>
      </c>
      <c r="E9" t="s">
        <v>29</v>
      </c>
      <c r="F9" t="n">
        <v>-0.00335419822296081</v>
      </c>
      <c r="G9" t="n">
        <v>0.0919680703330624</v>
      </c>
      <c r="H9" t="n">
        <v>0.370718007573055</v>
      </c>
      <c r="I9" t="n">
        <v>0.469873815369665</v>
      </c>
      <c r="J9" t="n">
        <v>0.432016512166605</v>
      </c>
      <c r="K9" t="n">
        <v>0.0492049757543631</v>
      </c>
      <c r="L9" t="n">
        <v>0.462554789034707</v>
      </c>
      <c r="M9" t="n">
        <v>0.343268760619279</v>
      </c>
      <c r="N9" t="n">
        <v>0.265256338756811</v>
      </c>
      <c r="O9" t="n">
        <v>0.764960507554822</v>
      </c>
      <c r="P9" t="n">
        <v>0.0358382716579285</v>
      </c>
      <c r="Q9" t="n">
        <v>0.0066579956580853</v>
      </c>
      <c r="R9" t="n">
        <v>0.719168384720125</v>
      </c>
      <c r="S9" t="n">
        <v>-0.343996730260863</v>
      </c>
      <c r="T9" t="n">
        <v>-0.151010439398401</v>
      </c>
      <c r="U9" t="n">
        <v>0.587888543754486</v>
      </c>
      <c r="V9" t="n">
        <v>-0.202891136394236</v>
      </c>
      <c r="W9" t="n">
        <v>1.57429883536445</v>
      </c>
      <c r="X9" t="n">
        <v>-1.15163364229677</v>
      </c>
      <c r="Y9" t="n">
        <v>-0.306153791998496</v>
      </c>
      <c r="Z9" t="n">
        <v>-0.131010443538985</v>
      </c>
      <c r="AA9" t="n">
        <v>1.25389672226467</v>
      </c>
      <c r="AB9" t="n">
        <v>-0.391116306480407</v>
      </c>
      <c r="AC9" t="n">
        <v>-0.606795993798354</v>
      </c>
      <c r="AD9" t="n">
        <v>-0.0900452678555991</v>
      </c>
      <c r="AE9" t="n">
        <v>0.0735016567572907</v>
      </c>
      <c r="AF9"/>
    </row>
    <row r="10">
      <c r="A10" t="s">
        <v>124</v>
      </c>
      <c r="B10" t="s">
        <v>283</v>
      </c>
      <c r="C10" t="s">
        <v>125</v>
      </c>
      <c r="D10" t="s">
        <v>284</v>
      </c>
      <c r="E10" t="s">
        <v>29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283</v>
      </c>
      <c r="C11" t="s">
        <v>127</v>
      </c>
      <c r="D11" t="s">
        <v>284</v>
      </c>
      <c r="E11" t="s">
        <v>29</v>
      </c>
      <c r="F11" t="n">
        <v>0.00384215629715318</v>
      </c>
      <c r="G11" t="n">
        <v>0.265976044849461</v>
      </c>
      <c r="H11" t="n">
        <v>0.531377922119355</v>
      </c>
      <c r="I11" t="n">
        <v>0.6087186546266</v>
      </c>
      <c r="J11" t="n">
        <v>0.57308671586879</v>
      </c>
      <c r="K11" t="n">
        <v>0.179660467521062</v>
      </c>
      <c r="L11" t="n">
        <v>0.315176223872775</v>
      </c>
      <c r="M11" t="n">
        <v>0.347631067653606</v>
      </c>
      <c r="N11" t="n">
        <v>0.0146960197172132</v>
      </c>
      <c r="O11" t="n">
        <v>0.531168266056825</v>
      </c>
      <c r="P11" t="n">
        <v>0.0499888780541856</v>
      </c>
      <c r="Q11" t="n">
        <v>0.0407309173824192</v>
      </c>
      <c r="R11" t="n">
        <v>0.700966903100327</v>
      </c>
      <c r="S11" t="n">
        <v>-0.177627106408953</v>
      </c>
      <c r="T11" t="n">
        <v>-0.232243126407794</v>
      </c>
      <c r="U11" t="n">
        <v>0.594613443205375</v>
      </c>
      <c r="V11" t="n">
        <v>-0.197653343034196</v>
      </c>
      <c r="W11" t="n">
        <v>1.36531316040618</v>
      </c>
      <c r="X11" t="n">
        <v>-0.917760349750569</v>
      </c>
      <c r="Y11" t="n">
        <v>-0.16529140582065</v>
      </c>
      <c r="Z11" t="n">
        <v>-0.201435404771723</v>
      </c>
      <c r="AA11" t="n">
        <v>1.10247818616199</v>
      </c>
      <c r="AB11" t="n">
        <v>-0.157700551139049</v>
      </c>
      <c r="AC11" t="n">
        <v>-0.356556260687861</v>
      </c>
      <c r="AD11" t="n">
        <v>0.00237443048994922</v>
      </c>
      <c r="AE11" t="n">
        <v>0.13138867151757</v>
      </c>
      <c r="AF11"/>
    </row>
    <row r="12">
      <c r="A12" t="s">
        <v>128</v>
      </c>
      <c r="B12" t="s">
        <v>283</v>
      </c>
      <c r="C12" t="s">
        <v>129</v>
      </c>
      <c r="D12" t="s">
        <v>284</v>
      </c>
      <c r="E12" t="s">
        <v>29</v>
      </c>
      <c r="F12" t="n">
        <v>0.291440848339822</v>
      </c>
      <c r="G12" t="n">
        <v>0.404914747192469</v>
      </c>
      <c r="H12" t="n">
        <v>0.350133668578878</v>
      </c>
      <c r="I12" t="n">
        <v>0.518418707968379</v>
      </c>
      <c r="J12" t="n">
        <v>0.293504037497423</v>
      </c>
      <c r="K12" t="n">
        <v>0.0316537648328895</v>
      </c>
      <c r="L12" t="n">
        <v>0.535166315588849</v>
      </c>
      <c r="M12" t="n">
        <v>0.797755673129705</v>
      </c>
      <c r="N12" t="n">
        <v>0.421433679931677</v>
      </c>
      <c r="O12" t="n">
        <v>0.163837457661628</v>
      </c>
      <c r="P12" t="n">
        <v>0.34565433993654</v>
      </c>
      <c r="Q12" t="n">
        <v>0.254981091498766</v>
      </c>
      <c r="R12" t="n">
        <v>0.708256521776244</v>
      </c>
      <c r="S12" t="n">
        <v>0.279499296335345</v>
      </c>
      <c r="T12" t="n">
        <v>0.521816716826508</v>
      </c>
      <c r="U12" t="n">
        <v>0.211551135059178</v>
      </c>
      <c r="V12" t="n">
        <v>0.243772853588211</v>
      </c>
      <c r="W12" t="n">
        <v>0.460973014066631</v>
      </c>
      <c r="X12" t="n">
        <v>0.482133308548928</v>
      </c>
      <c r="Y12" t="n">
        <v>0.215144641027131</v>
      </c>
      <c r="Z12" t="n">
        <v>0.074103240988693</v>
      </c>
      <c r="AA12" t="n">
        <v>-0.0406976503987558</v>
      </c>
      <c r="AB12" t="n">
        <v>0.281326096368719</v>
      </c>
      <c r="AC12" t="n">
        <v>0.125865729220647</v>
      </c>
      <c r="AD12" t="n">
        <v>-0.11836625906457</v>
      </c>
      <c r="AE12" t="n">
        <v>-0.45297198587713</v>
      </c>
      <c r="AF12"/>
    </row>
    <row r="13">
      <c r="A13" t="s">
        <v>130</v>
      </c>
      <c r="B13" t="s">
        <v>283</v>
      </c>
      <c r="C13" t="s">
        <v>131</v>
      </c>
      <c r="D13" t="s">
        <v>284</v>
      </c>
      <c r="E13" t="s">
        <v>29</v>
      </c>
      <c r="F13" t="n">
        <v>0.47826383523664</v>
      </c>
      <c r="G13" t="n">
        <v>-0.0399128368809996</v>
      </c>
      <c r="H13" t="n">
        <v>0.173042096546261</v>
      </c>
      <c r="I13" t="n">
        <v>0.478771957182936</v>
      </c>
      <c r="J13" t="n">
        <v>0.495146614581881</v>
      </c>
      <c r="K13" t="n">
        <v>0.0501801789226127</v>
      </c>
      <c r="L13" t="n">
        <v>0.445924273985202</v>
      </c>
      <c r="M13" t="n">
        <v>0.651034968429101</v>
      </c>
      <c r="N13" t="n">
        <v>0.438472736464818</v>
      </c>
      <c r="O13" t="n">
        <v>0.311303016204598</v>
      </c>
      <c r="P13" t="n">
        <v>0.49805134126193</v>
      </c>
      <c r="Q13" t="n">
        <v>-0.00386092809491299</v>
      </c>
      <c r="R13" t="n">
        <v>0.639667179795511</v>
      </c>
      <c r="S13" t="n">
        <v>-0.0524661082236781</v>
      </c>
      <c r="T13" t="n">
        <v>0.765753312544663</v>
      </c>
      <c r="U13" t="n">
        <v>0.313564305891513</v>
      </c>
      <c r="V13" t="n">
        <v>-0.121257331259953</v>
      </c>
      <c r="W13" t="n">
        <v>0.509529722121956</v>
      </c>
      <c r="X13" t="n">
        <v>0.0869305946063607</v>
      </c>
      <c r="Y13" t="n">
        <v>0.0634710408920749</v>
      </c>
      <c r="Z13" t="n">
        <v>0.15736321782123</v>
      </c>
      <c r="AA13" t="n">
        <v>0.43553719521607</v>
      </c>
      <c r="AB13" t="n">
        <v>-0.0148499355761064</v>
      </c>
      <c r="AC13" t="n">
        <v>-0.0279029092332308</v>
      </c>
      <c r="AD13" t="n">
        <v>0.17699813353663</v>
      </c>
      <c r="AE13" t="n">
        <v>-0.511818505983355</v>
      </c>
      <c r="AF13"/>
    </row>
    <row r="14">
      <c r="A14" t="s">
        <v>132</v>
      </c>
      <c r="B14" t="s">
        <v>283</v>
      </c>
      <c r="C14" t="s">
        <v>133</v>
      </c>
      <c r="D14" t="s">
        <v>284</v>
      </c>
      <c r="E14" t="s">
        <v>29</v>
      </c>
      <c r="F14" t="n">
        <v>0.196907034236651</v>
      </c>
      <c r="G14" t="n">
        <v>0.502556673978298</v>
      </c>
      <c r="H14" t="n">
        <v>0.464544953973123</v>
      </c>
      <c r="I14" t="n">
        <v>0.944289778229022</v>
      </c>
      <c r="J14" t="n">
        <v>0.672973614628872</v>
      </c>
      <c r="K14" t="n">
        <v>0.304907488240575</v>
      </c>
      <c r="L14" t="n">
        <v>0.83810830187838</v>
      </c>
      <c r="M14" t="n">
        <v>0.523660166574947</v>
      </c>
      <c r="N14" t="n">
        <v>0.420089712072365</v>
      </c>
      <c r="O14" t="n">
        <v>0.935034186781817</v>
      </c>
      <c r="P14" t="n">
        <v>0.969122699604517</v>
      </c>
      <c r="Q14" t="n">
        <v>0.469213528659167</v>
      </c>
      <c r="R14" t="n">
        <v>0.815451484014204</v>
      </c>
      <c r="S14" t="n">
        <v>0.321051080432382</v>
      </c>
      <c r="T14" t="n">
        <v>1.13554812651916</v>
      </c>
      <c r="U14" t="n">
        <v>-0.173697539898605</v>
      </c>
      <c r="V14" t="n">
        <v>0.553979993231523</v>
      </c>
      <c r="W14" t="n">
        <v>0.645605457235283</v>
      </c>
      <c r="X14" t="n">
        <v>0.619632858656928</v>
      </c>
      <c r="Y14" t="n">
        <v>-0.25788966812532</v>
      </c>
      <c r="Z14" t="n">
        <v>0.377233204575264</v>
      </c>
      <c r="AA14" t="n">
        <v>0.0978197373957343</v>
      </c>
      <c r="AB14" t="n">
        <v>0.25564633897245</v>
      </c>
      <c r="AC14" t="n">
        <v>0.126406232811249</v>
      </c>
      <c r="AD14" t="n">
        <v>-0.0814035851893315</v>
      </c>
      <c r="AE14" t="n">
        <v>-0.396447247437085</v>
      </c>
      <c r="AF14"/>
    </row>
    <row r="15">
      <c r="A15" t="s">
        <v>134</v>
      </c>
      <c r="B15" t="s">
        <v>283</v>
      </c>
      <c r="C15" t="s">
        <v>135</v>
      </c>
      <c r="D15" t="s">
        <v>284</v>
      </c>
      <c r="E15" t="s">
        <v>29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283</v>
      </c>
      <c r="C16" t="s">
        <v>137</v>
      </c>
      <c r="D16" t="s">
        <v>284</v>
      </c>
      <c r="E16" t="s">
        <v>29</v>
      </c>
      <c r="F16" t="n">
        <v>0.218756905075426</v>
      </c>
      <c r="G16" t="n">
        <v>0.438600105639235</v>
      </c>
      <c r="H16" t="n">
        <v>0.613396450939245</v>
      </c>
      <c r="I16" t="n">
        <v>0.82218638174989</v>
      </c>
      <c r="J16" t="n">
        <v>0.869812625007428</v>
      </c>
      <c r="K16" t="n">
        <v>0.334316081784443</v>
      </c>
      <c r="L16" t="n">
        <v>0.689493476309878</v>
      </c>
      <c r="M16" t="n">
        <v>0.598084561728593</v>
      </c>
      <c r="N16" t="n">
        <v>0.0364531813678238</v>
      </c>
      <c r="O16" t="n">
        <v>0.456065675770664</v>
      </c>
      <c r="P16" t="n">
        <v>0.634072529807169</v>
      </c>
      <c r="Q16" t="n">
        <v>1.97195352283702</v>
      </c>
      <c r="R16" t="n">
        <v>-1.42237178431015</v>
      </c>
      <c r="S16" t="n">
        <v>1.11463373886464</v>
      </c>
      <c r="T16" t="n">
        <v>0.933526818019363</v>
      </c>
      <c r="U16" t="n">
        <v>-0.255593082930495</v>
      </c>
      <c r="V16" t="n">
        <v>0.117967193595081</v>
      </c>
      <c r="W16" t="n">
        <v>0.0718381011567164</v>
      </c>
      <c r="X16" t="n">
        <v>0.215531559145872</v>
      </c>
      <c r="Y16" t="n">
        <v>0.0328706523459382</v>
      </c>
      <c r="Z16" t="n">
        <v>0.584050271713279</v>
      </c>
      <c r="AA16" t="n">
        <v>0.038804282420294</v>
      </c>
      <c r="AB16" t="n">
        <v>0.194154612712682</v>
      </c>
      <c r="AC16" t="n">
        <v>0.487238199369544</v>
      </c>
      <c r="AD16" t="n">
        <v>-0.0235446734927795</v>
      </c>
      <c r="AE16" t="n">
        <v>-0.0589347089312061</v>
      </c>
      <c r="AF16"/>
    </row>
    <row r="17">
      <c r="A17" t="s">
        <v>138</v>
      </c>
      <c r="B17" t="s">
        <v>283</v>
      </c>
      <c r="C17" t="s">
        <v>139</v>
      </c>
      <c r="D17" t="s">
        <v>284</v>
      </c>
      <c r="E17" t="s">
        <v>29</v>
      </c>
      <c r="F17" t="n">
        <v>0.577178485632301</v>
      </c>
      <c r="G17" t="n">
        <v>0.020509359145952</v>
      </c>
      <c r="H17" t="n">
        <v>0.379651766973565</v>
      </c>
      <c r="I17" t="n">
        <v>0.703672352702741</v>
      </c>
      <c r="J17" t="n">
        <v>0.282054283162004</v>
      </c>
      <c r="K17" t="n">
        <v>0.25345887334775</v>
      </c>
      <c r="L17" t="n">
        <v>0.707475268479332</v>
      </c>
      <c r="M17" t="n">
        <v>0.48672023278277</v>
      </c>
      <c r="N17" t="n">
        <v>0.435072268725939</v>
      </c>
      <c r="O17" t="n">
        <v>0.589382222587085</v>
      </c>
      <c r="P17" t="n">
        <v>0.346716665043677</v>
      </c>
      <c r="Q17" t="n">
        <v>0.0266346858328109</v>
      </c>
      <c r="R17" t="n">
        <v>0.83168515185684</v>
      </c>
      <c r="S17" t="n">
        <v>0.42935274131449</v>
      </c>
      <c r="T17" t="n">
        <v>0.387577355451919</v>
      </c>
      <c r="U17" t="n">
        <v>0.232130538321199</v>
      </c>
      <c r="V17" t="n">
        <v>0.0536956473951257</v>
      </c>
      <c r="W17" t="n">
        <v>0.785698884994149</v>
      </c>
      <c r="X17" t="n">
        <v>-0.171617224647501</v>
      </c>
      <c r="Y17" t="n">
        <v>0.258684030729526</v>
      </c>
      <c r="Z17" t="n">
        <v>0.282860490881638</v>
      </c>
      <c r="AA17" t="n">
        <v>0.212793998502567</v>
      </c>
      <c r="AB17" t="n">
        <v>0.225118100673357</v>
      </c>
      <c r="AC17" t="n">
        <v>0.154908721427105</v>
      </c>
      <c r="AD17" t="n">
        <v>-0.426773298478048</v>
      </c>
      <c r="AE17" t="n">
        <v>-0.32078437918977</v>
      </c>
      <c r="AF17"/>
    </row>
    <row r="18">
      <c r="A18" t="s">
        <v>140</v>
      </c>
      <c r="B18" t="s">
        <v>283</v>
      </c>
      <c r="C18" t="s">
        <v>141</v>
      </c>
      <c r="D18" t="s">
        <v>284</v>
      </c>
      <c r="E18" t="s">
        <v>29</v>
      </c>
      <c r="F18" t="n">
        <v>0.29902400141157</v>
      </c>
      <c r="G18" t="n">
        <v>-0.0583658126271901</v>
      </c>
      <c r="H18" t="n">
        <v>0.252290412634347</v>
      </c>
      <c r="I18" t="n">
        <v>0.903504926083089</v>
      </c>
      <c r="J18" t="n">
        <v>0.356450803274426</v>
      </c>
      <c r="K18" t="n">
        <v>0.0584146232406973</v>
      </c>
      <c r="L18" t="n">
        <v>0.384548665961823</v>
      </c>
      <c r="M18" t="n">
        <v>0.261721110004718</v>
      </c>
      <c r="N18" t="n">
        <v>0.41196469338317</v>
      </c>
      <c r="O18" t="n">
        <v>0.0605076318798873</v>
      </c>
      <c r="P18" t="n">
        <v>0.291937384105108</v>
      </c>
      <c r="Q18" t="n">
        <v>0.186804346900645</v>
      </c>
      <c r="R18" t="n">
        <v>0.298602251993002</v>
      </c>
      <c r="S18" t="n">
        <v>0.304241356403159</v>
      </c>
      <c r="T18" t="n">
        <v>0.556163647315171</v>
      </c>
      <c r="U18" t="n">
        <v>-0.214617552833075</v>
      </c>
      <c r="V18" t="n">
        <v>0.232681715371517</v>
      </c>
      <c r="W18" t="n">
        <v>0.341927206745729</v>
      </c>
      <c r="X18" t="n">
        <v>0.354510375270145</v>
      </c>
      <c r="Y18" t="n">
        <v>-0.28387249739365</v>
      </c>
      <c r="Z18" t="n">
        <v>0.625368898394477</v>
      </c>
      <c r="AA18" t="n">
        <v>-0.0760801839983452</v>
      </c>
      <c r="AB18" t="n">
        <v>0.189880355663323</v>
      </c>
      <c r="AC18" t="n">
        <v>0.0738336710800562</v>
      </c>
      <c r="AD18" t="n">
        <v>0.11878698112681</v>
      </c>
      <c r="AE18" t="n">
        <v>0.316320883484816</v>
      </c>
      <c r="AF18"/>
    </row>
    <row r="19">
      <c r="A19" t="s">
        <v>142</v>
      </c>
      <c r="B19" t="s">
        <v>283</v>
      </c>
      <c r="C19" t="s">
        <v>143</v>
      </c>
      <c r="D19" t="s">
        <v>284</v>
      </c>
      <c r="E19" t="s">
        <v>29</v>
      </c>
      <c r="F19" t="n">
        <v>0.226674152315792</v>
      </c>
      <c r="G19" t="n">
        <v>0.250207097624568</v>
      </c>
      <c r="H19" t="n">
        <v>0.36735799321413</v>
      </c>
      <c r="I19" t="n">
        <v>0.929396175076961</v>
      </c>
      <c r="J19" t="n">
        <v>-0.0410682162754039</v>
      </c>
      <c r="K19" t="n">
        <v>0.296630710126367</v>
      </c>
      <c r="L19" t="n">
        <v>0.63245354663361</v>
      </c>
      <c r="M19" t="n">
        <v>1.7406544320728</v>
      </c>
      <c r="N19" t="n">
        <v>0.196342881043966</v>
      </c>
      <c r="O19" t="n">
        <v>0.191161973895948</v>
      </c>
      <c r="P19" t="n">
        <v>1.38624330061628</v>
      </c>
      <c r="Q19" t="n">
        <v>0.31223075887351</v>
      </c>
      <c r="R19" t="n">
        <v>0.199581900473114</v>
      </c>
      <c r="S19" t="n">
        <v>0.753372141245281</v>
      </c>
      <c r="T19" t="n">
        <v>0.9762809065872</v>
      </c>
      <c r="U19" t="n">
        <v>-0.13700789511337</v>
      </c>
      <c r="V19" t="n">
        <v>0.105433563277501</v>
      </c>
      <c r="W19" t="n">
        <v>1.33590183025911</v>
      </c>
      <c r="X19" t="n">
        <v>-0.225538100034665</v>
      </c>
      <c r="Y19" t="n">
        <v>-0.150751277049394</v>
      </c>
      <c r="Z19" t="n">
        <v>0.632927805310806</v>
      </c>
      <c r="AA19" t="n">
        <v>-0.0602405490221712</v>
      </c>
      <c r="AB19" t="n">
        <v>1.03184471650665</v>
      </c>
      <c r="AC19" t="n">
        <v>0.293644363941466</v>
      </c>
      <c r="AD19" t="n">
        <v>-0.824619338641558</v>
      </c>
      <c r="AE19" t="n">
        <v>-1.03580191372783</v>
      </c>
      <c r="AF19"/>
    </row>
    <row r="20">
      <c r="A20" t="s">
        <v>144</v>
      </c>
      <c r="B20" t="s">
        <v>283</v>
      </c>
      <c r="C20" t="s">
        <v>145</v>
      </c>
      <c r="D20" t="s">
        <v>284</v>
      </c>
      <c r="E20" t="s">
        <v>29</v>
      </c>
      <c r="F20" t="n">
        <v>0.165646538164889</v>
      </c>
      <c r="G20" t="n">
        <v>-0.459353402868807</v>
      </c>
      <c r="H20" t="n">
        <v>0.256176900494647</v>
      </c>
      <c r="I20" t="n">
        <v>0.531138732103747</v>
      </c>
      <c r="J20" t="n">
        <v>-0.173171876265933</v>
      </c>
      <c r="K20" t="n">
        <v>0.0544352716348121</v>
      </c>
      <c r="L20" t="n">
        <v>0.415444116535223</v>
      </c>
      <c r="M20" t="n">
        <v>-0.048467037187707</v>
      </c>
      <c r="N20" t="n">
        <v>0.147358079149759</v>
      </c>
      <c r="O20" t="n">
        <v>0.369750185732498</v>
      </c>
      <c r="P20" t="n">
        <v>0.372392949722879</v>
      </c>
      <c r="Q20" t="n">
        <v>0.220864142709092</v>
      </c>
      <c r="R20" t="n">
        <v>0.379955831643431</v>
      </c>
      <c r="S20" t="n">
        <v>-0.00253692079487332</v>
      </c>
      <c r="T20" t="n">
        <v>-0.0685357646762463</v>
      </c>
      <c r="U20" t="n">
        <v>0.15628653909387</v>
      </c>
      <c r="V20" t="n">
        <v>-0.0380668213059562</v>
      </c>
      <c r="W20" t="n">
        <v>-0.0583713524378558</v>
      </c>
      <c r="X20" t="n">
        <v>-0.0506593226087486</v>
      </c>
      <c r="Y20" t="n">
        <v>0.0312009655193516</v>
      </c>
      <c r="Z20" t="n">
        <v>0.00337572110908113</v>
      </c>
      <c r="AA20" t="n">
        <v>0.0149475062343447</v>
      </c>
      <c r="AB20" t="n">
        <v>0.320514120838035</v>
      </c>
      <c r="AC20" t="n">
        <v>-0.406703971931354</v>
      </c>
      <c r="AD20" t="n">
        <v>0.381877135215138</v>
      </c>
      <c r="AE20" t="n">
        <v>-0.249888533999952</v>
      </c>
      <c r="AF20"/>
    </row>
    <row r="21">
      <c r="A21" t="s">
        <v>146</v>
      </c>
      <c r="B21" t="s">
        <v>283</v>
      </c>
      <c r="C21" t="s">
        <v>147</v>
      </c>
      <c r="D21" t="s">
        <v>284</v>
      </c>
      <c r="E21" t="s">
        <v>29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283</v>
      </c>
      <c r="C22" t="s">
        <v>149</v>
      </c>
      <c r="D22" t="s">
        <v>284</v>
      </c>
      <c r="E22" t="s">
        <v>29</v>
      </c>
      <c r="F22" t="n">
        <v>0.0871519924472493</v>
      </c>
      <c r="G22" t="n">
        <v>-0.188859038085239</v>
      </c>
      <c r="H22" t="n">
        <v>0.111678952842994</v>
      </c>
      <c r="I22" t="n">
        <v>0.25148029862694</v>
      </c>
      <c r="J22" t="n">
        <v>-0.0391991626817092</v>
      </c>
      <c r="K22" t="n">
        <v>0.0100479133028379</v>
      </c>
      <c r="L22" t="n">
        <v>0.484184130798388</v>
      </c>
      <c r="M22" t="n">
        <v>0.00784423629152044</v>
      </c>
      <c r="N22" t="n">
        <v>0.196046740538589</v>
      </c>
      <c r="O22" t="n">
        <v>0.391443769060723</v>
      </c>
      <c r="P22" t="n">
        <v>0.0904307045495472</v>
      </c>
      <c r="Q22" t="n">
        <v>0.873270498240079</v>
      </c>
      <c r="R22" t="n">
        <v>0.275626887156988</v>
      </c>
      <c r="S22" t="n">
        <v>-0.115961304401799</v>
      </c>
      <c r="T22" t="n">
        <v>0.19674679311497</v>
      </c>
      <c r="U22" t="n">
        <v>0.15369334595691</v>
      </c>
      <c r="V22" t="n">
        <v>0.0457566987376063</v>
      </c>
      <c r="W22" t="n">
        <v>-0.0727150971774904</v>
      </c>
      <c r="X22" t="n">
        <v>0.084530564657623</v>
      </c>
      <c r="Y22" t="n">
        <v>0.0586926284915857</v>
      </c>
      <c r="Z22" t="n">
        <v>-0.048401315203814</v>
      </c>
      <c r="AA22" t="n">
        <v>0.196560320803983</v>
      </c>
      <c r="AB22" t="n">
        <v>0.0685997181593291</v>
      </c>
      <c r="AC22" t="n">
        <v>-0.170276823049782</v>
      </c>
      <c r="AD22" t="n">
        <v>0.241320903140101</v>
      </c>
      <c r="AE22" t="n">
        <v>-0.270973536301668</v>
      </c>
      <c r="AF22"/>
    </row>
    <row r="23">
      <c r="A23" t="s">
        <v>150</v>
      </c>
      <c r="B23" t="s">
        <v>283</v>
      </c>
      <c r="C23" t="s">
        <v>151</v>
      </c>
      <c r="D23" t="s">
        <v>284</v>
      </c>
      <c r="E23" t="s">
        <v>29</v>
      </c>
      <c r="F23" t="n">
        <v>0.958407938199528</v>
      </c>
      <c r="G23" t="n">
        <v>-0.107761858482707</v>
      </c>
      <c r="H23" t="n">
        <v>1.06697979889852</v>
      </c>
      <c r="I23" t="n">
        <v>0.372597360965039</v>
      </c>
      <c r="J23" t="n">
        <v>0.605947849815613</v>
      </c>
      <c r="K23" t="n">
        <v>1.24357565139863</v>
      </c>
      <c r="L23" t="n">
        <v>0.889753430919432</v>
      </c>
      <c r="M23" t="n">
        <v>0.849974880336972</v>
      </c>
      <c r="N23" t="n">
        <v>1.1652843198873</v>
      </c>
      <c r="O23" t="n">
        <v>0.148369508736954</v>
      </c>
      <c r="P23" t="n">
        <v>1.73321462354481</v>
      </c>
      <c r="Q23" t="n">
        <v>0.881348246956711</v>
      </c>
      <c r="R23" t="n">
        <v>0.130214039798382</v>
      </c>
      <c r="S23" t="n">
        <v>0.174614963300124</v>
      </c>
      <c r="T23" t="n">
        <v>1.08695578560906</v>
      </c>
      <c r="U23" t="n">
        <v>-0.116717083732256</v>
      </c>
      <c r="V23" t="n">
        <v>0.393392916389266</v>
      </c>
      <c r="W23" t="n">
        <v>-0.568780587200053</v>
      </c>
      <c r="X23" t="n">
        <v>1.06712201592643</v>
      </c>
      <c r="Y23" t="n">
        <v>0.646683394991599</v>
      </c>
      <c r="Z23" t="n">
        <v>0.444676622479914</v>
      </c>
      <c r="AA23" t="n">
        <v>0.495748991099298</v>
      </c>
      <c r="AB23" t="n">
        <v>-0.670154771261721</v>
      </c>
      <c r="AC23" t="n">
        <v>0.283097447892571</v>
      </c>
      <c r="AD23" t="n">
        <v>-0.619101995868384</v>
      </c>
      <c r="AE23" t="n">
        <v>-1.82642526132478</v>
      </c>
      <c r="AF23"/>
    </row>
    <row r="24">
      <c r="A24" t="s">
        <v>152</v>
      </c>
      <c r="B24" t="s">
        <v>283</v>
      </c>
      <c r="C24" t="s">
        <v>153</v>
      </c>
      <c r="D24" t="s">
        <v>284</v>
      </c>
      <c r="E24" t="s">
        <v>29</v>
      </c>
      <c r="F24" t="n">
        <v>0.44607366846657</v>
      </c>
      <c r="G24" t="n">
        <v>0.0694382650856529</v>
      </c>
      <c r="H24" t="n">
        <v>0.298206512650882</v>
      </c>
      <c r="I24" t="n">
        <v>0.463403738642603</v>
      </c>
      <c r="J24" t="n">
        <v>0.641431878287846</v>
      </c>
      <c r="K24" t="n">
        <v>0.69324462507346</v>
      </c>
      <c r="L24" t="n">
        <v>0.227858395839987</v>
      </c>
      <c r="M24" t="n">
        <v>0.379909311148092</v>
      </c>
      <c r="N24" t="n">
        <v>0.547005429128807</v>
      </c>
      <c r="O24" t="n">
        <v>0.754660787313477</v>
      </c>
      <c r="P24" t="n">
        <v>0.648607916356438</v>
      </c>
      <c r="Q24" t="n">
        <v>0.17784501755431</v>
      </c>
      <c r="R24" t="n">
        <v>0.545265959487469</v>
      </c>
      <c r="S24" t="n">
        <v>0.726584512653001</v>
      </c>
      <c r="T24" t="n">
        <v>0.173378292916109</v>
      </c>
      <c r="U24" t="n">
        <v>0.589049875935226</v>
      </c>
      <c r="V24" t="n">
        <v>0.107286810408381</v>
      </c>
      <c r="W24" t="n">
        <v>0.455864852403167</v>
      </c>
      <c r="X24" t="n">
        <v>-0.293211168791166</v>
      </c>
      <c r="Y24" t="n">
        <v>0.585613936922542</v>
      </c>
      <c r="Z24" t="n">
        <v>0.724169541496482</v>
      </c>
      <c r="AA24" t="n">
        <v>0.0350874447299095</v>
      </c>
      <c r="AB24" t="n">
        <v>0.168877138284546</v>
      </c>
      <c r="AC24" t="n">
        <v>-0.423034793971333</v>
      </c>
      <c r="AD24" t="n">
        <v>-0.212541693917043</v>
      </c>
      <c r="AE24" t="n">
        <v>-0.374348856300212</v>
      </c>
      <c r="AF24"/>
    </row>
    <row r="25">
      <c r="A25" t="s">
        <v>154</v>
      </c>
      <c r="B25" t="s">
        <v>283</v>
      </c>
      <c r="C25" t="s">
        <v>155</v>
      </c>
      <c r="D25" t="s">
        <v>284</v>
      </c>
      <c r="E25" t="s">
        <v>29</v>
      </c>
      <c r="F25" t="n">
        <v>0.310029576124478</v>
      </c>
      <c r="G25" t="n">
        <v>0.143110380601805</v>
      </c>
      <c r="H25" t="n">
        <v>0.359828710092901</v>
      </c>
      <c r="I25" t="n">
        <v>0.529831554028611</v>
      </c>
      <c r="J25" t="n">
        <v>0.783151131602402</v>
      </c>
      <c r="K25" t="n">
        <v>0.339342606584885</v>
      </c>
      <c r="L25" t="n">
        <v>0.930407986771528</v>
      </c>
      <c r="M25" t="n">
        <v>0.98163348222787</v>
      </c>
      <c r="N25" t="n">
        <v>0.768962360858801</v>
      </c>
      <c r="O25" t="n">
        <v>1.74842055644002</v>
      </c>
      <c r="P25" t="n">
        <v>-0.614949128063883</v>
      </c>
      <c r="Q25" t="n">
        <v>0.462751774362681</v>
      </c>
      <c r="R25" t="n">
        <v>1.14278630226665</v>
      </c>
      <c r="S25" t="n">
        <v>0.400711027799457</v>
      </c>
      <c r="T25" t="n">
        <v>0.278590316165505</v>
      </c>
      <c r="U25" t="n">
        <v>0.563092223129375</v>
      </c>
      <c r="V25" t="n">
        <v>-0.175668918121775</v>
      </c>
      <c r="W25" t="n">
        <v>0.250321216514958</v>
      </c>
      <c r="X25" t="n">
        <v>0.414210110216624</v>
      </c>
      <c r="Y25" t="n">
        <v>0.302294575364219</v>
      </c>
      <c r="Z25" t="n">
        <v>0.205593074638063</v>
      </c>
      <c r="AA25" t="n">
        <v>0.0282397673212804</v>
      </c>
      <c r="AB25" t="n">
        <v>-0.0481902939132307</v>
      </c>
      <c r="AC25" t="n">
        <v>-0.0938173889240245</v>
      </c>
      <c r="AD25" t="n">
        <v>-0.13868721059327</v>
      </c>
      <c r="AE25" t="n">
        <v>-0.383598254268526</v>
      </c>
      <c r="AF25"/>
    </row>
    <row r="26">
      <c r="A26" t="s">
        <v>156</v>
      </c>
      <c r="B26" t="s">
        <v>283</v>
      </c>
      <c r="C26" t="s">
        <v>157</v>
      </c>
      <c r="D26" t="s">
        <v>284</v>
      </c>
      <c r="E26" t="s">
        <v>29</v>
      </c>
      <c r="F26" t="n">
        <v>0.517631783815382</v>
      </c>
      <c r="G26" t="n">
        <v>0.250495472465426</v>
      </c>
      <c r="H26" t="n">
        <v>0.684749555581378</v>
      </c>
      <c r="I26" t="n">
        <v>1.30183019962378</v>
      </c>
      <c r="J26" t="n">
        <v>1.2319055849564</v>
      </c>
      <c r="K26" t="n">
        <v>1.58138645951564</v>
      </c>
      <c r="L26" t="n">
        <v>0.127929774708469</v>
      </c>
      <c r="M26" t="n">
        <v>0.364400257897232</v>
      </c>
      <c r="N26" t="n">
        <v>0.352726143454847</v>
      </c>
      <c r="O26" t="n">
        <v>1.0792100491614</v>
      </c>
      <c r="P26" t="n">
        <v>1.44584827991801</v>
      </c>
      <c r="Q26" t="n">
        <v>-0.941680587427747</v>
      </c>
      <c r="R26" t="n">
        <v>0.313119439076872</v>
      </c>
      <c r="S26" t="n">
        <v>1.62396559727204</v>
      </c>
      <c r="T26" t="n">
        <v>0.0109479450929411</v>
      </c>
      <c r="U26" t="n">
        <v>0.559102563565732</v>
      </c>
      <c r="V26" t="n">
        <v>-0.341661978600604</v>
      </c>
      <c r="W26" t="n">
        <v>1.04237842977502</v>
      </c>
      <c r="X26" t="n">
        <v>-0.696026676170091</v>
      </c>
      <c r="Y26" t="n">
        <v>1.54375933792306</v>
      </c>
      <c r="Z26" t="n">
        <v>1.07759460093601</v>
      </c>
      <c r="AA26" t="n">
        <v>0.181377645015331</v>
      </c>
      <c r="AB26" t="n">
        <v>-0.316773925670182</v>
      </c>
      <c r="AC26" t="n">
        <v>-0.395001502685009</v>
      </c>
      <c r="AD26" t="n">
        <v>0.511663208783071</v>
      </c>
      <c r="AE26" t="n">
        <v>-0.61613626344468</v>
      </c>
      <c r="AF26"/>
    </row>
    <row r="27">
      <c r="A27" t="s">
        <v>158</v>
      </c>
      <c r="B27" t="s">
        <v>283</v>
      </c>
      <c r="C27" t="s">
        <v>159</v>
      </c>
      <c r="D27" t="s">
        <v>284</v>
      </c>
      <c r="E27" t="s">
        <v>29</v>
      </c>
      <c r="F27" t="n">
        <v>0.233472450704202</v>
      </c>
      <c r="G27" t="n">
        <v>-0.0417742599299001</v>
      </c>
      <c r="H27" t="n">
        <v>0.00127322944549852</v>
      </c>
      <c r="I27" t="n">
        <v>-0.0195789183536548</v>
      </c>
      <c r="J27" t="n">
        <v>0.260417354180727</v>
      </c>
      <c r="K27" t="n">
        <v>0.313091332008336</v>
      </c>
      <c r="L27" t="n">
        <v>0.252922637184319</v>
      </c>
      <c r="M27" t="n">
        <v>0.39193876052455</v>
      </c>
      <c r="N27" t="n">
        <v>0.530895575038373</v>
      </c>
      <c r="O27" t="n">
        <v>0.494869105519424</v>
      </c>
      <c r="P27" t="n">
        <v>0.12240190442608</v>
      </c>
      <c r="Q27" t="n">
        <v>0.570617041582771</v>
      </c>
      <c r="R27" t="n">
        <v>0.306544302427341</v>
      </c>
      <c r="S27" t="n">
        <v>0.0645104517169504</v>
      </c>
      <c r="T27" t="n">
        <v>0.190654168315686</v>
      </c>
      <c r="U27" t="n">
        <v>0.446262958538548</v>
      </c>
      <c r="V27" t="n">
        <v>0.27953801899065</v>
      </c>
      <c r="W27" t="n">
        <v>0.19294739878147</v>
      </c>
      <c r="X27" t="n">
        <v>-0.208320186162068</v>
      </c>
      <c r="Y27" t="n">
        <v>0.0335879724797151</v>
      </c>
      <c r="Z27" t="n">
        <v>0.309421464257619</v>
      </c>
      <c r="AA27" t="n">
        <v>-0.0981442205754339</v>
      </c>
      <c r="AB27" t="n">
        <v>0.399879032302544</v>
      </c>
      <c r="AC27" t="n">
        <v>-0.544393075042201</v>
      </c>
      <c r="AD27" t="n">
        <v>-0.50869355011264</v>
      </c>
      <c r="AE27" t="n">
        <v>-0.399030410092992</v>
      </c>
      <c r="AF27"/>
    </row>
    <row r="28">
      <c r="A28" t="s">
        <v>160</v>
      </c>
      <c r="B28" t="s">
        <v>283</v>
      </c>
      <c r="C28" t="s">
        <v>161</v>
      </c>
      <c r="D28" t="s">
        <v>284</v>
      </c>
      <c r="E28" t="s">
        <v>29</v>
      </c>
      <c r="F28" t="n">
        <v>-0.0515762317033624</v>
      </c>
      <c r="G28" t="n">
        <v>0.341712809473646</v>
      </c>
      <c r="H28" t="n">
        <v>0.162943783224598</v>
      </c>
      <c r="I28" t="n">
        <v>0.134549128414118</v>
      </c>
      <c r="J28" t="n">
        <v>0.514432500767212</v>
      </c>
      <c r="K28" t="n">
        <v>0.533559357661843</v>
      </c>
      <c r="L28" t="n">
        <v>0.558704019116672</v>
      </c>
      <c r="M28" t="n">
        <v>0.57322148111158</v>
      </c>
      <c r="N28" t="n">
        <v>0.671990301515697</v>
      </c>
      <c r="O28" t="n">
        <v>-0.03224626079843</v>
      </c>
      <c r="P28" t="n">
        <v>-0.0491801285379986</v>
      </c>
      <c r="Q28" t="n">
        <v>0.444384854609066</v>
      </c>
      <c r="R28" t="n">
        <v>0.397756800024722</v>
      </c>
      <c r="S28" t="n">
        <v>0.0350010472549508</v>
      </c>
      <c r="T28" t="n">
        <v>0.515415213167862</v>
      </c>
      <c r="U28" t="n">
        <v>0.275359099313394</v>
      </c>
      <c r="V28" t="n">
        <v>-0.00882228741745693</v>
      </c>
      <c r="W28" t="n">
        <v>0.297318063279755</v>
      </c>
      <c r="X28" t="n">
        <v>0.27343089445676</v>
      </c>
      <c r="Y28" t="n">
        <v>-0.0366805784513445</v>
      </c>
      <c r="Z28" t="n">
        <v>-0.0930781569103237</v>
      </c>
      <c r="AA28" t="n">
        <v>0.0278119874823833</v>
      </c>
      <c r="AB28" t="n">
        <v>-0.0086555423872846</v>
      </c>
      <c r="AC28" t="n">
        <v>-0.0441083879401954</v>
      </c>
      <c r="AD28" t="n">
        <v>-0.221715471793842</v>
      </c>
      <c r="AE28" t="n">
        <v>-0.566149628984406</v>
      </c>
      <c r="AF28"/>
    </row>
    <row r="29">
      <c r="A29" t="s">
        <v>162</v>
      </c>
      <c r="B29" t="s">
        <v>283</v>
      </c>
      <c r="C29" t="s">
        <v>163</v>
      </c>
      <c r="D29" t="s">
        <v>284</v>
      </c>
      <c r="E29" t="s">
        <v>29</v>
      </c>
      <c r="F29" t="n">
        <v>-0.0717400511461576</v>
      </c>
      <c r="G29" t="n">
        <v>0.16051910624663</v>
      </c>
      <c r="H29" t="n">
        <v>-0.00334758903512295</v>
      </c>
      <c r="I29" t="n">
        <v>-0.0463628447094274</v>
      </c>
      <c r="J29" t="n">
        <v>0.253944867732691</v>
      </c>
      <c r="K29" t="n">
        <v>0.257751177149577</v>
      </c>
      <c r="L29" t="n">
        <v>0.270488598699743</v>
      </c>
      <c r="M29" t="n">
        <v>0.272390736561847</v>
      </c>
      <c r="N29" t="n">
        <v>0.44909114361554</v>
      </c>
      <c r="O29" t="n">
        <v>0.0696417493530663</v>
      </c>
      <c r="P29" t="n">
        <v>-0.131259637135769</v>
      </c>
      <c r="Q29" t="n">
        <v>0.315866830115311</v>
      </c>
      <c r="R29" t="n">
        <v>0.235839502370831</v>
      </c>
      <c r="S29" t="n">
        <v>0.103589935242757</v>
      </c>
      <c r="T29" t="n">
        <v>0.269572873555839</v>
      </c>
      <c r="U29" t="n">
        <v>0.10878626166837</v>
      </c>
      <c r="V29" t="n">
        <v>0.174044622122592</v>
      </c>
      <c r="W29" t="n">
        <v>0.0399685394053985</v>
      </c>
      <c r="X29" t="n">
        <v>0.278223522049971</v>
      </c>
      <c r="Y29" t="n">
        <v>-0.156947642430897</v>
      </c>
      <c r="Z29" t="n">
        <v>0.0431122244604374</v>
      </c>
      <c r="AA29" t="n">
        <v>-0.131605579892911</v>
      </c>
      <c r="AB29" t="n">
        <v>-0.131031824994276</v>
      </c>
      <c r="AC29" t="n">
        <v>-0.145123533338299</v>
      </c>
      <c r="AD29" t="n">
        <v>-0.143900037301697</v>
      </c>
      <c r="AE29" t="n">
        <v>-0.468559288737005</v>
      </c>
      <c r="AF29"/>
    </row>
    <row r="30">
      <c r="A30" t="s">
        <v>164</v>
      </c>
      <c r="B30" t="s">
        <v>283</v>
      </c>
      <c r="C30" t="s">
        <v>165</v>
      </c>
      <c r="D30" t="s">
        <v>284</v>
      </c>
      <c r="E30" t="s">
        <v>29</v>
      </c>
      <c r="F30" t="n">
        <v>-0.835009946326972</v>
      </c>
      <c r="G30" t="n">
        <v>0.775046229672793</v>
      </c>
      <c r="H30" t="n">
        <v>0.47233188733316</v>
      </c>
      <c r="I30" t="n">
        <v>0.402503676537939</v>
      </c>
      <c r="J30" t="n">
        <v>1.21626609182437</v>
      </c>
      <c r="K30" t="n">
        <v>1.51725801988708</v>
      </c>
      <c r="L30" t="n">
        <v>1.7960796824216</v>
      </c>
      <c r="M30" t="n">
        <v>1.46498489245904</v>
      </c>
      <c r="N30" t="n">
        <v>0.0566153381689537</v>
      </c>
      <c r="O30" t="n">
        <v>0.294771564756052</v>
      </c>
      <c r="P30" t="n">
        <v>0.541440870451539</v>
      </c>
      <c r="Q30" t="n">
        <v>0.91370536230578</v>
      </c>
      <c r="R30" t="n">
        <v>1.50333091671368</v>
      </c>
      <c r="S30" t="n">
        <v>-2.61778282894286</v>
      </c>
      <c r="T30" t="n">
        <v>3.6132934329379</v>
      </c>
      <c r="U30" t="n">
        <v>3.94174744124753</v>
      </c>
      <c r="V30" t="n">
        <v>-7.096560900127</v>
      </c>
      <c r="W30" t="n">
        <v>2.21637369032263</v>
      </c>
      <c r="X30" t="n">
        <v>-1.76679402678536</v>
      </c>
      <c r="Y30" t="n">
        <v>1.84783339952263</v>
      </c>
      <c r="Z30" t="n">
        <v>-1.15565757574298</v>
      </c>
      <c r="AA30" t="n">
        <v>1.30712992366173</v>
      </c>
      <c r="AB30" t="n">
        <v>-1.12120056931416</v>
      </c>
      <c r="AC30" t="n">
        <v>1.106256496579</v>
      </c>
      <c r="AD30" t="n">
        <v>-0.901220722084191</v>
      </c>
      <c r="AE30" t="n">
        <v>-1.8068145196924</v>
      </c>
      <c r="AF30"/>
    </row>
    <row r="31">
      <c r="A31" t="s">
        <v>166</v>
      </c>
      <c r="B31" t="s">
        <v>283</v>
      </c>
      <c r="C31" t="s">
        <v>167</v>
      </c>
      <c r="D31" t="s">
        <v>284</v>
      </c>
      <c r="E31" t="s">
        <v>29</v>
      </c>
      <c r="F31" t="n">
        <v>-0.737466809198278</v>
      </c>
      <c r="G31" t="n">
        <v>0.700809121278983</v>
      </c>
      <c r="H31" t="n">
        <v>0.236541717423708</v>
      </c>
      <c r="I31" t="n">
        <v>0.976228283467245</v>
      </c>
      <c r="J31" t="n">
        <v>1.47567809108912</v>
      </c>
      <c r="K31" t="n">
        <v>1.3770953095618</v>
      </c>
      <c r="L31" t="n">
        <v>1.11092520412653</v>
      </c>
      <c r="M31" t="n">
        <v>1.49201643737093</v>
      </c>
      <c r="N31" t="n">
        <v>0.904213077361911</v>
      </c>
      <c r="O31" t="n">
        <v>-0.0615519004097787</v>
      </c>
      <c r="P31" t="n">
        <v>0.582672077611176</v>
      </c>
      <c r="Q31" t="n">
        <v>0.595836540659777</v>
      </c>
      <c r="R31" t="n">
        <v>0.851874289724265</v>
      </c>
      <c r="S31" t="n">
        <v>-1.52079748645807</v>
      </c>
      <c r="T31" t="n">
        <v>-0.255779552979421</v>
      </c>
      <c r="U31" t="n">
        <v>0.60646426797287</v>
      </c>
      <c r="V31" t="n">
        <v>0.014348268198765</v>
      </c>
      <c r="W31" t="n">
        <v>-0.0294820286682732</v>
      </c>
      <c r="X31" t="n">
        <v>1.31184883762896</v>
      </c>
      <c r="Y31" t="n">
        <v>-0.46772330810137</v>
      </c>
      <c r="Z31" t="n">
        <v>-0.894685990373539</v>
      </c>
      <c r="AA31" t="n">
        <v>0.920952408950641</v>
      </c>
      <c r="AB31" t="n">
        <v>-0.450812971583608</v>
      </c>
      <c r="AC31" t="n">
        <v>-0.411705730319179</v>
      </c>
      <c r="AD31" t="n">
        <v>-0.508200150249158</v>
      </c>
      <c r="AE31" t="n">
        <v>0.148946931640959</v>
      </c>
      <c r="AF31"/>
    </row>
    <row r="32">
      <c r="A32" t="s">
        <v>168</v>
      </c>
      <c r="B32" t="s">
        <v>283</v>
      </c>
      <c r="C32" t="s">
        <v>169</v>
      </c>
      <c r="D32" t="s">
        <v>284</v>
      </c>
      <c r="E32" t="s">
        <v>29</v>
      </c>
      <c r="F32" t="n">
        <v>0.147376114861569</v>
      </c>
      <c r="G32" t="n">
        <v>0.251278666893113</v>
      </c>
      <c r="H32" t="n">
        <v>-0.271912431598667</v>
      </c>
      <c r="I32" t="n">
        <v>-0.0239458104625236</v>
      </c>
      <c r="J32" t="n">
        <v>0.675806692999522</v>
      </c>
      <c r="K32" t="n">
        <v>0.0306989057032637</v>
      </c>
      <c r="L32" t="n">
        <v>0.364746328800207</v>
      </c>
      <c r="M32" t="n">
        <v>0.430502048730538</v>
      </c>
      <c r="N32" t="n">
        <v>0.730372522431313</v>
      </c>
      <c r="O32" t="n">
        <v>-0.390611131671435</v>
      </c>
      <c r="P32" t="n">
        <v>-0.430209598935918</v>
      </c>
      <c r="Q32" t="n">
        <v>0.286523797743422</v>
      </c>
      <c r="R32" t="n">
        <v>-0.0123629171428502</v>
      </c>
      <c r="S32" t="n">
        <v>-0.222650658481284</v>
      </c>
      <c r="T32" t="n">
        <v>0.275750716079616</v>
      </c>
      <c r="U32" t="n">
        <v>0.298390987967784</v>
      </c>
      <c r="V32" t="n">
        <v>0.372387451755312</v>
      </c>
      <c r="W32" t="n">
        <v>-0.222603218473202</v>
      </c>
      <c r="X32" t="n">
        <v>-0.0606464124333771</v>
      </c>
      <c r="Y32" t="n">
        <v>-0.049845945746188</v>
      </c>
      <c r="Z32" t="n">
        <v>0.325268000903313</v>
      </c>
      <c r="AA32" t="n">
        <v>-0.011727532976813</v>
      </c>
      <c r="AB32" t="n">
        <v>0.167755323655649</v>
      </c>
      <c r="AC32" t="n">
        <v>-0.372090561677985</v>
      </c>
      <c r="AD32" t="n">
        <v>-0.0819079966603148</v>
      </c>
      <c r="AE32" t="n">
        <v>-0.238624382839281</v>
      </c>
      <c r="AF32"/>
    </row>
    <row r="33">
      <c r="A33" t="s">
        <v>170</v>
      </c>
      <c r="B33" t="s">
        <v>283</v>
      </c>
      <c r="C33" t="s">
        <v>171</v>
      </c>
      <c r="D33" t="s">
        <v>284</v>
      </c>
      <c r="E33" t="s">
        <v>29</v>
      </c>
      <c r="F33" t="n">
        <v>0.0612871507946542</v>
      </c>
      <c r="G33" t="n">
        <v>-0.638279399433214</v>
      </c>
      <c r="H33" t="n">
        <v>-0.541941771114987</v>
      </c>
      <c r="I33" t="n">
        <v>-0.445716114414223</v>
      </c>
      <c r="J33" t="n">
        <v>0.228560009603366</v>
      </c>
      <c r="K33" t="n">
        <v>0.240965237270424</v>
      </c>
      <c r="L33" t="n">
        <v>0.603158006134572</v>
      </c>
      <c r="M33" t="n">
        <v>0.333745035857562</v>
      </c>
      <c r="N33" t="n">
        <v>1.11942631289309</v>
      </c>
      <c r="O33" t="n">
        <v>0.288818028674663</v>
      </c>
      <c r="P33" t="n">
        <v>0.639613584929075</v>
      </c>
      <c r="Q33" t="n">
        <v>0.38963522357768</v>
      </c>
      <c r="R33" t="n">
        <v>0.638062359055713</v>
      </c>
      <c r="S33" t="n">
        <v>-0.183718428167704</v>
      </c>
      <c r="T33" t="n">
        <v>-0.265102373037592</v>
      </c>
      <c r="U33" t="n">
        <v>0.317873006285043</v>
      </c>
      <c r="V33" t="n">
        <v>0.623487531280859</v>
      </c>
      <c r="W33" t="n">
        <v>-0.407105643340717</v>
      </c>
      <c r="X33" t="n">
        <v>-0.254677195701544</v>
      </c>
      <c r="Y33" t="n">
        <v>-0.1577932355427</v>
      </c>
      <c r="Z33" t="n">
        <v>0.652966842731297</v>
      </c>
      <c r="AA33" t="n">
        <v>0.24194842830143</v>
      </c>
      <c r="AB33" t="n">
        <v>0.224704117862812</v>
      </c>
      <c r="AC33" t="n">
        <v>-0.469196143838193</v>
      </c>
      <c r="AD33" t="n">
        <v>0.240592637147625</v>
      </c>
      <c r="AE33" t="n">
        <v>-0.0247667515362636</v>
      </c>
      <c r="AF33"/>
    </row>
    <row r="34">
      <c r="A34" t="s">
        <v>172</v>
      </c>
      <c r="B34" t="s">
        <v>283</v>
      </c>
      <c r="C34" t="s">
        <v>173</v>
      </c>
      <c r="D34" t="s">
        <v>284</v>
      </c>
      <c r="E34" t="s">
        <v>29</v>
      </c>
      <c r="F34" t="n">
        <v>0.162381588262304</v>
      </c>
      <c r="G34" t="n">
        <v>0.541044812907827</v>
      </c>
      <c r="H34" t="n">
        <v>-0.110245432647804</v>
      </c>
      <c r="I34" t="n">
        <v>-0.0351664609854821</v>
      </c>
      <c r="J34" t="n">
        <v>-0.211154402928691</v>
      </c>
      <c r="K34" t="n">
        <v>1.10820321572336</v>
      </c>
      <c r="L34" t="n">
        <v>0.622585865239312</v>
      </c>
      <c r="M34" t="n">
        <v>-0.336366727994601</v>
      </c>
      <c r="N34" t="n">
        <v>0.0860207068062048</v>
      </c>
      <c r="O34" t="n">
        <v>0.658126066637052</v>
      </c>
      <c r="P34" t="n">
        <v>0.0464518456579404</v>
      </c>
      <c r="Q34" t="n">
        <v>0.35948527034456</v>
      </c>
      <c r="R34" t="n">
        <v>0.131015520923291</v>
      </c>
      <c r="S34" t="n">
        <v>0.213089605241436</v>
      </c>
      <c r="T34" t="n">
        <v>-0.0390955586637105</v>
      </c>
      <c r="U34" t="n">
        <v>0.0923836683680474</v>
      </c>
      <c r="V34" t="n">
        <v>0.0775674369168525</v>
      </c>
      <c r="W34" t="n">
        <v>0.280353112636817</v>
      </c>
      <c r="X34" t="n">
        <v>-0.301417034678187</v>
      </c>
      <c r="Y34" t="n">
        <v>0.430140038130157</v>
      </c>
      <c r="Z34" t="n">
        <v>-0.0166334651415804</v>
      </c>
      <c r="AA34" t="n">
        <v>-0.2879514828878</v>
      </c>
      <c r="AB34" t="n">
        <v>0.0241311207805576</v>
      </c>
      <c r="AC34" t="n">
        <v>-0.305939822284933</v>
      </c>
      <c r="AD34" t="n">
        <v>-0.0205362870322282</v>
      </c>
      <c r="AE34" t="n">
        <v>-0.64769930631324</v>
      </c>
      <c r="AF34"/>
    </row>
    <row r="35">
      <c r="A35" t="s">
        <v>174</v>
      </c>
      <c r="B35" t="s">
        <v>283</v>
      </c>
      <c r="C35" t="s">
        <v>175</v>
      </c>
      <c r="D35" t="s">
        <v>284</v>
      </c>
      <c r="E35" t="s">
        <v>29</v>
      </c>
      <c r="F35" t="n">
        <v>0.00687949785280791</v>
      </c>
      <c r="G35" t="n">
        <v>0.221513439428012</v>
      </c>
      <c r="H35" t="n">
        <v>0.397594295441106</v>
      </c>
      <c r="I35" t="n">
        <v>0.888923333316734</v>
      </c>
      <c r="J35" t="n">
        <v>0.428181425613751</v>
      </c>
      <c r="K35" t="n">
        <v>0.273138322603831</v>
      </c>
      <c r="L35" t="n">
        <v>0.643447432915141</v>
      </c>
      <c r="M35" t="n">
        <v>0.873699378649289</v>
      </c>
      <c r="N35" t="n">
        <v>0.467302150075339</v>
      </c>
      <c r="O35" t="n">
        <v>0.642008041726745</v>
      </c>
      <c r="P35" t="n">
        <v>0.794725346610623</v>
      </c>
      <c r="Q35" t="n">
        <v>0.432969205727429</v>
      </c>
      <c r="R35" t="n">
        <v>0.529515365538445</v>
      </c>
      <c r="S35" t="n">
        <v>0.125765131482871</v>
      </c>
      <c r="T35" t="n">
        <v>0.737851816654037</v>
      </c>
      <c r="U35" t="n">
        <v>0.109451808860631</v>
      </c>
      <c r="V35" t="n">
        <v>0.902759758210149</v>
      </c>
      <c r="W35" t="n">
        <v>0.0084789094887692</v>
      </c>
      <c r="X35" t="n">
        <v>0.699195530045978</v>
      </c>
      <c r="Y35" t="n">
        <v>0.705080945057579</v>
      </c>
      <c r="Z35" t="n">
        <v>0.542781288677906</v>
      </c>
      <c r="AA35" t="n">
        <v>-0.0579589874161084</v>
      </c>
      <c r="AB35" t="n">
        <v>-0.386609184858795</v>
      </c>
      <c r="AC35" t="n">
        <v>-0.391769417482624</v>
      </c>
      <c r="AD35" t="n">
        <v>-0.200646377031943</v>
      </c>
      <c r="AE35" t="n">
        <v>0.219867714905505</v>
      </c>
      <c r="AF35"/>
    </row>
    <row r="36">
      <c r="A36" t="s">
        <v>176</v>
      </c>
      <c r="B36" t="s">
        <v>283</v>
      </c>
      <c r="C36" t="s">
        <v>177</v>
      </c>
      <c r="D36" t="s">
        <v>284</v>
      </c>
      <c r="E36" t="s">
        <v>29</v>
      </c>
      <c r="F36" t="n">
        <v>0.5602120438549</v>
      </c>
      <c r="G36" t="n">
        <v>0.345662384461131</v>
      </c>
      <c r="H36" t="n">
        <v>0.225381119115876</v>
      </c>
      <c r="I36" t="n">
        <v>1.60288681268523</v>
      </c>
      <c r="J36" t="n">
        <v>0.273752961709511</v>
      </c>
      <c r="K36" t="n">
        <v>-0.0684126197539924</v>
      </c>
      <c r="L36" t="n">
        <v>0.666599093355755</v>
      </c>
      <c r="M36" t="n">
        <v>1.76273228507241</v>
      </c>
      <c r="N36" t="n">
        <v>-0.481550554285426</v>
      </c>
      <c r="O36" t="n">
        <v>4.01040508297421</v>
      </c>
      <c r="P36" t="n">
        <v>0.743421662201782</v>
      </c>
      <c r="Q36" t="n">
        <v>0.953684262570352</v>
      </c>
      <c r="R36" t="n">
        <v>0.637690815996363</v>
      </c>
      <c r="S36" t="n">
        <v>-0.0437082274673903</v>
      </c>
      <c r="T36" t="n">
        <v>0.415979374993576</v>
      </c>
      <c r="U36" t="n">
        <v>0.0901765823421285</v>
      </c>
      <c r="V36" t="n">
        <v>1.05626296596513</v>
      </c>
      <c r="W36" t="n">
        <v>0.508298892745443</v>
      </c>
      <c r="X36" t="n">
        <v>0.0344110323234204</v>
      </c>
      <c r="Y36" t="n">
        <v>0.470546636341493</v>
      </c>
      <c r="Z36" t="n">
        <v>0.524093508414091</v>
      </c>
      <c r="AA36" t="n">
        <v>0.193485335906767</v>
      </c>
      <c r="AB36" t="n">
        <v>-0.292323119236434</v>
      </c>
      <c r="AC36" t="n">
        <v>-0.825493238930701</v>
      </c>
      <c r="AD36" t="n">
        <v>-0.688498447473552</v>
      </c>
      <c r="AE36" t="n">
        <v>0.559522831182393</v>
      </c>
      <c r="AF36"/>
    </row>
    <row r="37">
      <c r="A37" t="s">
        <v>178</v>
      </c>
      <c r="B37" t="s">
        <v>283</v>
      </c>
      <c r="C37" t="s">
        <v>179</v>
      </c>
      <c r="D37" t="s">
        <v>284</v>
      </c>
      <c r="E37" t="s">
        <v>29</v>
      </c>
      <c r="F37" t="n">
        <v>-0.743463178987211</v>
      </c>
      <c r="G37" t="n">
        <v>-0.405392131091859</v>
      </c>
      <c r="H37" t="n">
        <v>-0.713657089983188</v>
      </c>
      <c r="I37" t="n">
        <v>-0.275785262471546</v>
      </c>
      <c r="J37" t="n">
        <v>0.0359925574471187</v>
      </c>
      <c r="K37" t="n">
        <v>-0.567824229451357</v>
      </c>
      <c r="L37" t="n">
        <v>0.107920438374371</v>
      </c>
      <c r="M37" t="n">
        <v>-0.139865321654883</v>
      </c>
      <c r="N37" t="n">
        <v>0.403622196807891</v>
      </c>
      <c r="O37" t="n">
        <v>-0.992641458408839</v>
      </c>
      <c r="P37" t="n">
        <v>1.11687516471993</v>
      </c>
      <c r="Q37" t="n">
        <v>0.432290398137311</v>
      </c>
      <c r="R37" t="n">
        <v>0.277506510230983</v>
      </c>
      <c r="S37" t="n">
        <v>-0.942570110681785</v>
      </c>
      <c r="T37" t="n">
        <v>0.43011007252164</v>
      </c>
      <c r="U37" t="n">
        <v>0.0134337501216025</v>
      </c>
      <c r="V37" t="n">
        <v>1.08649391711589</v>
      </c>
      <c r="W37" t="n">
        <v>-0.35191798878282</v>
      </c>
      <c r="X37" t="n">
        <v>0.191821214947004</v>
      </c>
      <c r="Y37" t="n">
        <v>0.435017813203929</v>
      </c>
      <c r="Z37" t="n">
        <v>0.694312267092743</v>
      </c>
      <c r="AA37" t="n">
        <v>0.27827301516452</v>
      </c>
      <c r="AB37" t="n">
        <v>-0.590625512238979</v>
      </c>
      <c r="AC37" t="n">
        <v>-0.55361654656941</v>
      </c>
      <c r="AD37" t="n">
        <v>0.332726850901105</v>
      </c>
      <c r="AE37" t="n">
        <v>1.20563542844597</v>
      </c>
      <c r="AF37"/>
    </row>
    <row r="38">
      <c r="A38" t="s">
        <v>180</v>
      </c>
      <c r="B38" t="s">
        <v>283</v>
      </c>
      <c r="C38" t="s">
        <v>181</v>
      </c>
      <c r="D38" t="s">
        <v>284</v>
      </c>
      <c r="E38" t="s">
        <v>29</v>
      </c>
      <c r="F38" t="n">
        <v>0.340504677343528</v>
      </c>
      <c r="G38" t="n">
        <v>0.354736927917806</v>
      </c>
      <c r="H38" t="n">
        <v>1.19317566142069</v>
      </c>
      <c r="I38" t="n">
        <v>1.33958721544687</v>
      </c>
      <c r="J38" t="n">
        <v>0.59629483417212</v>
      </c>
      <c r="K38" t="n">
        <v>0.835640219940384</v>
      </c>
      <c r="L38" t="n">
        <v>0.872862977586734</v>
      </c>
      <c r="M38" t="n">
        <v>1.29106883854427</v>
      </c>
      <c r="N38" t="n">
        <v>0.788766253894263</v>
      </c>
      <c r="O38" t="n">
        <v>0.625551154167167</v>
      </c>
      <c r="P38" t="n">
        <v>0.841494659590227</v>
      </c>
      <c r="Q38" t="n">
        <v>0.505922674254394</v>
      </c>
      <c r="R38" t="n">
        <v>0.692773425375195</v>
      </c>
      <c r="S38" t="n">
        <v>0.729802746302439</v>
      </c>
      <c r="T38" t="n">
        <v>0.973851977978392</v>
      </c>
      <c r="U38" t="n">
        <v>0.0766185164197163</v>
      </c>
      <c r="V38" t="n">
        <v>0.820696063512188</v>
      </c>
      <c r="W38" t="n">
        <v>0.138694475720286</v>
      </c>
      <c r="X38" t="n">
        <v>1.25495907800683</v>
      </c>
      <c r="Y38" t="n">
        <v>0.962629517731695</v>
      </c>
      <c r="Z38" t="n">
        <v>0.447211458668168</v>
      </c>
      <c r="AA38" t="n">
        <v>-0.174326112509578</v>
      </c>
      <c r="AB38" t="n">
        <v>-0.21965675140471</v>
      </c>
      <c r="AC38" t="n">
        <v>-0.255265661625029</v>
      </c>
      <c r="AD38" t="n">
        <v>-0.272544025998038</v>
      </c>
      <c r="AE38" t="n">
        <v>-0.0167194892497794</v>
      </c>
      <c r="AF38"/>
    </row>
    <row r="39">
      <c r="A39" t="s">
        <v>182</v>
      </c>
      <c r="B39" t="s">
        <v>283</v>
      </c>
      <c r="C39" t="s">
        <v>183</v>
      </c>
      <c r="D39" t="s">
        <v>284</v>
      </c>
      <c r="E39" t="s">
        <v>29</v>
      </c>
      <c r="F39" t="n">
        <v>0.251042127084352</v>
      </c>
      <c r="G39" t="n">
        <v>0.253486929610306</v>
      </c>
      <c r="H39" t="n">
        <v>1.0997599196863</v>
      </c>
      <c r="I39" t="n">
        <v>1.91148921874048</v>
      </c>
      <c r="J39" t="n">
        <v>1.07089808936595</v>
      </c>
      <c r="K39" t="n">
        <v>1.15949761642658</v>
      </c>
      <c r="L39" t="n">
        <v>-0.205447054880072</v>
      </c>
      <c r="M39" t="n">
        <v>0.898772976510888</v>
      </c>
      <c r="N39" t="n">
        <v>1.47564369070781</v>
      </c>
      <c r="O39" t="n">
        <v>0.715744171100028</v>
      </c>
      <c r="P39" t="n">
        <v>0.788549268120645</v>
      </c>
      <c r="Q39" t="n">
        <v>0.0678785546158095</v>
      </c>
      <c r="R39" t="n">
        <v>-0.196559488066096</v>
      </c>
      <c r="S39" t="n">
        <v>-0.991044392102279</v>
      </c>
      <c r="T39" t="n">
        <v>-0.224237540877516</v>
      </c>
      <c r="U39" t="n">
        <v>-0.572040830381785</v>
      </c>
      <c r="V39" t="n">
        <v>0.220801264412467</v>
      </c>
      <c r="W39" t="n">
        <v>-0.148815958365799</v>
      </c>
      <c r="X39" t="n">
        <v>0.361169470136012</v>
      </c>
      <c r="Y39" t="n">
        <v>0.64080119515094</v>
      </c>
      <c r="Z39" t="n">
        <v>-0.346466212794727</v>
      </c>
      <c r="AA39" t="n">
        <v>-0.0435307933260343</v>
      </c>
      <c r="AB39" t="n">
        <v>-0.413494181190812</v>
      </c>
      <c r="AC39" t="n">
        <v>-0.0856577386286332</v>
      </c>
      <c r="AD39" t="n">
        <v>-0.0433528895479403</v>
      </c>
      <c r="AE39" t="n">
        <v>-0.944620995417968</v>
      </c>
      <c r="AF39"/>
    </row>
    <row r="40">
      <c r="A40" t="s">
        <v>184</v>
      </c>
      <c r="B40" t="s">
        <v>283</v>
      </c>
      <c r="C40" t="s">
        <v>185</v>
      </c>
      <c r="D40" t="s">
        <v>284</v>
      </c>
      <c r="E40" t="s">
        <v>29</v>
      </c>
      <c r="F40" t="n">
        <v>0.0230048121622582</v>
      </c>
      <c r="G40" t="n">
        <v>-0.0909392230238792</v>
      </c>
      <c r="H40" t="n">
        <v>0.0302537097427661</v>
      </c>
      <c r="I40" t="n">
        <v>0.203843006687297</v>
      </c>
      <c r="J40" t="n">
        <v>0.0217524374656686</v>
      </c>
      <c r="K40" t="n">
        <v>0.0245479837963152</v>
      </c>
      <c r="L40" t="n">
        <v>-0.0788124212980839</v>
      </c>
      <c r="M40" t="n">
        <v>0.0597596624868856</v>
      </c>
      <c r="N40" t="n">
        <v>0.169304530850308</v>
      </c>
      <c r="O40" t="n">
        <v>0.118329912336862</v>
      </c>
      <c r="P40" t="n">
        <v>0.00611425751459725</v>
      </c>
      <c r="Q40" t="n">
        <v>0.00255720665939378</v>
      </c>
      <c r="R40" t="n">
        <v>0.117953267979487</v>
      </c>
      <c r="S40" t="n">
        <v>-0.125472934766856</v>
      </c>
      <c r="T40" t="n">
        <v>0.119360571618982</v>
      </c>
      <c r="U40" t="n">
        <v>-0.0368119856037141</v>
      </c>
      <c r="V40" t="n">
        <v>0.182939338231154</v>
      </c>
      <c r="W40" t="n">
        <v>0.0705504815591406</v>
      </c>
      <c r="X40" t="n">
        <v>0.207199094947576</v>
      </c>
      <c r="Y40" t="n">
        <v>-0.0195104350890598</v>
      </c>
      <c r="Z40" t="n">
        <v>0.0561816178768537</v>
      </c>
      <c r="AA40" t="n">
        <v>-0.045554561495131</v>
      </c>
      <c r="AB40" t="n">
        <v>-0.0242277426216014</v>
      </c>
      <c r="AC40" t="n">
        <v>0.100349448199755</v>
      </c>
      <c r="AD40" t="n">
        <v>-0.203064931714428</v>
      </c>
      <c r="AE40" t="n">
        <v>-0.183412131233757</v>
      </c>
      <c r="AF40"/>
    </row>
    <row r="41">
      <c r="A41" t="s">
        <v>186</v>
      </c>
      <c r="B41" t="s">
        <v>283</v>
      </c>
      <c r="C41" t="s">
        <v>187</v>
      </c>
      <c r="D41" t="s">
        <v>284</v>
      </c>
      <c r="E41" t="s">
        <v>29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283</v>
      </c>
      <c r="C42" t="s">
        <v>189</v>
      </c>
      <c r="D42" t="s">
        <v>284</v>
      </c>
      <c r="E42" t="s">
        <v>29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283</v>
      </c>
      <c r="C43" t="s">
        <v>191</v>
      </c>
      <c r="D43" t="s">
        <v>284</v>
      </c>
      <c r="E43" t="s">
        <v>29</v>
      </c>
      <c r="F43" t="n">
        <v>0.642440283897711</v>
      </c>
      <c r="G43" t="n">
        <v>-0.252611997665898</v>
      </c>
      <c r="H43" t="n">
        <v>0.633491245327231</v>
      </c>
      <c r="I43" t="n">
        <v>-0.00931399812049412</v>
      </c>
      <c r="J43" t="n">
        <v>0.00109976413390898</v>
      </c>
      <c r="K43" t="n">
        <v>0.493386703548422</v>
      </c>
      <c r="L43" t="n">
        <v>0.733056687087326</v>
      </c>
      <c r="M43" t="n">
        <v>0.0842207055324945</v>
      </c>
      <c r="N43" t="n">
        <v>0.730634907688563</v>
      </c>
      <c r="O43" t="n">
        <v>0.582966616841113</v>
      </c>
      <c r="P43" t="n">
        <v>0.555949148774582</v>
      </c>
      <c r="Q43" t="n">
        <v>0.333430124587066</v>
      </c>
      <c r="R43" t="n">
        <v>0.285738852080556</v>
      </c>
      <c r="S43" t="n">
        <v>-0.520287778494034</v>
      </c>
      <c r="T43" t="n">
        <v>0.983436916870238</v>
      </c>
      <c r="U43" t="n">
        <v>0.756929314830424</v>
      </c>
      <c r="V43" t="n">
        <v>-0.158549875154329</v>
      </c>
      <c r="W43" t="n">
        <v>-0.774999551344759</v>
      </c>
      <c r="X43" t="n">
        <v>0.650729518570476</v>
      </c>
      <c r="Y43" t="n">
        <v>0.20502310585016</v>
      </c>
      <c r="Z43" t="n">
        <v>0.38597691241007</v>
      </c>
      <c r="AA43" t="n">
        <v>-0.102474328902265</v>
      </c>
      <c r="AB43" t="n">
        <v>0.21062911667606</v>
      </c>
      <c r="AC43" t="n">
        <v>-0.421410208664749</v>
      </c>
      <c r="AD43" t="n">
        <v>-0.352306183186449</v>
      </c>
      <c r="AE43" t="n">
        <v>-0.53972252002525</v>
      </c>
      <c r="AF43"/>
    </row>
    <row r="44">
      <c r="A44" t="s">
        <v>192</v>
      </c>
      <c r="B44" t="s">
        <v>283</v>
      </c>
      <c r="C44" t="s">
        <v>193</v>
      </c>
      <c r="D44" t="s">
        <v>284</v>
      </c>
      <c r="E44" t="s">
        <v>29</v>
      </c>
      <c r="F44" t="n">
        <v>0.531075486144154</v>
      </c>
      <c r="G44" t="n">
        <v>0.211483947272165</v>
      </c>
      <c r="H44" t="n">
        <v>0.519606079850315</v>
      </c>
      <c r="I44" t="n">
        <v>0.525041027173948</v>
      </c>
      <c r="J44" t="n">
        <v>0.479535594743034</v>
      </c>
      <c r="K44" t="n">
        <v>0.697863384635897</v>
      </c>
      <c r="L44" t="n">
        <v>0.528596671914287</v>
      </c>
      <c r="M44" t="n">
        <v>0.554039010736167</v>
      </c>
      <c r="N44" t="n">
        <v>0.754177024201209</v>
      </c>
      <c r="O44" t="n">
        <v>0.583510163054625</v>
      </c>
      <c r="P44" t="n">
        <v>0.644868207284643</v>
      </c>
      <c r="Q44" t="n">
        <v>0.564759152807176</v>
      </c>
      <c r="R44" t="n">
        <v>0.512103963637879</v>
      </c>
      <c r="S44" t="n">
        <v>0.295245621572754</v>
      </c>
      <c r="T44" t="n">
        <v>0.445701825671427</v>
      </c>
      <c r="U44" t="n">
        <v>0.38761763928187</v>
      </c>
      <c r="V44" t="n">
        <v>0.217685192776656</v>
      </c>
      <c r="W44" t="n">
        <v>0.27943955342361</v>
      </c>
      <c r="X44" t="n">
        <v>0.225812252055943</v>
      </c>
      <c r="Y44" t="n">
        <v>0.357935418624951</v>
      </c>
      <c r="Z44" t="n">
        <v>0.338598704790119</v>
      </c>
      <c r="AA44" t="n">
        <v>0.151796406448772</v>
      </c>
      <c r="AB44" t="n">
        <v>0.104581995937804</v>
      </c>
      <c r="AC44" t="n">
        <v>-0.184160883316108</v>
      </c>
      <c r="AD44" t="n">
        <v>-0.182906553146059</v>
      </c>
      <c r="AE44" t="n">
        <v>-0.480842598769106</v>
      </c>
      <c r="AF44"/>
    </row>
    <row r="45">
      <c r="A45" t="s">
        <v>194</v>
      </c>
      <c r="B45" t="s">
        <v>283</v>
      </c>
      <c r="C45" t="s">
        <v>195</v>
      </c>
      <c r="D45" t="s">
        <v>284</v>
      </c>
      <c r="E45" t="s">
        <v>29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283</v>
      </c>
      <c r="C46" t="s">
        <v>197</v>
      </c>
      <c r="D46" t="s">
        <v>284</v>
      </c>
      <c r="E46" t="s">
        <v>29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283</v>
      </c>
      <c r="C47" t="s">
        <v>199</v>
      </c>
      <c r="D47" t="s">
        <v>284</v>
      </c>
      <c r="E47" t="s">
        <v>29</v>
      </c>
      <c r="F47" t="n">
        <v>0.230939694222055</v>
      </c>
      <c r="G47" t="n">
        <v>-0.0409113338305447</v>
      </c>
      <c r="H47" t="n">
        <v>0.242957926503681</v>
      </c>
      <c r="I47" t="n">
        <v>0.55260701491928</v>
      </c>
      <c r="J47" t="n">
        <v>0.491442398879875</v>
      </c>
      <c r="K47" t="n">
        <v>0.478745962992408</v>
      </c>
      <c r="L47" t="n">
        <v>0.347996973057802</v>
      </c>
      <c r="M47" t="n">
        <v>0.366133634045659</v>
      </c>
      <c r="N47" t="n">
        <v>0.391249687381852</v>
      </c>
      <c r="O47" t="n">
        <v>0.300021724075642</v>
      </c>
      <c r="P47" t="n">
        <v>0.258150726063834</v>
      </c>
      <c r="Q47" t="n">
        <v>0.184731399371835</v>
      </c>
      <c r="R47" t="n">
        <v>0.057565623346866</v>
      </c>
      <c r="S47" t="n">
        <v>0.0201687430814802</v>
      </c>
      <c r="T47" t="n">
        <v>0.100284753366156</v>
      </c>
      <c r="U47" t="n">
        <v>0.00747159885490001</v>
      </c>
      <c r="V47" t="n">
        <v>-0.136682245858482</v>
      </c>
      <c r="W47" t="n">
        <v>-0.21544882121143</v>
      </c>
      <c r="X47" t="n">
        <v>-0.171957291005809</v>
      </c>
      <c r="Y47" t="n">
        <v>-0.18471530536513</v>
      </c>
      <c r="Z47" t="n">
        <v>-0.12962634648187</v>
      </c>
      <c r="AA47" t="n">
        <v>-0.101988393223932</v>
      </c>
      <c r="AB47" t="n">
        <v>0.00721540865815372</v>
      </c>
      <c r="AC47" t="n">
        <v>-0.0625924602649559</v>
      </c>
      <c r="AD47" t="n">
        <v>-0.150209521193926</v>
      </c>
      <c r="AE47" t="n">
        <v>-0.0526132571004508</v>
      </c>
      <c r="AF47"/>
    </row>
    <row r="48">
      <c r="A48" t="s">
        <v>200</v>
      </c>
      <c r="B48" t="s">
        <v>283</v>
      </c>
      <c r="C48" t="s">
        <v>201</v>
      </c>
      <c r="D48" t="s">
        <v>284</v>
      </c>
      <c r="E48" t="s">
        <v>29</v>
      </c>
      <c r="F48" t="n">
        <v>0.231650077181829</v>
      </c>
      <c r="G48" t="n">
        <v>-0.184632465389412</v>
      </c>
      <c r="H48" t="n">
        <v>0.357478913178088</v>
      </c>
      <c r="I48" t="n">
        <v>0.332639338993645</v>
      </c>
      <c r="J48" t="n">
        <v>0.291359453176078</v>
      </c>
      <c r="K48" t="n">
        <v>0.148816857766063</v>
      </c>
      <c r="L48" t="n">
        <v>0.151683822421238</v>
      </c>
      <c r="M48" t="n">
        <v>0.344428332779111</v>
      </c>
      <c r="N48" t="n">
        <v>0.604904383696344</v>
      </c>
      <c r="O48" t="n">
        <v>0.279386941534922</v>
      </c>
      <c r="P48" t="n">
        <v>0.118464118232448</v>
      </c>
      <c r="Q48" t="n">
        <v>0.224025161536889</v>
      </c>
      <c r="R48" t="n">
        <v>0.45363424610186</v>
      </c>
      <c r="S48" t="n">
        <v>0.145180199531099</v>
      </c>
      <c r="T48" t="n">
        <v>0.326064517757227</v>
      </c>
      <c r="U48" t="n">
        <v>0.0822627570428834</v>
      </c>
      <c r="V48" t="n">
        <v>0.127652163802188</v>
      </c>
      <c r="W48" t="n">
        <v>0.0644423291087243</v>
      </c>
      <c r="X48" t="n">
        <v>-0.404874598310808</v>
      </c>
      <c r="Y48" t="n">
        <v>-0.0390955460874036</v>
      </c>
      <c r="Z48" t="n">
        <v>0.294114566587703</v>
      </c>
      <c r="AA48" t="n">
        <v>-0.0806739813361333</v>
      </c>
      <c r="AB48" t="n">
        <v>0.0666086765059129</v>
      </c>
      <c r="AC48" t="n">
        <v>-0.173569948363839</v>
      </c>
      <c r="AD48" t="n">
        <v>0.0607518883823884</v>
      </c>
      <c r="AE48" t="n">
        <v>-0.754865014666648</v>
      </c>
      <c r="AF48"/>
    </row>
    <row r="49">
      <c r="A49" t="s">
        <v>202</v>
      </c>
      <c r="B49" t="s">
        <v>283</v>
      </c>
      <c r="C49" t="s">
        <v>203</v>
      </c>
      <c r="D49" t="s">
        <v>284</v>
      </c>
      <c r="E49" t="s">
        <v>29</v>
      </c>
      <c r="F49" t="n">
        <v>0.571633519201363</v>
      </c>
      <c r="G49" t="n">
        <v>0.290944121278092</v>
      </c>
      <c r="H49" t="n">
        <v>0.550599166299326</v>
      </c>
      <c r="I49" t="n">
        <v>0.783823140286127</v>
      </c>
      <c r="J49" t="n">
        <v>0.33601248491847</v>
      </c>
      <c r="K49" t="n">
        <v>0.582195987164352</v>
      </c>
      <c r="L49" t="n">
        <v>0.446701736567862</v>
      </c>
      <c r="M49" t="n">
        <v>0.597984233468788</v>
      </c>
      <c r="N49" t="n">
        <v>0.335916154555642</v>
      </c>
      <c r="O49" t="n">
        <v>0.109521967969577</v>
      </c>
      <c r="P49" t="n">
        <v>1.26275189527629</v>
      </c>
      <c r="Q49" t="n">
        <v>0.387918791292638</v>
      </c>
      <c r="R49" t="n">
        <v>0.824533753597629</v>
      </c>
      <c r="S49" t="n">
        <v>0.155070552498458</v>
      </c>
      <c r="T49" t="n">
        <v>0.576276626070848</v>
      </c>
      <c r="U49" t="n">
        <v>0.144690600292258</v>
      </c>
      <c r="V49" t="n">
        <v>0.306644219523425</v>
      </c>
      <c r="W49" t="n">
        <v>0.11856740767929</v>
      </c>
      <c r="X49" t="n">
        <v>-0.52231067721601</v>
      </c>
      <c r="Y49" t="n">
        <v>0.403921238204273</v>
      </c>
      <c r="Z49" t="n">
        <v>0.454102896630222</v>
      </c>
      <c r="AA49" t="n">
        <v>-0.461969764436993</v>
      </c>
      <c r="AB49" t="n">
        <v>0.059222708537567</v>
      </c>
      <c r="AC49" t="n">
        <v>-0.469177790601154</v>
      </c>
      <c r="AD49" t="n">
        <v>-0.0338252131775558</v>
      </c>
      <c r="AE49" t="n">
        <v>-0.907071376717875</v>
      </c>
      <c r="AF49"/>
    </row>
    <row r="50">
      <c r="A50" t="s">
        <v>204</v>
      </c>
      <c r="B50" t="s">
        <v>283</v>
      </c>
      <c r="C50" t="s">
        <v>205</v>
      </c>
      <c r="D50" t="s">
        <v>284</v>
      </c>
      <c r="E50" t="s">
        <v>29</v>
      </c>
      <c r="F50" t="n">
        <v>0.380499183940425</v>
      </c>
      <c r="G50" t="n">
        <v>-0.258007041027208</v>
      </c>
      <c r="H50" t="n">
        <v>0.493330174810201</v>
      </c>
      <c r="I50" t="n">
        <v>0.162017826088194</v>
      </c>
      <c r="J50" t="n">
        <v>0.209701035723246</v>
      </c>
      <c r="K50" t="n">
        <v>-0.0247849270451985</v>
      </c>
      <c r="L50" t="n">
        <v>-0.0743940405348367</v>
      </c>
      <c r="M50" t="n">
        <v>0.477110928557088</v>
      </c>
      <c r="N50" t="n">
        <v>0.787458870548347</v>
      </c>
      <c r="O50" t="n">
        <v>0.447371798622553</v>
      </c>
      <c r="P50" t="n">
        <v>-0.0237318867348393</v>
      </c>
      <c r="Q50" t="n">
        <v>0.534857078176147</v>
      </c>
      <c r="R50" t="n">
        <v>0.559189921180776</v>
      </c>
      <c r="S50" t="n">
        <v>0.254610571894527</v>
      </c>
      <c r="T50" t="n">
        <v>0.475889321316133</v>
      </c>
      <c r="U50" t="n">
        <v>0.349879475191022</v>
      </c>
      <c r="V50" t="n">
        <v>0.219336521676127</v>
      </c>
      <c r="W50" t="n">
        <v>0.588196042176903</v>
      </c>
      <c r="X50" t="n">
        <v>-0.355101364317172</v>
      </c>
      <c r="Y50" t="n">
        <v>-0.144296912292265</v>
      </c>
      <c r="Z50" t="n">
        <v>0.62714081003625</v>
      </c>
      <c r="AA50" t="n">
        <v>0.0881095693869571</v>
      </c>
      <c r="AB50" t="n">
        <v>0.155879837769126</v>
      </c>
      <c r="AC50" t="n">
        <v>-0.17545860719473</v>
      </c>
      <c r="AD50" t="n">
        <v>0.178054532491765</v>
      </c>
      <c r="AE50" t="n">
        <v>-1.39880685107709</v>
      </c>
      <c r="AF50"/>
    </row>
    <row r="51">
      <c r="A51" t="s">
        <v>206</v>
      </c>
      <c r="B51" t="s">
        <v>283</v>
      </c>
      <c r="C51" t="s">
        <v>207</v>
      </c>
      <c r="D51" t="s">
        <v>284</v>
      </c>
      <c r="E51" t="s">
        <v>29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283</v>
      </c>
      <c r="C52" t="s">
        <v>209</v>
      </c>
      <c r="D52" t="s">
        <v>284</v>
      </c>
      <c r="E52" t="s">
        <v>29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283</v>
      </c>
      <c r="C53" t="s">
        <v>211</v>
      </c>
      <c r="D53" t="s">
        <v>284</v>
      </c>
      <c r="E53" t="s">
        <v>29</v>
      </c>
      <c r="F53" t="n">
        <v>0.255669794152548</v>
      </c>
      <c r="G53" t="n">
        <v>-0.129180619964027</v>
      </c>
      <c r="H53" t="n">
        <v>0.0433735068624144</v>
      </c>
      <c r="I53" t="n">
        <v>0.057453763969411</v>
      </c>
      <c r="J53" t="n">
        <v>0.130543496727492</v>
      </c>
      <c r="K53" t="n">
        <v>-0.0656919416656909</v>
      </c>
      <c r="L53" t="n">
        <v>0.208818908205078</v>
      </c>
      <c r="M53" t="n">
        <v>0.224170392206067</v>
      </c>
      <c r="N53" t="n">
        <v>0.237408136744471</v>
      </c>
      <c r="O53" t="n">
        <v>0.298134704347006</v>
      </c>
      <c r="P53" t="n">
        <v>-0.079642538427009</v>
      </c>
      <c r="Q53" t="n">
        <v>0.172978289736026</v>
      </c>
      <c r="R53" t="n">
        <v>0.0681761736779228</v>
      </c>
      <c r="S53" t="n">
        <v>-0.0561519426284653</v>
      </c>
      <c r="T53" t="n">
        <v>0.144519703041115</v>
      </c>
      <c r="U53" t="n">
        <v>0.0785699166385849</v>
      </c>
      <c r="V53" t="n">
        <v>0.15414617553898</v>
      </c>
      <c r="W53" t="n">
        <v>0.306068209713864</v>
      </c>
      <c r="X53" t="n">
        <v>0.0720339149197439</v>
      </c>
      <c r="Y53" t="n">
        <v>0.299717007356453</v>
      </c>
      <c r="Z53" t="n">
        <v>0.165497203069424</v>
      </c>
      <c r="AA53" t="n">
        <v>-0.0386252303048075</v>
      </c>
      <c r="AB53" t="n">
        <v>0.126056100475694</v>
      </c>
      <c r="AC53" t="n">
        <v>-0.113553343575017</v>
      </c>
      <c r="AD53" t="n">
        <v>-0.110541337279312</v>
      </c>
      <c r="AE53" t="n">
        <v>-0.0368276727780053</v>
      </c>
      <c r="AF53"/>
    </row>
    <row r="54">
      <c r="A54" t="s">
        <v>212</v>
      </c>
      <c r="B54" t="s">
        <v>283</v>
      </c>
      <c r="C54" t="s">
        <v>213</v>
      </c>
      <c r="D54" t="s">
        <v>284</v>
      </c>
      <c r="E54" t="s">
        <v>29</v>
      </c>
      <c r="F54" t="n">
        <v>0.357370868516526</v>
      </c>
      <c r="G54" t="n">
        <v>-0.0606333729059052</v>
      </c>
      <c r="H54" t="n">
        <v>0.14947634909501</v>
      </c>
      <c r="I54" t="n">
        <v>0.314003655229024</v>
      </c>
      <c r="J54" t="n">
        <v>0.0928163381015283</v>
      </c>
      <c r="K54" t="n">
        <v>0.222614465031448</v>
      </c>
      <c r="L54" t="n">
        <v>0.367414034419951</v>
      </c>
      <c r="M54" t="n">
        <v>0.400222935088359</v>
      </c>
      <c r="N54" t="n">
        <v>0.325211172819435</v>
      </c>
      <c r="O54" t="n">
        <v>0.726723904183985</v>
      </c>
      <c r="P54" t="n">
        <v>-0.0622087398542992</v>
      </c>
      <c r="Q54" t="n">
        <v>0.412221872842274</v>
      </c>
      <c r="R54" t="n">
        <v>0.356824702083393</v>
      </c>
      <c r="S54" t="n">
        <v>0.0794603218793048</v>
      </c>
      <c r="T54" t="n">
        <v>0.162963551622168</v>
      </c>
      <c r="U54" t="n">
        <v>0.368947571876949</v>
      </c>
      <c r="V54" t="n">
        <v>0.0613116534456563</v>
      </c>
      <c r="W54" t="n">
        <v>0.355906235789023</v>
      </c>
      <c r="X54" t="n">
        <v>0.0110263377817137</v>
      </c>
      <c r="Y54" t="n">
        <v>0.331345936626283</v>
      </c>
      <c r="Z54" t="n">
        <v>0.17160007490889</v>
      </c>
      <c r="AA54" t="n">
        <v>0.040660913507453</v>
      </c>
      <c r="AB54" t="n">
        <v>0.245869706435452</v>
      </c>
      <c r="AC54" t="n">
        <v>-0.199795022118776</v>
      </c>
      <c r="AD54" t="n">
        <v>-0.0213655642400942</v>
      </c>
      <c r="AE54" t="n">
        <v>-0.28721326276087</v>
      </c>
      <c r="AF54"/>
    </row>
    <row r="55">
      <c r="A55" t="s">
        <v>214</v>
      </c>
      <c r="B55" t="s">
        <v>283</v>
      </c>
      <c r="C55" t="s">
        <v>215</v>
      </c>
      <c r="D55" t="s">
        <v>284</v>
      </c>
      <c r="E55" t="s">
        <v>29</v>
      </c>
      <c r="F55" t="n">
        <v>0.371542405686386</v>
      </c>
      <c r="G55" t="n">
        <v>0.0110244491637576</v>
      </c>
      <c r="H55" t="n">
        <v>0.15770660512405</v>
      </c>
      <c r="I55" t="n">
        <v>0.510320552551142</v>
      </c>
      <c r="J55" t="n">
        <v>0.0263749838938515</v>
      </c>
      <c r="K55" t="n">
        <v>0.397848084622029</v>
      </c>
      <c r="L55" t="n">
        <v>0.4153489978823</v>
      </c>
      <c r="M55" t="n">
        <v>0.513164810633215</v>
      </c>
      <c r="N55" t="n">
        <v>0.300596433961153</v>
      </c>
      <c r="O55" t="n">
        <v>0.984395680081488</v>
      </c>
      <c r="P55" t="n">
        <v>-0.0140925921601194</v>
      </c>
      <c r="Q55" t="n">
        <v>0.527401919623089</v>
      </c>
      <c r="R55" t="n">
        <v>0.447293711663259</v>
      </c>
      <c r="S55" t="n">
        <v>0.216883249984722</v>
      </c>
      <c r="T55" t="n">
        <v>0.113692734943134</v>
      </c>
      <c r="U55" t="n">
        <v>0.53899138753594</v>
      </c>
      <c r="V55" t="n">
        <v>-0.0386908895759183</v>
      </c>
      <c r="W55" t="n">
        <v>0.332982629980819</v>
      </c>
      <c r="X55" t="n">
        <v>-0.0341699799739202</v>
      </c>
      <c r="Y55" t="n">
        <v>0.302968337406162</v>
      </c>
      <c r="Z55" t="n">
        <v>0.224263119974172</v>
      </c>
      <c r="AA55" t="n">
        <v>0.0297670694789881</v>
      </c>
      <c r="AB55" t="n">
        <v>0.340135902227487</v>
      </c>
      <c r="AC55" t="n">
        <v>-0.264991169347255</v>
      </c>
      <c r="AD55" t="n">
        <v>0.0232380898259021</v>
      </c>
      <c r="AE55" t="n">
        <v>-0.466967055516101</v>
      </c>
      <c r="AF55"/>
    </row>
    <row r="56">
      <c r="A56" t="s">
        <v>216</v>
      </c>
      <c r="B56" t="s">
        <v>283</v>
      </c>
      <c r="C56" t="s">
        <v>217</v>
      </c>
      <c r="D56" t="s">
        <v>284</v>
      </c>
      <c r="E56" t="s">
        <v>29</v>
      </c>
      <c r="F56" t="n">
        <v>1.18826480459033</v>
      </c>
      <c r="G56" t="n">
        <v>-0.186614022450943</v>
      </c>
      <c r="H56" t="n">
        <v>1.04293547020552</v>
      </c>
      <c r="I56" t="n">
        <v>0.562809276194203</v>
      </c>
      <c r="J56" t="n">
        <v>0.820758524898771</v>
      </c>
      <c r="K56" t="n">
        <v>0.91228087946761</v>
      </c>
      <c r="L56" t="n">
        <v>1.1240244487808</v>
      </c>
      <c r="M56" t="n">
        <v>0.833427174537604</v>
      </c>
      <c r="N56" t="n">
        <v>0.808200833979366</v>
      </c>
      <c r="O56" t="n">
        <v>1.0900955416328</v>
      </c>
      <c r="P56" t="n">
        <v>0.75112577702631</v>
      </c>
      <c r="Q56" t="n">
        <v>-1.29976277217566</v>
      </c>
      <c r="R56" t="n">
        <v>-0.132704107155054</v>
      </c>
      <c r="S56" t="n">
        <v>-1.24820352078603</v>
      </c>
      <c r="T56" t="n">
        <v>0.60908841870209</v>
      </c>
      <c r="U56" t="n">
        <v>0.52789522392382</v>
      </c>
      <c r="V56" t="n">
        <v>-0.815618940398898</v>
      </c>
      <c r="W56" t="n">
        <v>-0.862275343912353</v>
      </c>
      <c r="X56" t="n">
        <v>-0.271350440210976</v>
      </c>
      <c r="Y56" t="n">
        <v>0.215008206847409</v>
      </c>
      <c r="Z56" t="n">
        <v>0.501922014936369</v>
      </c>
      <c r="AA56" t="n">
        <v>-0.102963388805875</v>
      </c>
      <c r="AB56" t="n">
        <v>-0.0266308706630541</v>
      </c>
      <c r="AC56" t="n">
        <v>-0.641886406230192</v>
      </c>
      <c r="AD56" t="n">
        <v>-0.428710150611332</v>
      </c>
      <c r="AE56" t="n">
        <v>-1.37163734705756</v>
      </c>
      <c r="AF56"/>
    </row>
    <row r="57">
      <c r="A57" t="s">
        <v>218</v>
      </c>
      <c r="B57" t="s">
        <v>283</v>
      </c>
      <c r="C57" t="s">
        <v>219</v>
      </c>
      <c r="D57" t="s">
        <v>284</v>
      </c>
      <c r="E57" t="s">
        <v>29</v>
      </c>
      <c r="F57" t="n">
        <v>0.524887639277815</v>
      </c>
      <c r="G57" t="n">
        <v>0.175768134745751</v>
      </c>
      <c r="H57" t="n">
        <v>0.546475163894722</v>
      </c>
      <c r="I57" t="n">
        <v>0.602651414247897</v>
      </c>
      <c r="J57" t="n">
        <v>0.520085883718148</v>
      </c>
      <c r="K57" t="n">
        <v>0.672759780867915</v>
      </c>
      <c r="L57" t="n">
        <v>0.521502718055879</v>
      </c>
      <c r="M57" t="n">
        <v>0.574950254956428</v>
      </c>
      <c r="N57" t="n">
        <v>0.822722525279427</v>
      </c>
      <c r="O57" t="n">
        <v>0.662563302795987</v>
      </c>
      <c r="P57" t="n">
        <v>0.569087622064002</v>
      </c>
      <c r="Q57" t="n">
        <v>0.517701666879765</v>
      </c>
      <c r="R57" t="n">
        <v>0.542815211719705</v>
      </c>
      <c r="S57" t="n">
        <v>0.292683076673041</v>
      </c>
      <c r="T57" t="n">
        <v>0.552797558778611</v>
      </c>
      <c r="U57" t="n">
        <v>0.336401326294636</v>
      </c>
      <c r="V57" t="n">
        <v>0.237166532604355</v>
      </c>
      <c r="W57" t="n">
        <v>0.307232349951663</v>
      </c>
      <c r="X57" t="n">
        <v>0.19832801959794</v>
      </c>
      <c r="Y57" t="n">
        <v>0.325947722548139</v>
      </c>
      <c r="Z57" t="n">
        <v>0.403765572521756</v>
      </c>
      <c r="AA57" t="n">
        <v>0.163994247844388</v>
      </c>
      <c r="AB57" t="n">
        <v>0.166269033081442</v>
      </c>
      <c r="AC57" t="n">
        <v>-0.151210114729006</v>
      </c>
      <c r="AD57" t="n">
        <v>-0.100001790205984</v>
      </c>
      <c r="AE57" t="n">
        <v>-0.576228924047727</v>
      </c>
      <c r="AF57"/>
    </row>
    <row r="58">
      <c r="A58" t="s">
        <v>220</v>
      </c>
      <c r="B58" t="s">
        <v>283</v>
      </c>
      <c r="C58" t="s">
        <v>221</v>
      </c>
      <c r="D58" t="s">
        <v>284</v>
      </c>
      <c r="E58" t="s">
        <v>29</v>
      </c>
      <c r="F58" t="n">
        <v>0.524813478423397</v>
      </c>
      <c r="G58" t="n">
        <v>0.175846496190348</v>
      </c>
      <c r="H58" t="n">
        <v>0.54645717995783</v>
      </c>
      <c r="I58" t="n">
        <v>0.60271359695542</v>
      </c>
      <c r="J58" t="n">
        <v>0.52015756999374</v>
      </c>
      <c r="K58" t="n">
        <v>0.672858384863265</v>
      </c>
      <c r="L58" t="n">
        <v>0.521506350515413</v>
      </c>
      <c r="M58" t="n">
        <v>0.5750965996463</v>
      </c>
      <c r="N58" t="n">
        <v>0.822887849253073</v>
      </c>
      <c r="O58" t="n">
        <v>0.66268475668846</v>
      </c>
      <c r="P58" t="n">
        <v>0.569091834986914</v>
      </c>
      <c r="Q58" t="n">
        <v>0.517905941826762</v>
      </c>
      <c r="R58" t="n">
        <v>0.542969050754582</v>
      </c>
      <c r="S58" t="n">
        <v>0.292861036309537</v>
      </c>
      <c r="T58" t="n">
        <v>0.552777353600321</v>
      </c>
      <c r="U58" t="n">
        <v>0.336382665522525</v>
      </c>
      <c r="V58" t="n">
        <v>0.237249029089356</v>
      </c>
      <c r="W58" t="n">
        <v>0.307339538134886</v>
      </c>
      <c r="X58" t="n">
        <v>0.19834271077561</v>
      </c>
      <c r="Y58" t="n">
        <v>0.325913779334672</v>
      </c>
      <c r="Z58" t="n">
        <v>0.403740818317235</v>
      </c>
      <c r="AA58" t="n">
        <v>0.164027682829908</v>
      </c>
      <c r="AB58" t="n">
        <v>0.166264671888199</v>
      </c>
      <c r="AC58" t="n">
        <v>-0.151182097812473</v>
      </c>
      <c r="AD58" t="n">
        <v>-0.0999907891460566</v>
      </c>
      <c r="AE58" t="n">
        <v>-0.576122081263719</v>
      </c>
      <c r="AF58"/>
    </row>
    <row r="59">
      <c r="A59" t="s">
        <v>222</v>
      </c>
      <c r="B59" t="s">
        <v>283</v>
      </c>
      <c r="C59" t="s">
        <v>223</v>
      </c>
      <c r="D59" t="s">
        <v>284</v>
      </c>
      <c r="E59" t="s">
        <v>29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283</v>
      </c>
      <c r="C2" t="s">
        <v>108</v>
      </c>
      <c r="D2" t="s">
        <v>284</v>
      </c>
      <c r="E2" t="s">
        <v>31</v>
      </c>
      <c r="F2" t="n">
        <v>-2.31291394376829</v>
      </c>
      <c r="G2" t="n">
        <v>-2.63006114716332</v>
      </c>
      <c r="H2" t="n">
        <v>-2.3718359884575</v>
      </c>
      <c r="I2" t="n">
        <v>-2.13103238475823</v>
      </c>
      <c r="J2" t="n">
        <v>-2.11519942322599</v>
      </c>
      <c r="K2" t="n">
        <v>-2.61657339312313</v>
      </c>
      <c r="L2" t="n">
        <v>-2.7040050561746</v>
      </c>
      <c r="M2" t="n">
        <v>-3.07203141366427</v>
      </c>
      <c r="N2" t="n">
        <v>-2.84232110736136</v>
      </c>
      <c r="O2" t="n">
        <v>-2.49275302930365</v>
      </c>
      <c r="P2" t="n">
        <v>-2.24110640197771</v>
      </c>
      <c r="Q2" t="n">
        <v>-3.04930933760118</v>
      </c>
      <c r="R2" t="n">
        <v>-2.89426583158936</v>
      </c>
      <c r="S2" t="n">
        <v>-2.49983391960953</v>
      </c>
      <c r="T2" t="n">
        <v>-2.58097916750933</v>
      </c>
      <c r="U2" t="n">
        <v>-2.17049380144624</v>
      </c>
      <c r="V2" t="n">
        <v>-2.17910262283931</v>
      </c>
      <c r="W2" t="n">
        <v>-1.40315968590362</v>
      </c>
      <c r="X2" t="n">
        <v>-0.800524239991792</v>
      </c>
      <c r="Y2" t="n">
        <v>-1.17247046284175</v>
      </c>
      <c r="Z2" t="n">
        <v>-0.682363320115925</v>
      </c>
      <c r="AA2" t="n">
        <v>-1.06067319240589</v>
      </c>
      <c r="AB2" t="n">
        <v>0.322748239206634</v>
      </c>
      <c r="AC2" t="n">
        <v>-0.606206377200095</v>
      </c>
      <c r="AD2" t="n">
        <v>-0.87196710065833</v>
      </c>
      <c r="AE2" t="n">
        <v>-0.727662799817385</v>
      </c>
      <c r="AF2"/>
    </row>
    <row r="3">
      <c r="A3" t="s">
        <v>110</v>
      </c>
      <c r="B3" t="s">
        <v>283</v>
      </c>
      <c r="C3" t="s">
        <v>111</v>
      </c>
      <c r="D3" t="s">
        <v>284</v>
      </c>
      <c r="E3" t="s">
        <v>31</v>
      </c>
      <c r="F3" t="n">
        <v>-0.544163800729337</v>
      </c>
      <c r="G3" t="n">
        <v>-1.82335887913962</v>
      </c>
      <c r="H3" t="n">
        <v>-1.67344405020628</v>
      </c>
      <c r="I3" t="n">
        <v>-1.54450748877001</v>
      </c>
      <c r="J3" t="n">
        <v>-2.10572320587197</v>
      </c>
      <c r="K3" t="n">
        <v>-0.850908002872773</v>
      </c>
      <c r="L3" t="n">
        <v>-1.40813742656673</v>
      </c>
      <c r="M3" t="n">
        <v>-0.469957384401306</v>
      </c>
      <c r="N3" t="n">
        <v>-2.01216461119972</v>
      </c>
      <c r="O3" t="n">
        <v>-2.25183018656075</v>
      </c>
      <c r="P3" t="n">
        <v>-2.14778736810362</v>
      </c>
      <c r="Q3" t="n">
        <v>-1.25477483065192</v>
      </c>
      <c r="R3" t="n">
        <v>-0.0686523071944113</v>
      </c>
      <c r="S3" t="n">
        <v>0.593223528953083</v>
      </c>
      <c r="T3" t="n">
        <v>-0.704750055076871</v>
      </c>
      <c r="U3" t="n">
        <v>-1.31279276539409</v>
      </c>
      <c r="V3" t="n">
        <v>-1.08027167703484</v>
      </c>
      <c r="W3" t="n">
        <v>-0.422529243388642</v>
      </c>
      <c r="X3" t="n">
        <v>1.38988989425763</v>
      </c>
      <c r="Y3" t="n">
        <v>1.69674843994324</v>
      </c>
      <c r="Z3" t="n">
        <v>0.655241947978842</v>
      </c>
      <c r="AA3" t="n">
        <v>-0.186704626692121</v>
      </c>
      <c r="AB3" t="n">
        <v>1.51734418843729</v>
      </c>
      <c r="AC3" t="n">
        <v>-1.21588278102419</v>
      </c>
      <c r="AD3" t="n">
        <v>-1.58017796749624</v>
      </c>
      <c r="AE3" t="n">
        <v>-1.98864361336668</v>
      </c>
      <c r="AF3"/>
    </row>
    <row r="4">
      <c r="A4" t="s">
        <v>112</v>
      </c>
      <c r="B4" t="s">
        <v>283</v>
      </c>
      <c r="C4" t="s">
        <v>113</v>
      </c>
      <c r="D4" t="s">
        <v>284</v>
      </c>
      <c r="E4" t="s">
        <v>31</v>
      </c>
      <c r="F4" t="n">
        <v>-0.0577627655054597</v>
      </c>
      <c r="G4" t="n">
        <v>0.128300012856372</v>
      </c>
      <c r="H4" t="n">
        <v>0.269851364957812</v>
      </c>
      <c r="I4" t="n">
        <v>0.320889287985237</v>
      </c>
      <c r="J4" t="n">
        <v>-0.160883205607477</v>
      </c>
      <c r="K4" t="n">
        <v>0.0475978389830989</v>
      </c>
      <c r="L4" t="n">
        <v>0.167360906844601</v>
      </c>
      <c r="M4" t="n">
        <v>-0.411340582135259</v>
      </c>
      <c r="N4" t="n">
        <v>-0.239546634408614</v>
      </c>
      <c r="O4" t="n">
        <v>0.0184473829706065</v>
      </c>
      <c r="P4" t="n">
        <v>0.492457647888208</v>
      </c>
      <c r="Q4" t="n">
        <v>0.469405860983299</v>
      </c>
      <c r="R4" t="n">
        <v>0.64575381757472</v>
      </c>
      <c r="S4" t="n">
        <v>0.4258881364472</v>
      </c>
      <c r="T4" t="n">
        <v>-0.674652106533477</v>
      </c>
      <c r="U4" t="n">
        <v>-0.817613203910385</v>
      </c>
      <c r="V4" t="n">
        <v>-0.367527078439321</v>
      </c>
      <c r="W4" t="n">
        <v>-0.167803679349649</v>
      </c>
      <c r="X4" t="n">
        <v>-0.317574010860243</v>
      </c>
      <c r="Y4" t="n">
        <v>-0.0883060831349355</v>
      </c>
      <c r="Z4" t="n">
        <v>0.269727293811643</v>
      </c>
      <c r="AA4" t="n">
        <v>0.301233237321382</v>
      </c>
      <c r="AB4" t="n">
        <v>0.338494544281465</v>
      </c>
      <c r="AC4" t="n">
        <v>0.515871842059495</v>
      </c>
      <c r="AD4" t="n">
        <v>0.267210609905096</v>
      </c>
      <c r="AE4" t="n">
        <v>-0.0780353542160314</v>
      </c>
      <c r="AF4"/>
    </row>
    <row r="5">
      <c r="A5" t="s">
        <v>114</v>
      </c>
      <c r="B5" t="s">
        <v>283</v>
      </c>
      <c r="C5" t="s">
        <v>115</v>
      </c>
      <c r="D5" t="s">
        <v>284</v>
      </c>
      <c r="E5" t="s">
        <v>31</v>
      </c>
      <c r="F5" t="n">
        <v>0.273336439033193</v>
      </c>
      <c r="G5" t="n">
        <v>0.331525789922221</v>
      </c>
      <c r="H5" t="n">
        <v>0.333071620578787</v>
      </c>
      <c r="I5" t="n">
        <v>0.360653647607104</v>
      </c>
      <c r="J5" t="n">
        <v>0.0663282651479526</v>
      </c>
      <c r="K5" t="n">
        <v>0.082892396948998</v>
      </c>
      <c r="L5" t="n">
        <v>0.306314176992084</v>
      </c>
      <c r="M5" t="n">
        <v>0.217821246004022</v>
      </c>
      <c r="N5" t="n">
        <v>-0.169093176756147</v>
      </c>
      <c r="O5" t="n">
        <v>-0.000209341562192651</v>
      </c>
      <c r="P5" t="n">
        <v>0.513458674112228</v>
      </c>
      <c r="Q5" t="n">
        <v>0.342025946257386</v>
      </c>
      <c r="R5" t="n">
        <v>0.407044798775536</v>
      </c>
      <c r="S5" t="n">
        <v>-0.158732732597149</v>
      </c>
      <c r="T5" t="n">
        <v>-0.351110571027034</v>
      </c>
      <c r="U5" t="n">
        <v>-0.295577636433502</v>
      </c>
      <c r="V5" t="n">
        <v>0.327107373866711</v>
      </c>
      <c r="W5" t="n">
        <v>0.238745815381374</v>
      </c>
      <c r="X5" t="n">
        <v>-0.165036445556677</v>
      </c>
      <c r="Y5" t="n">
        <v>0.0665625361589321</v>
      </c>
      <c r="Z5" t="n">
        <v>0.0873848735103981</v>
      </c>
      <c r="AA5" t="n">
        <v>0.403930189549254</v>
      </c>
      <c r="AB5" t="n">
        <v>0.626346425131889</v>
      </c>
      <c r="AC5" t="n">
        <v>0.530416898593636</v>
      </c>
      <c r="AD5" t="n">
        <v>0.284373156910132</v>
      </c>
      <c r="AE5" t="n">
        <v>-0.214965116865302</v>
      </c>
      <c r="AF5"/>
    </row>
    <row r="6">
      <c r="A6" t="s">
        <v>116</v>
      </c>
      <c r="B6" t="s">
        <v>283</v>
      </c>
      <c r="C6" t="s">
        <v>117</v>
      </c>
      <c r="D6" t="s">
        <v>284</v>
      </c>
      <c r="E6" t="s">
        <v>31</v>
      </c>
      <c r="F6" t="n">
        <v>-1.29409096717713</v>
      </c>
      <c r="G6" t="n">
        <v>-1.26729259064769</v>
      </c>
      <c r="H6" t="n">
        <v>-0.939470066188683</v>
      </c>
      <c r="I6" t="n">
        <v>-0.901647106205154</v>
      </c>
      <c r="J6" t="n">
        <v>-1.40955729768179</v>
      </c>
      <c r="K6" t="n">
        <v>-1.47463255007497</v>
      </c>
      <c r="L6" t="n">
        <v>-1.33430868393541</v>
      </c>
      <c r="M6" t="n">
        <v>-1.4701638731712</v>
      </c>
      <c r="N6" t="n">
        <v>-1.62307800415851</v>
      </c>
      <c r="O6" t="n">
        <v>-1.27962062078147</v>
      </c>
      <c r="P6" t="n">
        <v>-0.656903704396054</v>
      </c>
      <c r="Q6" t="n">
        <v>-0.906824288064216</v>
      </c>
      <c r="R6" t="n">
        <v>-0.600052293360714</v>
      </c>
      <c r="S6" t="n">
        <v>-0.678128674239449</v>
      </c>
      <c r="T6" t="n">
        <v>-1.29064748577893</v>
      </c>
      <c r="U6" t="n">
        <v>-1.12721746059744</v>
      </c>
      <c r="V6" t="n">
        <v>-0.636140818784264</v>
      </c>
      <c r="W6" t="n">
        <v>-0.812322789854339</v>
      </c>
      <c r="X6" t="n">
        <v>-0.543762547580219</v>
      </c>
      <c r="Y6" t="n">
        <v>-0.532055031810828</v>
      </c>
      <c r="Z6" t="n">
        <v>-0.0757939141104147</v>
      </c>
      <c r="AA6" t="n">
        <v>-0.220664669688376</v>
      </c>
      <c r="AB6" t="n">
        <v>-0.251894812153927</v>
      </c>
      <c r="AC6" t="n">
        <v>-0.439554212265803</v>
      </c>
      <c r="AD6" t="n">
        <v>-0.165698743769387</v>
      </c>
      <c r="AE6" t="n">
        <v>-0.785762853830562</v>
      </c>
      <c r="AF6"/>
    </row>
    <row r="7">
      <c r="A7" t="s">
        <v>118</v>
      </c>
      <c r="B7" t="s">
        <v>283</v>
      </c>
      <c r="C7" t="s">
        <v>119</v>
      </c>
      <c r="D7" t="s">
        <v>284</v>
      </c>
      <c r="E7" t="s">
        <v>31</v>
      </c>
      <c r="F7" t="n">
        <v>-0.163784927851051</v>
      </c>
      <c r="G7" t="n">
        <v>0.070002852314272</v>
      </c>
      <c r="H7" t="n">
        <v>0.354370490499563</v>
      </c>
      <c r="I7" t="n">
        <v>0.108531518031019</v>
      </c>
      <c r="J7" t="n">
        <v>-0.497041096512512</v>
      </c>
      <c r="K7" t="n">
        <v>-0.387384085545973</v>
      </c>
      <c r="L7" t="n">
        <v>-0.39267085444974</v>
      </c>
      <c r="M7" t="n">
        <v>-0.661660784164048</v>
      </c>
      <c r="N7" t="n">
        <v>-0.664976028729091</v>
      </c>
      <c r="O7" t="n">
        <v>-0.642100724395845</v>
      </c>
      <c r="P7" t="n">
        <v>0.015578231164837</v>
      </c>
      <c r="Q7" t="n">
        <v>-0.0276412217496165</v>
      </c>
      <c r="R7" t="n">
        <v>0.275050354994725</v>
      </c>
      <c r="S7" t="n">
        <v>-0.301449043403316</v>
      </c>
      <c r="T7" t="n">
        <v>-0.950959421891523</v>
      </c>
      <c r="U7" t="n">
        <v>-0.861126503827044</v>
      </c>
      <c r="V7" t="n">
        <v>-0.664722425579882</v>
      </c>
      <c r="W7" t="n">
        <v>-0.607206645567312</v>
      </c>
      <c r="X7" t="n">
        <v>-0.260447923239316</v>
      </c>
      <c r="Y7" t="n">
        <v>-0.103804250321445</v>
      </c>
      <c r="Z7" t="n">
        <v>-0.0228242579995408</v>
      </c>
      <c r="AA7" t="n">
        <v>0.0187329819234817</v>
      </c>
      <c r="AB7" t="n">
        <v>-0.279756704525253</v>
      </c>
      <c r="AC7" t="n">
        <v>-0.166495748663393</v>
      </c>
      <c r="AD7" t="n">
        <v>-0.25506816030951</v>
      </c>
      <c r="AE7" t="n">
        <v>-0.209644021368785</v>
      </c>
      <c r="AF7"/>
    </row>
    <row r="8">
      <c r="A8" t="s">
        <v>120</v>
      </c>
      <c r="B8" t="s">
        <v>283</v>
      </c>
      <c r="C8" t="s">
        <v>121</v>
      </c>
      <c r="D8" t="s">
        <v>284</v>
      </c>
      <c r="E8" t="s">
        <v>31</v>
      </c>
      <c r="F8" t="n">
        <v>0.190401488510314</v>
      </c>
      <c r="G8" t="n">
        <v>-0.060084552223342</v>
      </c>
      <c r="H8" t="n">
        <v>-2.11082238823593</v>
      </c>
      <c r="I8" t="n">
        <v>-1.64445300855705</v>
      </c>
      <c r="J8" t="n">
        <v>-1.76814299706049</v>
      </c>
      <c r="K8" t="n">
        <v>-2.64073795553496</v>
      </c>
      <c r="L8" t="n">
        <v>-2.39342892170834</v>
      </c>
      <c r="M8" t="n">
        <v>-0.786735476564682</v>
      </c>
      <c r="N8" t="n">
        <v>-0.58740870365443</v>
      </c>
      <c r="O8" t="n">
        <v>0.184087460414906</v>
      </c>
      <c r="P8" t="n">
        <v>0.142900964230897</v>
      </c>
      <c r="Q8" t="n">
        <v>1.98013633864906</v>
      </c>
      <c r="R8" t="n">
        <v>1.1348460760233</v>
      </c>
      <c r="S8" t="n">
        <v>1.89927013563435</v>
      </c>
      <c r="T8" t="n">
        <v>0.41034550188545</v>
      </c>
      <c r="U8" t="n">
        <v>-1.3184102513971</v>
      </c>
      <c r="V8" t="n">
        <v>-2.8806191185925</v>
      </c>
      <c r="W8" t="n">
        <v>-1.36709439536299</v>
      </c>
      <c r="X8" t="n">
        <v>-0.796083609223838</v>
      </c>
      <c r="Y8" t="n">
        <v>-0.480130271935488</v>
      </c>
      <c r="Z8" t="n">
        <v>0.490988571087522</v>
      </c>
      <c r="AA8" t="n">
        <v>-0.665509329359393</v>
      </c>
      <c r="AB8" t="n">
        <v>0.148309343194527</v>
      </c>
      <c r="AC8" t="n">
        <v>-0.517147468160363</v>
      </c>
      <c r="AD8" t="n">
        <v>-1.03821300303728</v>
      </c>
      <c r="AE8" t="n">
        <v>0.125547739415865</v>
      </c>
      <c r="AF8"/>
    </row>
    <row r="9">
      <c r="A9" t="s">
        <v>122</v>
      </c>
      <c r="B9" t="s">
        <v>283</v>
      </c>
      <c r="C9" t="s">
        <v>123</v>
      </c>
      <c r="D9" t="s">
        <v>284</v>
      </c>
      <c r="E9" t="s">
        <v>31</v>
      </c>
      <c r="F9" t="n">
        <v>-0.748228152199438</v>
      </c>
      <c r="G9" t="n">
        <v>-0.378370553613157</v>
      </c>
      <c r="H9" t="n">
        <v>-0.00257299082530486</v>
      </c>
      <c r="I9" t="n">
        <v>0.349089725223358</v>
      </c>
      <c r="J9" t="n">
        <v>-0.281010939858174</v>
      </c>
      <c r="K9" t="n">
        <v>-0.206634588758948</v>
      </c>
      <c r="L9" t="n">
        <v>0.165157662649674</v>
      </c>
      <c r="M9" t="n">
        <v>-0.100277197239697</v>
      </c>
      <c r="N9" t="n">
        <v>-0.102704284456981</v>
      </c>
      <c r="O9" t="n">
        <v>-0.463298619096423</v>
      </c>
      <c r="P9" t="n">
        <v>0.527635550047213</v>
      </c>
      <c r="Q9" t="n">
        <v>0.20500568487609</v>
      </c>
      <c r="R9" t="n">
        <v>0.466034577566735</v>
      </c>
      <c r="S9" t="n">
        <v>0.953065588752956</v>
      </c>
      <c r="T9" t="n">
        <v>-0.201661858330236</v>
      </c>
      <c r="U9" t="n">
        <v>-0.300708811469639</v>
      </c>
      <c r="V9" t="n">
        <v>-0.0958050985195741</v>
      </c>
      <c r="W9" t="n">
        <v>-0.499879909636621</v>
      </c>
      <c r="X9" t="n">
        <v>-0.695584742513668</v>
      </c>
      <c r="Y9" t="n">
        <v>-0.562924148758973</v>
      </c>
      <c r="Z9" t="n">
        <v>-0.303242730788778</v>
      </c>
      <c r="AA9" t="n">
        <v>-0.287858666554087</v>
      </c>
      <c r="AB9" t="n">
        <v>-0.0583182669674524</v>
      </c>
      <c r="AC9" t="n">
        <v>0.743825132576255</v>
      </c>
      <c r="AD9" t="n">
        <v>1.0246881313395</v>
      </c>
      <c r="AE9" t="n">
        <v>0.334996539709925</v>
      </c>
      <c r="AF9"/>
    </row>
    <row r="10">
      <c r="A10" t="s">
        <v>124</v>
      </c>
      <c r="B10" t="s">
        <v>283</v>
      </c>
      <c r="C10" t="s">
        <v>125</v>
      </c>
      <c r="D10" t="s">
        <v>284</v>
      </c>
      <c r="E10" t="s">
        <v>31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283</v>
      </c>
      <c r="C11" t="s">
        <v>127</v>
      </c>
      <c r="D11" t="s">
        <v>284</v>
      </c>
      <c r="E11" t="s">
        <v>31</v>
      </c>
      <c r="F11" t="n">
        <v>0.901136887170002</v>
      </c>
      <c r="G11" t="n">
        <v>0.735733280497888</v>
      </c>
      <c r="H11" t="n">
        <v>1.09331868224972</v>
      </c>
      <c r="I11" t="n">
        <v>0.794312212867579</v>
      </c>
      <c r="J11" t="n">
        <v>0.36889819998649</v>
      </c>
      <c r="K11" t="n">
        <v>0.842694825232878</v>
      </c>
      <c r="L11" t="n">
        <v>1.02696763830505</v>
      </c>
      <c r="M11" t="n">
        <v>0.95415988614627</v>
      </c>
      <c r="N11" t="n">
        <v>0.727406837454692</v>
      </c>
      <c r="O11" t="n">
        <v>0.366224031621587</v>
      </c>
      <c r="P11" t="n">
        <v>0.540509741933287</v>
      </c>
      <c r="Q11" t="n">
        <v>0.745537708233811</v>
      </c>
      <c r="R11" t="n">
        <v>0.424070038983261</v>
      </c>
      <c r="S11" t="n">
        <v>0.0327002931750783</v>
      </c>
      <c r="T11" t="n">
        <v>0.230088878936398</v>
      </c>
      <c r="U11" t="n">
        <v>-0.34695444871133</v>
      </c>
      <c r="V11" t="n">
        <v>0.342019641344737</v>
      </c>
      <c r="W11" t="n">
        <v>2.05647690377629</v>
      </c>
      <c r="X11" t="n">
        <v>1.80494558395713</v>
      </c>
      <c r="Y11" t="n">
        <v>1.32717303973804</v>
      </c>
      <c r="Z11" t="n">
        <v>0.837359765807388</v>
      </c>
      <c r="AA11" t="n">
        <v>2.39495518038605</v>
      </c>
      <c r="AB11" t="n">
        <v>1.62148825902759</v>
      </c>
      <c r="AC11" t="n">
        <v>1.20367116108001</v>
      </c>
      <c r="AD11" t="n">
        <v>0.648425224159065</v>
      </c>
      <c r="AE11" t="n">
        <v>0.736925658045701</v>
      </c>
      <c r="AF11"/>
    </row>
    <row r="12">
      <c r="A12" t="s">
        <v>128</v>
      </c>
      <c r="B12" t="s">
        <v>283</v>
      </c>
      <c r="C12" t="s">
        <v>129</v>
      </c>
      <c r="D12" t="s">
        <v>284</v>
      </c>
      <c r="E12" t="s">
        <v>31</v>
      </c>
      <c r="F12" t="n">
        <v>-0.0318303238140902</v>
      </c>
      <c r="G12" t="n">
        <v>0.130911391701798</v>
      </c>
      <c r="H12" t="n">
        <v>0.211606714385378</v>
      </c>
      <c r="I12" t="n">
        <v>0.109690504119088</v>
      </c>
      <c r="J12" t="n">
        <v>-0.525009082356353</v>
      </c>
      <c r="K12" t="n">
        <v>-0.082576736713552</v>
      </c>
      <c r="L12" t="n">
        <v>0.0414030539938702</v>
      </c>
      <c r="M12" t="n">
        <v>-0.781028310305868</v>
      </c>
      <c r="N12" t="n">
        <v>-0.0293780977694401</v>
      </c>
      <c r="O12" t="n">
        <v>0.0613432590626265</v>
      </c>
      <c r="P12" t="n">
        <v>0.353992704191169</v>
      </c>
      <c r="Q12" t="n">
        <v>0.739012786929845</v>
      </c>
      <c r="R12" t="n">
        <v>0.531862701919812</v>
      </c>
      <c r="S12" t="n">
        <v>0.0673375075422632</v>
      </c>
      <c r="T12" t="n">
        <v>-0.751847091074381</v>
      </c>
      <c r="U12" t="n">
        <v>-0.790184104508546</v>
      </c>
      <c r="V12" t="n">
        <v>-0.42615766789616</v>
      </c>
      <c r="W12" t="n">
        <v>-0.128355838979457</v>
      </c>
      <c r="X12" t="n">
        <v>-0.11373572359927</v>
      </c>
      <c r="Y12" t="n">
        <v>-0.0271009216665778</v>
      </c>
      <c r="Z12" t="n">
        <v>0.172752078563627</v>
      </c>
      <c r="AA12" t="n">
        <v>-0.035026730539479</v>
      </c>
      <c r="AB12" t="n">
        <v>0.106346953766293</v>
      </c>
      <c r="AC12" t="n">
        <v>0.415567427608833</v>
      </c>
      <c r="AD12" t="n">
        <v>0.180576269849289</v>
      </c>
      <c r="AE12" t="n">
        <v>-0.00943498868136879</v>
      </c>
      <c r="AF12"/>
    </row>
    <row r="13">
      <c r="A13" t="s">
        <v>130</v>
      </c>
      <c r="B13" t="s">
        <v>283</v>
      </c>
      <c r="C13" t="s">
        <v>131</v>
      </c>
      <c r="D13" t="s">
        <v>284</v>
      </c>
      <c r="E13" t="s">
        <v>31</v>
      </c>
      <c r="F13" t="n">
        <v>-0.465887426470753</v>
      </c>
      <c r="G13" t="n">
        <v>-0.251737580354208</v>
      </c>
      <c r="H13" t="n">
        <v>-0.335830302904095</v>
      </c>
      <c r="I13" t="n">
        <v>-0.482313967489779</v>
      </c>
      <c r="J13" t="n">
        <v>-0.640387777211302</v>
      </c>
      <c r="K13" t="n">
        <v>-0.325674019246999</v>
      </c>
      <c r="L13" t="n">
        <v>-0.13029627706443</v>
      </c>
      <c r="M13" t="n">
        <v>-0.855826180544373</v>
      </c>
      <c r="N13" t="n">
        <v>-1.06593065153233</v>
      </c>
      <c r="O13" t="n">
        <v>-0.62693643623281</v>
      </c>
      <c r="P13" t="n">
        <v>-0.0406348017813376</v>
      </c>
      <c r="Q13" t="n">
        <v>0.38317922787171</v>
      </c>
      <c r="R13" t="n">
        <v>0.836194179103101</v>
      </c>
      <c r="S13" t="n">
        <v>0.709402973411633</v>
      </c>
      <c r="T13" t="n">
        <v>-0.362259871541821</v>
      </c>
      <c r="U13" t="n">
        <v>-0.386938676976356</v>
      </c>
      <c r="V13" t="n">
        <v>-0.228987883262753</v>
      </c>
      <c r="W13" t="n">
        <v>-0.0451832532470657</v>
      </c>
      <c r="X13" t="n">
        <v>-0.502822269886273</v>
      </c>
      <c r="Y13" t="n">
        <v>-0.0532864447504232</v>
      </c>
      <c r="Z13" t="n">
        <v>0.0609256972072564</v>
      </c>
      <c r="AA13" t="n">
        <v>0.041871013255132</v>
      </c>
      <c r="AB13" t="n">
        <v>0.735522507689046</v>
      </c>
      <c r="AC13" t="n">
        <v>0.349995473562406</v>
      </c>
      <c r="AD13" t="n">
        <v>0.415887972177949</v>
      </c>
      <c r="AE13" t="n">
        <v>-0.112918574271723</v>
      </c>
      <c r="AF13"/>
    </row>
    <row r="14">
      <c r="A14" t="s">
        <v>132</v>
      </c>
      <c r="B14" t="s">
        <v>283</v>
      </c>
      <c r="C14" t="s">
        <v>133</v>
      </c>
      <c r="D14" t="s">
        <v>284</v>
      </c>
      <c r="E14" t="s">
        <v>31</v>
      </c>
      <c r="F14" t="n">
        <v>0.7614707676249</v>
      </c>
      <c r="G14" t="n">
        <v>0.721055483103155</v>
      </c>
      <c r="H14" t="n">
        <v>0.646940133300486</v>
      </c>
      <c r="I14" t="n">
        <v>0.843501809628403</v>
      </c>
      <c r="J14" t="n">
        <v>0.274276303701386</v>
      </c>
      <c r="K14" t="n">
        <v>1.00616167133367</v>
      </c>
      <c r="L14" t="n">
        <v>0.885201067625591</v>
      </c>
      <c r="M14" t="n">
        <v>-0.483171553321785</v>
      </c>
      <c r="N14" t="n">
        <v>-0.28030720624817</v>
      </c>
      <c r="O14" t="n">
        <v>0.592466372514111</v>
      </c>
      <c r="P14" t="n">
        <v>0.374834519313938</v>
      </c>
      <c r="Q14" t="n">
        <v>0.757250689536218</v>
      </c>
      <c r="R14" t="n">
        <v>0.548148088534604</v>
      </c>
      <c r="S14" t="n">
        <v>0.513899120194341</v>
      </c>
      <c r="T14" t="n">
        <v>-0.945972252635435</v>
      </c>
      <c r="U14" t="n">
        <v>-1.05767208515204</v>
      </c>
      <c r="V14" t="n">
        <v>-0.50052036218076</v>
      </c>
      <c r="W14" t="n">
        <v>-0.368430242161676</v>
      </c>
      <c r="X14" t="n">
        <v>-0.814904279636424</v>
      </c>
      <c r="Y14" t="n">
        <v>-0.320777263723432</v>
      </c>
      <c r="Z14" t="n">
        <v>0.498141022928861</v>
      </c>
      <c r="AA14" t="n">
        <v>0.03719736889324</v>
      </c>
      <c r="AB14" t="n">
        <v>0.144087830337942</v>
      </c>
      <c r="AC14" t="n">
        <v>1.02073671242671</v>
      </c>
      <c r="AD14" t="n">
        <v>0.390760103722668</v>
      </c>
      <c r="AE14" t="n">
        <v>0.303244659299563</v>
      </c>
      <c r="AF14"/>
    </row>
    <row r="15">
      <c r="A15" t="s">
        <v>134</v>
      </c>
      <c r="B15" t="s">
        <v>283</v>
      </c>
      <c r="C15" t="s">
        <v>135</v>
      </c>
      <c r="D15" t="s">
        <v>284</v>
      </c>
      <c r="E15" t="s">
        <v>31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283</v>
      </c>
      <c r="C16" t="s">
        <v>137</v>
      </c>
      <c r="D16" t="s">
        <v>284</v>
      </c>
      <c r="E16" t="s">
        <v>31</v>
      </c>
      <c r="F16" t="n">
        <v>1.13678239418213</v>
      </c>
      <c r="G16" t="n">
        <v>1.12873221785506</v>
      </c>
      <c r="H16" t="n">
        <v>1.15186436905225</v>
      </c>
      <c r="I16" t="n">
        <v>0.688785591540491</v>
      </c>
      <c r="J16" t="n">
        <v>0.401166460202488</v>
      </c>
      <c r="K16" t="n">
        <v>0.702006529330742</v>
      </c>
      <c r="L16" t="n">
        <v>0.524099363021121</v>
      </c>
      <c r="M16" t="n">
        <v>-0.474864328118548</v>
      </c>
      <c r="N16" t="n">
        <v>-0.260952992463716</v>
      </c>
      <c r="O16" t="n">
        <v>0.0928481898973319</v>
      </c>
      <c r="P16" t="n">
        <v>0.210261450768239</v>
      </c>
      <c r="Q16" t="n">
        <v>0.366215565844555</v>
      </c>
      <c r="R16" t="n">
        <v>0.461290810275379</v>
      </c>
      <c r="S16" t="n">
        <v>-0.198499230554288</v>
      </c>
      <c r="T16" t="n">
        <v>-1.04955954126256</v>
      </c>
      <c r="U16" t="n">
        <v>-0.804613708221234</v>
      </c>
      <c r="V16" t="n">
        <v>-0.236528195177358</v>
      </c>
      <c r="W16" t="n">
        <v>-0.366832385772965</v>
      </c>
      <c r="X16" t="n">
        <v>-0.413390761394845</v>
      </c>
      <c r="Y16" t="n">
        <v>-0.188762354939058</v>
      </c>
      <c r="Z16" t="n">
        <v>0.121953057822207</v>
      </c>
      <c r="AA16" t="n">
        <v>0.321028189242334</v>
      </c>
      <c r="AB16" t="n">
        <v>0.765019091926501</v>
      </c>
      <c r="AC16" t="n">
        <v>0.435554429824626</v>
      </c>
      <c r="AD16" t="n">
        <v>-0.0808467509298778</v>
      </c>
      <c r="AE16" t="n">
        <v>-0.108028777493947</v>
      </c>
      <c r="AF16"/>
    </row>
    <row r="17">
      <c r="A17" t="s">
        <v>138</v>
      </c>
      <c r="B17" t="s">
        <v>283</v>
      </c>
      <c r="C17" t="s">
        <v>139</v>
      </c>
      <c r="D17" t="s">
        <v>284</v>
      </c>
      <c r="E17" t="s">
        <v>31</v>
      </c>
      <c r="F17" t="n">
        <v>0.0130050220571631</v>
      </c>
      <c r="G17" t="n">
        <v>0.168476735854498</v>
      </c>
      <c r="H17" t="n">
        <v>0.275208859213529</v>
      </c>
      <c r="I17" t="n">
        <v>0.582176142636664</v>
      </c>
      <c r="J17" t="n">
        <v>-0.0721390760079731</v>
      </c>
      <c r="K17" t="n">
        <v>0.155446154552226</v>
      </c>
      <c r="L17" t="n">
        <v>0.0406438030829706</v>
      </c>
      <c r="M17" t="n">
        <v>-0.488507373675993</v>
      </c>
      <c r="N17" t="n">
        <v>-0.294897688020462</v>
      </c>
      <c r="O17" t="n">
        <v>0.47789799746632</v>
      </c>
      <c r="P17" t="n">
        <v>1.0471842781715</v>
      </c>
      <c r="Q17" t="n">
        <v>0.306763188944001</v>
      </c>
      <c r="R17" t="n">
        <v>1.1837298041126</v>
      </c>
      <c r="S17" t="n">
        <v>1.1144912436653</v>
      </c>
      <c r="T17" t="n">
        <v>-0.495631374505492</v>
      </c>
      <c r="U17" t="n">
        <v>-1.05651610291139</v>
      </c>
      <c r="V17" t="n">
        <v>-0.353796984756627</v>
      </c>
      <c r="W17" t="n">
        <v>0.0267274416734311</v>
      </c>
      <c r="X17" t="n">
        <v>-0.422829867684293</v>
      </c>
      <c r="Y17" t="n">
        <v>-0.216046762971243</v>
      </c>
      <c r="Z17" t="n">
        <v>0.311868983336382</v>
      </c>
      <c r="AA17" t="n">
        <v>0.0933065764799647</v>
      </c>
      <c r="AB17" t="n">
        <v>-0.289834007521576</v>
      </c>
      <c r="AC17" t="n">
        <v>0.380825169149975</v>
      </c>
      <c r="AD17" t="n">
        <v>0.216954032750346</v>
      </c>
      <c r="AE17" t="n">
        <v>-0.495576761720694</v>
      </c>
      <c r="AF17"/>
    </row>
    <row r="18">
      <c r="A18" t="s">
        <v>140</v>
      </c>
      <c r="B18" t="s">
        <v>283</v>
      </c>
      <c r="C18" t="s">
        <v>141</v>
      </c>
      <c r="D18" t="s">
        <v>284</v>
      </c>
      <c r="E18" t="s">
        <v>31</v>
      </c>
      <c r="F18" t="n">
        <v>-0.64381590571937</v>
      </c>
      <c r="G18" t="n">
        <v>-0.106224459562228</v>
      </c>
      <c r="H18" t="n">
        <v>0.592083969810772</v>
      </c>
      <c r="I18" t="n">
        <v>0.849061465971192</v>
      </c>
      <c r="J18" t="n">
        <v>0.156869439012745</v>
      </c>
      <c r="K18" t="n">
        <v>-0.159715729912615</v>
      </c>
      <c r="L18" t="n">
        <v>0.242353965681232</v>
      </c>
      <c r="M18" t="n">
        <v>0.0400959751138144</v>
      </c>
      <c r="N18" t="n">
        <v>0.617690956552809</v>
      </c>
      <c r="O18" t="n">
        <v>0.284546167346111</v>
      </c>
      <c r="P18" t="n">
        <v>1.2913867827578</v>
      </c>
      <c r="Q18" t="n">
        <v>0.791122645704284</v>
      </c>
      <c r="R18" t="n">
        <v>0.978174279481018</v>
      </c>
      <c r="S18" t="n">
        <v>0.737838520325815</v>
      </c>
      <c r="T18" t="n">
        <v>-0.976004077747963</v>
      </c>
      <c r="U18" t="n">
        <v>-1.33197340944809</v>
      </c>
      <c r="V18" t="n">
        <v>-0.812735275808699</v>
      </c>
      <c r="W18" t="n">
        <v>-0.342763522444284</v>
      </c>
      <c r="X18" t="n">
        <v>-0.0981344644352918</v>
      </c>
      <c r="Y18" t="n">
        <v>0.0809254465469839</v>
      </c>
      <c r="Z18" t="n">
        <v>0.581937129351773</v>
      </c>
      <c r="AA18" t="n">
        <v>0.922499942067642</v>
      </c>
      <c r="AB18" t="n">
        <v>0.675301023671202</v>
      </c>
      <c r="AC18" t="n">
        <v>0.658462307548025</v>
      </c>
      <c r="AD18" t="n">
        <v>0.264604207466218</v>
      </c>
      <c r="AE18" t="n">
        <v>-0.183005967568088</v>
      </c>
      <c r="AF18"/>
    </row>
    <row r="19">
      <c r="A19" t="s">
        <v>142</v>
      </c>
      <c r="B19" t="s">
        <v>283</v>
      </c>
      <c r="C19" t="s">
        <v>143</v>
      </c>
      <c r="D19" t="s">
        <v>284</v>
      </c>
      <c r="E19" t="s">
        <v>31</v>
      </c>
      <c r="F19" t="n">
        <v>-0.554285577539506</v>
      </c>
      <c r="G19" t="n">
        <v>-0.0710267818479572</v>
      </c>
      <c r="H19" t="n">
        <v>0.0492544392502995</v>
      </c>
      <c r="I19" t="n">
        <v>0.193202645785988</v>
      </c>
      <c r="J19" t="n">
        <v>-0.201969176589225</v>
      </c>
      <c r="K19" t="n">
        <v>-0.525909088967353</v>
      </c>
      <c r="L19" t="n">
        <v>-0.0576133082460171</v>
      </c>
      <c r="M19" t="n">
        <v>-0.611698984052685</v>
      </c>
      <c r="N19" t="n">
        <v>0.130164904240942</v>
      </c>
      <c r="O19" t="n">
        <v>-0.146775813144133</v>
      </c>
      <c r="P19" t="n">
        <v>0.603133380767948</v>
      </c>
      <c r="Q19" t="n">
        <v>0.52040278268921</v>
      </c>
      <c r="R19" t="n">
        <v>0.516732697290473</v>
      </c>
      <c r="S19" t="n">
        <v>-0.0795510415789435</v>
      </c>
      <c r="T19" t="n">
        <v>-0.3993733032192</v>
      </c>
      <c r="U19" t="n">
        <v>-0.141711802168732</v>
      </c>
      <c r="V19" t="n">
        <v>0.29693078068422</v>
      </c>
      <c r="W19" t="n">
        <v>-0.158570887269967</v>
      </c>
      <c r="X19" t="n">
        <v>0.100222491490941</v>
      </c>
      <c r="Y19" t="n">
        <v>0.0550568031314548</v>
      </c>
      <c r="Z19" t="n">
        <v>0.668566892467295</v>
      </c>
      <c r="AA19" t="n">
        <v>0.358553204042801</v>
      </c>
      <c r="AB19" t="n">
        <v>-0.412103487872439</v>
      </c>
      <c r="AC19" t="n">
        <v>-0.438180012128714</v>
      </c>
      <c r="AD19" t="n">
        <v>-0.192744825126406</v>
      </c>
      <c r="AE19" t="n">
        <v>-0.464483682711962</v>
      </c>
      <c r="AF19"/>
    </row>
    <row r="20">
      <c r="A20" t="s">
        <v>144</v>
      </c>
      <c r="B20" t="s">
        <v>283</v>
      </c>
      <c r="C20" t="s">
        <v>145</v>
      </c>
      <c r="D20" t="s">
        <v>284</v>
      </c>
      <c r="E20" t="s">
        <v>31</v>
      </c>
      <c r="F20" t="n">
        <v>4.03122052820597</v>
      </c>
      <c r="G20" t="n">
        <v>3.39037842633541</v>
      </c>
      <c r="H20" t="n">
        <v>2.73590490532825</v>
      </c>
      <c r="I20" t="n">
        <v>2.07492687443749</v>
      </c>
      <c r="J20" t="n">
        <v>1.75136459330957</v>
      </c>
      <c r="K20" t="n">
        <v>0.682673674274198</v>
      </c>
      <c r="L20" t="n">
        <v>0.545452262195874</v>
      </c>
      <c r="M20" t="n">
        <v>-0.0778039190218653</v>
      </c>
      <c r="N20" t="n">
        <v>-0.2486830171984</v>
      </c>
      <c r="O20" t="n">
        <v>-1.19084861313677</v>
      </c>
      <c r="P20" t="n">
        <v>-0.893537050721277</v>
      </c>
      <c r="Q20" t="n">
        <v>-1.06761800448239</v>
      </c>
      <c r="R20" t="n">
        <v>-0.681242142494655</v>
      </c>
      <c r="S20" t="n">
        <v>-0.0649904665250581</v>
      </c>
      <c r="T20" t="n">
        <v>-0.237346744851132</v>
      </c>
      <c r="U20" t="n">
        <v>-0.234301769580331</v>
      </c>
      <c r="V20" t="n">
        <v>-0.259355990664546</v>
      </c>
      <c r="W20" t="n">
        <v>0.0549486296743733</v>
      </c>
      <c r="X20" t="n">
        <v>0.0591847455297866</v>
      </c>
      <c r="Y20" t="n">
        <v>-0.214123531037173</v>
      </c>
      <c r="Z20" t="n">
        <v>0.219544681942905</v>
      </c>
      <c r="AA20" t="n">
        <v>0.110730530324528</v>
      </c>
      <c r="AB20" t="n">
        <v>-0.216359929344088</v>
      </c>
      <c r="AC20" t="n">
        <v>0.200181997971133</v>
      </c>
      <c r="AD20" t="n">
        <v>-0.766560632814656</v>
      </c>
      <c r="AE20" t="n">
        <v>-0.86527728938411</v>
      </c>
      <c r="AF20"/>
    </row>
    <row r="21">
      <c r="A21" t="s">
        <v>146</v>
      </c>
      <c r="B21" t="s">
        <v>283</v>
      </c>
      <c r="C21" t="s">
        <v>147</v>
      </c>
      <c r="D21" t="s">
        <v>284</v>
      </c>
      <c r="E21" t="s">
        <v>31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283</v>
      </c>
      <c r="C22" t="s">
        <v>149</v>
      </c>
      <c r="D22" t="s">
        <v>284</v>
      </c>
      <c r="E22" t="s">
        <v>31</v>
      </c>
      <c r="F22" t="n">
        <v>2.10066204459705</v>
      </c>
      <c r="G22" t="n">
        <v>2.10428906364902</v>
      </c>
      <c r="H22" t="n">
        <v>1.72314320107095</v>
      </c>
      <c r="I22" t="n">
        <v>1.60025635663057</v>
      </c>
      <c r="J22" t="n">
        <v>1.39412233466697</v>
      </c>
      <c r="K22" t="n">
        <v>0.993441808309806</v>
      </c>
      <c r="L22" t="n">
        <v>0.91781397869933</v>
      </c>
      <c r="M22" t="n">
        <v>0.874914229217082</v>
      </c>
      <c r="N22" t="n">
        <v>0.576171761577118</v>
      </c>
      <c r="O22" t="n">
        <v>0.15763542682274</v>
      </c>
      <c r="P22" t="n">
        <v>-0.00427195273710063</v>
      </c>
      <c r="Q22" t="n">
        <v>-0.105228412968901</v>
      </c>
      <c r="R22" t="n">
        <v>-0.325563628429434</v>
      </c>
      <c r="S22" t="n">
        <v>-0.264950449416507</v>
      </c>
      <c r="T22" t="n">
        <v>-0.0355109259792536</v>
      </c>
      <c r="U22" t="n">
        <v>-0.000686764087767123</v>
      </c>
      <c r="V22" t="n">
        <v>0.266168962468957</v>
      </c>
      <c r="W22" t="n">
        <v>0.323191715449053</v>
      </c>
      <c r="X22" t="n">
        <v>0.676111636680786</v>
      </c>
      <c r="Y22" t="n">
        <v>0.444359765625108</v>
      </c>
      <c r="Z22" t="n">
        <v>0.4680681876801</v>
      </c>
      <c r="AA22" t="n">
        <v>0.667738602697462</v>
      </c>
      <c r="AB22" t="n">
        <v>0.374035330931269</v>
      </c>
      <c r="AC22" t="n">
        <v>0.405865572605997</v>
      </c>
      <c r="AD22" t="n">
        <v>0.442564199364294</v>
      </c>
      <c r="AE22" t="n">
        <v>0.712282310153677</v>
      </c>
      <c r="AF22"/>
    </row>
    <row r="23">
      <c r="A23" t="s">
        <v>150</v>
      </c>
      <c r="B23" t="s">
        <v>283</v>
      </c>
      <c r="C23" t="s">
        <v>151</v>
      </c>
      <c r="D23" t="s">
        <v>284</v>
      </c>
      <c r="E23" t="s">
        <v>31</v>
      </c>
      <c r="F23" t="n">
        <v>0.384013885009694</v>
      </c>
      <c r="G23" t="n">
        <v>0.051030727321544</v>
      </c>
      <c r="H23" t="n">
        <v>-0.124938115558991</v>
      </c>
      <c r="I23" t="n">
        <v>-0.224113202825666</v>
      </c>
      <c r="J23" t="n">
        <v>-0.175739600491557</v>
      </c>
      <c r="K23" t="n">
        <v>0.0268092166069877</v>
      </c>
      <c r="L23" t="n">
        <v>-0.136137292028811</v>
      </c>
      <c r="M23" t="n">
        <v>-0.204886755462906</v>
      </c>
      <c r="N23" t="n">
        <v>-0.413430935827977</v>
      </c>
      <c r="O23" t="n">
        <v>-0.328390849662592</v>
      </c>
      <c r="P23" t="n">
        <v>-0.247595192147509</v>
      </c>
      <c r="Q23" t="n">
        <v>-0.225091489465671</v>
      </c>
      <c r="R23" t="n">
        <v>0.244215389440751</v>
      </c>
      <c r="S23" t="n">
        <v>-0.155669077253472</v>
      </c>
      <c r="T23" t="n">
        <v>-0.356274226018396</v>
      </c>
      <c r="U23" t="n">
        <v>-0.0037717338555726</v>
      </c>
      <c r="V23" t="n">
        <v>-0.044333344465089</v>
      </c>
      <c r="W23" t="n">
        <v>0.0840092830398709</v>
      </c>
      <c r="X23" t="n">
        <v>0.384581827068985</v>
      </c>
      <c r="Y23" t="n">
        <v>0.35230297623191</v>
      </c>
      <c r="Z23" t="n">
        <v>0.219057352214117</v>
      </c>
      <c r="AA23" t="n">
        <v>0.128070555638651</v>
      </c>
      <c r="AB23" t="n">
        <v>0.411195792882394</v>
      </c>
      <c r="AC23" t="n">
        <v>0.222844617941005</v>
      </c>
      <c r="AD23" t="n">
        <v>0.192885228435659</v>
      </c>
      <c r="AE23" t="n">
        <v>0.243341079079343</v>
      </c>
      <c r="AF23"/>
    </row>
    <row r="24">
      <c r="A24" t="s">
        <v>152</v>
      </c>
      <c r="B24" t="s">
        <v>283</v>
      </c>
      <c r="C24" t="s">
        <v>153</v>
      </c>
      <c r="D24" t="s">
        <v>284</v>
      </c>
      <c r="E24" t="s">
        <v>31</v>
      </c>
      <c r="F24" t="n">
        <v>0.485400584049879</v>
      </c>
      <c r="G24" t="n">
        <v>0.408854481845173</v>
      </c>
      <c r="H24" t="n">
        <v>0.292159223641228</v>
      </c>
      <c r="I24" t="n">
        <v>0.000313783171903764</v>
      </c>
      <c r="J24" t="n">
        <v>-0.0110535799066076</v>
      </c>
      <c r="K24" t="n">
        <v>0.346257452318558</v>
      </c>
      <c r="L24" t="n">
        <v>0.0147035457903457</v>
      </c>
      <c r="M24" t="n">
        <v>-0.0598509452165153</v>
      </c>
      <c r="N24" t="n">
        <v>-0.0833572491961064</v>
      </c>
      <c r="O24" t="n">
        <v>0.166863693702247</v>
      </c>
      <c r="P24" t="n">
        <v>0.193125522630801</v>
      </c>
      <c r="Q24" t="n">
        <v>0.267327561169831</v>
      </c>
      <c r="R24" t="n">
        <v>0.00780716321574013</v>
      </c>
      <c r="S24" t="n">
        <v>0.00692539300992685</v>
      </c>
      <c r="T24" t="n">
        <v>-0.165827169021222</v>
      </c>
      <c r="U24" t="n">
        <v>-0.182704476220923</v>
      </c>
      <c r="V24" t="n">
        <v>-0.0886417594039822</v>
      </c>
      <c r="W24" t="n">
        <v>0.086186972289102</v>
      </c>
      <c r="X24" t="n">
        <v>0.110395373145304</v>
      </c>
      <c r="Y24" t="n">
        <v>0.181315588138273</v>
      </c>
      <c r="Z24" t="n">
        <v>0.215775186923481</v>
      </c>
      <c r="AA24" t="n">
        <v>0.155897255612353</v>
      </c>
      <c r="AB24" t="n">
        <v>0.0911539529255883</v>
      </c>
      <c r="AC24" t="n">
        <v>-0.0663419853811013</v>
      </c>
      <c r="AD24" t="n">
        <v>0.0942812996783069</v>
      </c>
      <c r="AE24" t="n">
        <v>-0.0835713946047647</v>
      </c>
      <c r="AF24"/>
    </row>
    <row r="25">
      <c r="A25" t="s">
        <v>154</v>
      </c>
      <c r="B25" t="s">
        <v>283</v>
      </c>
      <c r="C25" t="s">
        <v>155</v>
      </c>
      <c r="D25" t="s">
        <v>284</v>
      </c>
      <c r="E25" t="s">
        <v>31</v>
      </c>
      <c r="F25" t="n">
        <v>1.37804618114079</v>
      </c>
      <c r="G25" t="n">
        <v>1.93066179355498</v>
      </c>
      <c r="H25" t="n">
        <v>1.38438941844606</v>
      </c>
      <c r="I25" t="n">
        <v>-0.313449518752749</v>
      </c>
      <c r="J25" t="n">
        <v>0.66359581214786</v>
      </c>
      <c r="K25" t="n">
        <v>1.29004032808532</v>
      </c>
      <c r="L25" t="n">
        <v>0.703539307788833</v>
      </c>
      <c r="M25" t="n">
        <v>-0.107101059972732</v>
      </c>
      <c r="N25" t="n">
        <v>0.261096845396077</v>
      </c>
      <c r="O25" t="n">
        <v>0.723746347168912</v>
      </c>
      <c r="P25" t="n">
        <v>0.964295714899602</v>
      </c>
      <c r="Q25" t="n">
        <v>0.502610505156953</v>
      </c>
      <c r="R25" t="n">
        <v>-0.17522083696764</v>
      </c>
      <c r="S25" t="n">
        <v>1.04506171554782</v>
      </c>
      <c r="T25" t="n">
        <v>-0.0721631949530243</v>
      </c>
      <c r="U25" t="n">
        <v>-1.48811681755141</v>
      </c>
      <c r="V25" t="n">
        <v>-1.44971501693019</v>
      </c>
      <c r="W25" t="n">
        <v>-1.23031132366303</v>
      </c>
      <c r="X25" t="n">
        <v>-0.807319714730542</v>
      </c>
      <c r="Y25" t="n">
        <v>-0.0290526309540923</v>
      </c>
      <c r="Z25" t="n">
        <v>-0.478810771579536</v>
      </c>
      <c r="AA25" t="n">
        <v>-0.729042287243291</v>
      </c>
      <c r="AB25" t="n">
        <v>-0.451402227769159</v>
      </c>
      <c r="AC25" t="n">
        <v>-0.800635227686104</v>
      </c>
      <c r="AD25" t="n">
        <v>0.680166924952396</v>
      </c>
      <c r="AE25" t="n">
        <v>-0.388851175514274</v>
      </c>
      <c r="AF25"/>
    </row>
    <row r="26">
      <c r="A26" t="s">
        <v>156</v>
      </c>
      <c r="B26" t="s">
        <v>283</v>
      </c>
      <c r="C26" t="s">
        <v>157</v>
      </c>
      <c r="D26" t="s">
        <v>284</v>
      </c>
      <c r="E26" t="s">
        <v>31</v>
      </c>
      <c r="F26" t="n">
        <v>0.420868887383551</v>
      </c>
      <c r="G26" t="n">
        <v>0.289031797359226</v>
      </c>
      <c r="H26" t="n">
        <v>0.408111077180418</v>
      </c>
      <c r="I26" t="n">
        <v>0.0214281227493627</v>
      </c>
      <c r="J26" t="n">
        <v>-0.103090040206788</v>
      </c>
      <c r="K26" t="n">
        <v>-0.0153502931116184</v>
      </c>
      <c r="L26" t="n">
        <v>-0.248518208730451</v>
      </c>
      <c r="M26" t="n">
        <v>-0.159813468353705</v>
      </c>
      <c r="N26" t="n">
        <v>-0.27471702491979</v>
      </c>
      <c r="O26" t="n">
        <v>-0.207873284526794</v>
      </c>
      <c r="P26" t="n">
        <v>-0.116958394272643</v>
      </c>
      <c r="Q26" t="n">
        <v>0.102245899393901</v>
      </c>
      <c r="R26" t="n">
        <v>0.0318133793797241</v>
      </c>
      <c r="S26" t="n">
        <v>0.0641161836620381</v>
      </c>
      <c r="T26" t="n">
        <v>-0.0503931547473897</v>
      </c>
      <c r="U26" t="n">
        <v>-0.10642583200361</v>
      </c>
      <c r="V26" t="n">
        <v>-0.0613566692231157</v>
      </c>
      <c r="W26" t="n">
        <v>0.0410910367757965</v>
      </c>
      <c r="X26" t="n">
        <v>0.00281560323838914</v>
      </c>
      <c r="Y26" t="n">
        <v>0.0147755734806676</v>
      </c>
      <c r="Z26" t="n">
        <v>0.0848924388941893</v>
      </c>
      <c r="AA26" t="n">
        <v>0.0176384210719</v>
      </c>
      <c r="AB26" t="n">
        <v>0.0412959638232089</v>
      </c>
      <c r="AC26" t="n">
        <v>-0.16984188315</v>
      </c>
      <c r="AD26" t="n">
        <v>-0.168262057292525</v>
      </c>
      <c r="AE26" t="n">
        <v>-0.156488151339387</v>
      </c>
      <c r="AF26"/>
    </row>
    <row r="27">
      <c r="A27" t="s">
        <v>158</v>
      </c>
      <c r="B27" t="s">
        <v>283</v>
      </c>
      <c r="C27" t="s">
        <v>159</v>
      </c>
      <c r="D27" t="s">
        <v>284</v>
      </c>
      <c r="E27" t="s">
        <v>31</v>
      </c>
      <c r="F27" t="n">
        <v>0.442093192862127</v>
      </c>
      <c r="G27" t="n">
        <v>0.35861897248243</v>
      </c>
      <c r="H27" t="n">
        <v>-0.0269024089979553</v>
      </c>
      <c r="I27" t="n">
        <v>0.00973565653406059</v>
      </c>
      <c r="J27" t="n">
        <v>0.00734042354398247</v>
      </c>
      <c r="K27" t="n">
        <v>0.666455230469265</v>
      </c>
      <c r="L27" t="n">
        <v>0.234641517203687</v>
      </c>
      <c r="M27" t="n">
        <v>0.0622994904589331</v>
      </c>
      <c r="N27" t="n">
        <v>0.0772348946447028</v>
      </c>
      <c r="O27" t="n">
        <v>0.488344379055028</v>
      </c>
      <c r="P27" t="n">
        <v>0.421668912424823</v>
      </c>
      <c r="Q27" t="n">
        <v>0.416153334468324</v>
      </c>
      <c r="R27" t="n">
        <v>0.0110729188313974</v>
      </c>
      <c r="S27" t="n">
        <v>-0.198524987396901</v>
      </c>
      <c r="T27" t="n">
        <v>-0.296988740158397</v>
      </c>
      <c r="U27" t="n">
        <v>-0.0888001752650773</v>
      </c>
      <c r="V27" t="n">
        <v>0.0497956914957338</v>
      </c>
      <c r="W27" t="n">
        <v>0.280294732694452</v>
      </c>
      <c r="X27" t="n">
        <v>0.324029648735446</v>
      </c>
      <c r="Y27" t="n">
        <v>0.380441212293618</v>
      </c>
      <c r="Z27" t="n">
        <v>0.43992596996225</v>
      </c>
      <c r="AA27" t="n">
        <v>0.40843118127003</v>
      </c>
      <c r="AB27" t="n">
        <v>0.208305640257708</v>
      </c>
      <c r="AC27" t="n">
        <v>0.126190265280926</v>
      </c>
      <c r="AD27" t="n">
        <v>0.318032240357347</v>
      </c>
      <c r="AE27" t="n">
        <v>0.0363973629462983</v>
      </c>
      <c r="AF27"/>
    </row>
    <row r="28">
      <c r="A28" t="s">
        <v>160</v>
      </c>
      <c r="B28" t="s">
        <v>283</v>
      </c>
      <c r="C28" t="s">
        <v>161</v>
      </c>
      <c r="D28" t="s">
        <v>284</v>
      </c>
      <c r="E28" t="s">
        <v>31</v>
      </c>
      <c r="F28" t="n">
        <v>0.561022978960678</v>
      </c>
      <c r="G28" t="n">
        <v>0.396686516100954</v>
      </c>
      <c r="H28" t="n">
        <v>0.595432257943642</v>
      </c>
      <c r="I28" t="n">
        <v>-0.152729572221388</v>
      </c>
      <c r="J28" t="n">
        <v>0.0696172832187845</v>
      </c>
      <c r="K28" t="n">
        <v>-0.10511369391733</v>
      </c>
      <c r="L28" t="n">
        <v>-0.239309888541925</v>
      </c>
      <c r="M28" t="n">
        <v>-0.288860066997773</v>
      </c>
      <c r="N28" t="n">
        <v>0.312217181781146</v>
      </c>
      <c r="O28" t="n">
        <v>0.0847613938701493</v>
      </c>
      <c r="P28" t="n">
        <v>0.134977856332392</v>
      </c>
      <c r="Q28" t="n">
        <v>-0.0344237431812918</v>
      </c>
      <c r="R28" t="n">
        <v>0.472446888332458</v>
      </c>
      <c r="S28" t="n">
        <v>0.318142187448643</v>
      </c>
      <c r="T28" t="n">
        <v>0.0420183318593323</v>
      </c>
      <c r="U28" t="n">
        <v>-0.0355705559305932</v>
      </c>
      <c r="V28" t="n">
        <v>-0.319510536180231</v>
      </c>
      <c r="W28" t="n">
        <v>0.379030968305334</v>
      </c>
      <c r="X28" t="n">
        <v>0.117719985460003</v>
      </c>
      <c r="Y28" t="n">
        <v>0.343875416008307</v>
      </c>
      <c r="Z28" t="n">
        <v>0.184127916128931</v>
      </c>
      <c r="AA28" t="n">
        <v>0.096896641077805</v>
      </c>
      <c r="AB28" t="n">
        <v>0.209347310885631</v>
      </c>
      <c r="AC28" t="n">
        <v>0.508717809952693</v>
      </c>
      <c r="AD28" t="n">
        <v>0.451389723554049</v>
      </c>
      <c r="AE28" t="n">
        <v>-0.0151334798412491</v>
      </c>
      <c r="AF28"/>
    </row>
    <row r="29">
      <c r="A29" t="s">
        <v>162</v>
      </c>
      <c r="B29" t="s">
        <v>283</v>
      </c>
      <c r="C29" t="s">
        <v>163</v>
      </c>
      <c r="D29" t="s">
        <v>284</v>
      </c>
      <c r="E29" t="s">
        <v>31</v>
      </c>
      <c r="F29" t="n">
        <v>0.900793923978231</v>
      </c>
      <c r="G29" t="n">
        <v>0.558829255720523</v>
      </c>
      <c r="H29" t="n">
        <v>0.944834192919054</v>
      </c>
      <c r="I29" t="n">
        <v>-0.192656062789701</v>
      </c>
      <c r="J29" t="n">
        <v>-0.185918216321462</v>
      </c>
      <c r="K29" t="n">
        <v>-0.115321339722937</v>
      </c>
      <c r="L29" t="n">
        <v>-0.523703547450444</v>
      </c>
      <c r="M29" t="n">
        <v>-0.498151375081623</v>
      </c>
      <c r="N29" t="n">
        <v>-0.0482115717649059</v>
      </c>
      <c r="O29" t="n">
        <v>-0.17332932533714</v>
      </c>
      <c r="P29" t="n">
        <v>0.0463672847709225</v>
      </c>
      <c r="Q29" t="n">
        <v>-0.157700173817286</v>
      </c>
      <c r="R29" t="n">
        <v>-0.119930648750785</v>
      </c>
      <c r="S29" t="n">
        <v>-0.164153165729909</v>
      </c>
      <c r="T29" t="n">
        <v>-0.434548645304659</v>
      </c>
      <c r="U29" t="n">
        <v>-0.22458532342991</v>
      </c>
      <c r="V29" t="n">
        <v>-0.28361867429882</v>
      </c>
      <c r="W29" t="n">
        <v>0.163796560482869</v>
      </c>
      <c r="X29" t="n">
        <v>0.0226033561012454</v>
      </c>
      <c r="Y29" t="n">
        <v>0.292442563421676</v>
      </c>
      <c r="Z29" t="n">
        <v>0.0898051823576209</v>
      </c>
      <c r="AA29" t="n">
        <v>-0.0960063859090522</v>
      </c>
      <c r="AB29" t="n">
        <v>-0.108098907148447</v>
      </c>
      <c r="AC29" t="n">
        <v>0.493121740358792</v>
      </c>
      <c r="AD29" t="n">
        <v>0.637322037154623</v>
      </c>
      <c r="AE29" t="n">
        <v>-0.0308938125840115</v>
      </c>
      <c r="AF29"/>
    </row>
    <row r="30">
      <c r="A30" t="s">
        <v>164</v>
      </c>
      <c r="B30" t="s">
        <v>283</v>
      </c>
      <c r="C30" t="s">
        <v>165</v>
      </c>
      <c r="D30" t="s">
        <v>284</v>
      </c>
      <c r="E30" t="s">
        <v>31</v>
      </c>
      <c r="F30" t="n">
        <v>-3.71958259513433</v>
      </c>
      <c r="G30" t="n">
        <v>-2.3477861283332</v>
      </c>
      <c r="H30" t="n">
        <v>-3.33367230546869</v>
      </c>
      <c r="I30" t="n">
        <v>-2.11631695783888</v>
      </c>
      <c r="J30" t="n">
        <v>-1.67011541889967</v>
      </c>
      <c r="K30" t="n">
        <v>-2.06490218665351</v>
      </c>
      <c r="L30" t="n">
        <v>-0.0784077614417383</v>
      </c>
      <c r="M30" t="n">
        <v>1.65511887881999</v>
      </c>
      <c r="N30" t="n">
        <v>3.20883425228686</v>
      </c>
      <c r="O30" t="n">
        <v>1.97391158335167</v>
      </c>
      <c r="P30" t="n">
        <v>-1.33498689030538</v>
      </c>
      <c r="Q30" t="n">
        <v>-1.23555431276605</v>
      </c>
      <c r="R30" t="n">
        <v>-1.28874360472772</v>
      </c>
      <c r="S30" t="n">
        <v>0.17840617191778</v>
      </c>
      <c r="T30" t="n">
        <v>1.35874590375368</v>
      </c>
      <c r="U30" t="n">
        <v>-0.36130652013862</v>
      </c>
      <c r="V30" t="n">
        <v>0.687841120074317</v>
      </c>
      <c r="W30" t="n">
        <v>0.697715520581489</v>
      </c>
      <c r="X30" t="n">
        <v>0.555726577123672</v>
      </c>
      <c r="Y30" t="n">
        <v>0.237007822742845</v>
      </c>
      <c r="Z30" t="n">
        <v>0.854029413835141</v>
      </c>
      <c r="AA30" t="n">
        <v>2.43369798656274</v>
      </c>
      <c r="AB30" t="n">
        <v>2.47591435771258</v>
      </c>
      <c r="AC30" t="n">
        <v>1.41532369954011</v>
      </c>
      <c r="AD30" t="n">
        <v>-0.244606669565066</v>
      </c>
      <c r="AE30" t="n">
        <v>-2.22568802597542</v>
      </c>
      <c r="AF30"/>
    </row>
    <row r="31">
      <c r="A31" t="s">
        <v>166</v>
      </c>
      <c r="B31" t="s">
        <v>283</v>
      </c>
      <c r="C31" t="s">
        <v>167</v>
      </c>
      <c r="D31" t="s">
        <v>284</v>
      </c>
      <c r="E31" t="s">
        <v>31</v>
      </c>
      <c r="F31" t="n">
        <v>-1.65832700647478</v>
      </c>
      <c r="G31" t="n">
        <v>-1.63211940458732</v>
      </c>
      <c r="H31" t="n">
        <v>1.44331118258532</v>
      </c>
      <c r="I31" t="n">
        <v>-0.845415187440258</v>
      </c>
      <c r="J31" t="n">
        <v>-1.39564576711499</v>
      </c>
      <c r="K31" t="n">
        <v>-1.03680736654798</v>
      </c>
      <c r="L31" t="n">
        <v>-0.92596661948385</v>
      </c>
      <c r="M31" t="n">
        <v>-1.19895564982752</v>
      </c>
      <c r="N31" t="n">
        <v>1.40814760670677</v>
      </c>
      <c r="O31" t="n">
        <v>1.18385900392203</v>
      </c>
      <c r="P31" t="n">
        <v>4.02762055263552</v>
      </c>
      <c r="Q31" t="n">
        <v>2.52419487061033</v>
      </c>
      <c r="R31" t="n">
        <v>6.56173506240911</v>
      </c>
      <c r="S31" t="n">
        <v>8.46447775355684</v>
      </c>
      <c r="T31" t="n">
        <v>3.43948787187548</v>
      </c>
      <c r="U31" t="n">
        <v>1.4347462972961</v>
      </c>
      <c r="V31" t="n">
        <v>-2.94450077906246</v>
      </c>
      <c r="W31" t="n">
        <v>1.27391946392117</v>
      </c>
      <c r="X31" t="n">
        <v>1.55681053246402</v>
      </c>
      <c r="Y31" t="n">
        <v>0.474075400775649</v>
      </c>
      <c r="Z31" t="n">
        <v>-0.0498192812730977</v>
      </c>
      <c r="AA31" t="n">
        <v>0.40199380662789</v>
      </c>
      <c r="AB31" t="n">
        <v>1.81264572931008</v>
      </c>
      <c r="AC31" t="n">
        <v>0.462809764819921</v>
      </c>
      <c r="AD31" t="n">
        <v>0.3133311221275</v>
      </c>
      <c r="AE31" t="n">
        <v>2.593559615416</v>
      </c>
      <c r="AF31"/>
    </row>
    <row r="32">
      <c r="A32" t="s">
        <v>168</v>
      </c>
      <c r="B32" t="s">
        <v>283</v>
      </c>
      <c r="C32" t="s">
        <v>169</v>
      </c>
      <c r="D32" t="s">
        <v>284</v>
      </c>
      <c r="E32" t="s">
        <v>31</v>
      </c>
      <c r="F32" t="n">
        <v>1.93033305412685</v>
      </c>
      <c r="G32" t="n">
        <v>1.59722954483104</v>
      </c>
      <c r="H32" t="n">
        <v>0.32615056283791</v>
      </c>
      <c r="I32" t="n">
        <v>0.798903278877332</v>
      </c>
      <c r="J32" t="n">
        <v>2.12189639708713</v>
      </c>
      <c r="K32" t="n">
        <v>0.769672924036922</v>
      </c>
      <c r="L32" t="n">
        <v>0.668804106317614</v>
      </c>
      <c r="M32" t="n">
        <v>-0.24129918165104</v>
      </c>
      <c r="N32" t="n">
        <v>0.557631939848724</v>
      </c>
      <c r="O32" t="n">
        <v>0.191135164679826</v>
      </c>
      <c r="P32" t="n">
        <v>-0.0423825992011013</v>
      </c>
      <c r="Q32" t="n">
        <v>-0.293648831505863</v>
      </c>
      <c r="R32" t="n">
        <v>0.149002377097855</v>
      </c>
      <c r="S32" t="n">
        <v>0.0968967189923141</v>
      </c>
      <c r="T32" t="n">
        <v>0.508395574046273</v>
      </c>
      <c r="U32" t="n">
        <v>0.45919785746665</v>
      </c>
      <c r="V32" t="n">
        <v>0.30749822346923</v>
      </c>
      <c r="W32" t="n">
        <v>0.906059972880893</v>
      </c>
      <c r="X32" t="n">
        <v>0.000958050133249608</v>
      </c>
      <c r="Y32" t="n">
        <v>0.849190796479747</v>
      </c>
      <c r="Z32" t="n">
        <v>0.327447490865788</v>
      </c>
      <c r="AA32" t="n">
        <v>-0.0319901181178798</v>
      </c>
      <c r="AB32" t="n">
        <v>0.210508861277092</v>
      </c>
      <c r="AC32" t="n">
        <v>0.691962850458335</v>
      </c>
      <c r="AD32" t="n">
        <v>0.43971701536268</v>
      </c>
      <c r="AE32" t="n">
        <v>0.0285969142359899</v>
      </c>
      <c r="AF32"/>
    </row>
    <row r="33">
      <c r="A33" t="s">
        <v>170</v>
      </c>
      <c r="B33" t="s">
        <v>283</v>
      </c>
      <c r="C33" t="s">
        <v>171</v>
      </c>
      <c r="D33" t="s">
        <v>284</v>
      </c>
      <c r="E33" t="s">
        <v>31</v>
      </c>
      <c r="F33" t="n">
        <v>0.912415279611749</v>
      </c>
      <c r="G33" t="n">
        <v>0.791348724606999</v>
      </c>
      <c r="H33" t="n">
        <v>0.955581480524132</v>
      </c>
      <c r="I33" t="n">
        <v>0.553122167607832</v>
      </c>
      <c r="J33" t="n">
        <v>0.895306383867158</v>
      </c>
      <c r="K33" t="n">
        <v>0.411993527915339</v>
      </c>
      <c r="L33" t="n">
        <v>0.671062211658465</v>
      </c>
      <c r="M33" t="n">
        <v>0.324375089294178</v>
      </c>
      <c r="N33" t="n">
        <v>0.0298840618251098</v>
      </c>
      <c r="O33" t="n">
        <v>-0.0627404052345654</v>
      </c>
      <c r="P33" t="n">
        <v>0.0694706417631458</v>
      </c>
      <c r="Q33" t="n">
        <v>0.783820670159907</v>
      </c>
      <c r="R33" t="n">
        <v>3.36362107112523</v>
      </c>
      <c r="S33" t="n">
        <v>-0.757411755408641</v>
      </c>
      <c r="T33" t="n">
        <v>-0.630370274139235</v>
      </c>
      <c r="U33" t="n">
        <v>-0.405803660707818</v>
      </c>
      <c r="V33" t="n">
        <v>-0.552448533563957</v>
      </c>
      <c r="W33" t="n">
        <v>0.0847280773640575</v>
      </c>
      <c r="X33" t="n">
        <v>-0.470434163151417</v>
      </c>
      <c r="Y33" t="n">
        <v>-0.290356730401345</v>
      </c>
      <c r="Z33" t="n">
        <v>0.333081020532048</v>
      </c>
      <c r="AA33" t="n">
        <v>-0.163678505185325</v>
      </c>
      <c r="AB33" t="n">
        <v>-0.30841286716651</v>
      </c>
      <c r="AC33" t="n">
        <v>-0.533656405421949</v>
      </c>
      <c r="AD33" t="n">
        <v>-0.498114065847773</v>
      </c>
      <c r="AE33" t="n">
        <v>-0.529717603716171</v>
      </c>
      <c r="AF33"/>
    </row>
    <row r="34">
      <c r="A34" t="s">
        <v>172</v>
      </c>
      <c r="B34" t="s">
        <v>283</v>
      </c>
      <c r="C34" t="s">
        <v>173</v>
      </c>
      <c r="D34" t="s">
        <v>284</v>
      </c>
      <c r="E34" t="s">
        <v>31</v>
      </c>
      <c r="F34" t="n">
        <v>0.362755563791629</v>
      </c>
      <c r="G34" t="n">
        <v>0.651798733014719</v>
      </c>
      <c r="H34" t="n">
        <v>0.345663217525541</v>
      </c>
      <c r="I34" t="n">
        <v>-0.0230712691768509</v>
      </c>
      <c r="J34" t="n">
        <v>0.176794310878537</v>
      </c>
      <c r="K34" t="n">
        <v>0.209618688878814</v>
      </c>
      <c r="L34" t="n">
        <v>0.217416441687555</v>
      </c>
      <c r="M34" t="n">
        <v>-0.0950122861514211</v>
      </c>
      <c r="N34" t="n">
        <v>-0.56611182068348</v>
      </c>
      <c r="O34" t="n">
        <v>-0.361812236249449</v>
      </c>
      <c r="P34" t="n">
        <v>-0.553552639422295</v>
      </c>
      <c r="Q34" t="n">
        <v>0.853163659982998</v>
      </c>
      <c r="R34" t="n">
        <v>0.81296136291845</v>
      </c>
      <c r="S34" t="n">
        <v>-0.0201448470268842</v>
      </c>
      <c r="T34" t="n">
        <v>-0.572871042980723</v>
      </c>
      <c r="U34" t="n">
        <v>-0.554732147917659</v>
      </c>
      <c r="V34" t="n">
        <v>-0.495930486787005</v>
      </c>
      <c r="W34" t="n">
        <v>-0.094953317592922</v>
      </c>
      <c r="X34" t="n">
        <v>-0.68070300476014</v>
      </c>
      <c r="Y34" t="n">
        <v>-0.206444737628329</v>
      </c>
      <c r="Z34" t="n">
        <v>-0.176246050495871</v>
      </c>
      <c r="AA34" t="n">
        <v>-0.452280848185635</v>
      </c>
      <c r="AB34" t="n">
        <v>-0.291335421899765</v>
      </c>
      <c r="AC34" t="n">
        <v>-0.321726262583578</v>
      </c>
      <c r="AD34" t="n">
        <v>-0.414750805548284</v>
      </c>
      <c r="AE34" t="n">
        <v>-0.606487694237356</v>
      </c>
      <c r="AF34"/>
    </row>
    <row r="35">
      <c r="A35" t="s">
        <v>174</v>
      </c>
      <c r="B35" t="s">
        <v>283</v>
      </c>
      <c r="C35" t="s">
        <v>175</v>
      </c>
      <c r="D35" t="s">
        <v>284</v>
      </c>
      <c r="E35" t="s">
        <v>31</v>
      </c>
      <c r="F35" t="n">
        <v>0.53520594681323</v>
      </c>
      <c r="G35" t="n">
        <v>0.677962523323341</v>
      </c>
      <c r="H35" t="n">
        <v>0.626502569368421</v>
      </c>
      <c r="I35" t="n">
        <v>0.658618803978927</v>
      </c>
      <c r="J35" t="n">
        <v>0.568374791170378</v>
      </c>
      <c r="K35" t="n">
        <v>0.760806280453913</v>
      </c>
      <c r="L35" t="n">
        <v>0.638231096231755</v>
      </c>
      <c r="M35" t="n">
        <v>0.450125027621937</v>
      </c>
      <c r="N35" t="n">
        <v>0.34491453869478</v>
      </c>
      <c r="O35" t="n">
        <v>0.140454277862384</v>
      </c>
      <c r="P35" t="n">
        <v>-0.000540613101851348</v>
      </c>
      <c r="Q35" t="n">
        <v>0.143924539371399</v>
      </c>
      <c r="R35" t="n">
        <v>-0.0679559927787267</v>
      </c>
      <c r="S35" t="n">
        <v>-0.123190672087527</v>
      </c>
      <c r="T35" t="n">
        <v>0.0251313854396575</v>
      </c>
      <c r="U35" t="n">
        <v>-0.0941376312599697</v>
      </c>
      <c r="V35" t="n">
        <v>-0.0807568141004642</v>
      </c>
      <c r="W35" t="n">
        <v>-0.0514858786310768</v>
      </c>
      <c r="X35" t="n">
        <v>-0.091808616225999</v>
      </c>
      <c r="Y35" t="n">
        <v>-0.126511262815591</v>
      </c>
      <c r="Z35" t="n">
        <v>-0.0958595393871315</v>
      </c>
      <c r="AA35" t="n">
        <v>-0.0509214180910322</v>
      </c>
      <c r="AB35" t="n">
        <v>-0.0238198824966217</v>
      </c>
      <c r="AC35" t="n">
        <v>-0.0392779093827936</v>
      </c>
      <c r="AD35" t="n">
        <v>-0.022896293471442</v>
      </c>
      <c r="AE35" t="n">
        <v>-0.0359207594032628</v>
      </c>
      <c r="AF35"/>
    </row>
    <row r="36">
      <c r="A36" t="s">
        <v>176</v>
      </c>
      <c r="B36" t="s">
        <v>283</v>
      </c>
      <c r="C36" t="s">
        <v>177</v>
      </c>
      <c r="D36" t="s">
        <v>284</v>
      </c>
      <c r="E36" t="s">
        <v>31</v>
      </c>
      <c r="F36" t="n">
        <v>1.03798362014076</v>
      </c>
      <c r="G36" t="n">
        <v>1.8349759754949</v>
      </c>
      <c r="H36" t="n">
        <v>1.20979100955364</v>
      </c>
      <c r="I36" t="n">
        <v>0.738429273824475</v>
      </c>
      <c r="J36" t="n">
        <v>1.00013557831251</v>
      </c>
      <c r="K36" t="n">
        <v>0.466882994089358</v>
      </c>
      <c r="L36" t="n">
        <v>0.83463654237649</v>
      </c>
      <c r="M36" t="n">
        <v>0.718992966842157</v>
      </c>
      <c r="N36" t="n">
        <v>0.96601454911142</v>
      </c>
      <c r="O36" t="n">
        <v>0.246955814750588</v>
      </c>
      <c r="P36" t="n">
        <v>0.346051531165669</v>
      </c>
      <c r="Q36" t="n">
        <v>0.518120482584627</v>
      </c>
      <c r="R36" t="n">
        <v>-0.0550042401718454</v>
      </c>
      <c r="S36" t="n">
        <v>-0.379759994432061</v>
      </c>
      <c r="T36" t="n">
        <v>-0.0496936147258807</v>
      </c>
      <c r="U36" t="n">
        <v>-0.125667759616518</v>
      </c>
      <c r="V36" t="n">
        <v>-0.139960887072674</v>
      </c>
      <c r="W36" t="n">
        <v>0.0103813440427022</v>
      </c>
      <c r="X36" t="n">
        <v>-0.126123508568059</v>
      </c>
      <c r="Y36" t="n">
        <v>-0.123451662677264</v>
      </c>
      <c r="Z36" t="n">
        <v>-0.306171409032538</v>
      </c>
      <c r="AA36" t="n">
        <v>-0.17313729942522</v>
      </c>
      <c r="AB36" t="n">
        <v>-0.154137539268458</v>
      </c>
      <c r="AC36" t="n">
        <v>-0.334790167040074</v>
      </c>
      <c r="AD36" t="n">
        <v>0.0964170193813752</v>
      </c>
      <c r="AE36" t="n">
        <v>-0.151251024726506</v>
      </c>
      <c r="AF36"/>
    </row>
    <row r="37">
      <c r="A37" t="s">
        <v>178</v>
      </c>
      <c r="B37" t="s">
        <v>283</v>
      </c>
      <c r="C37" t="s">
        <v>179</v>
      </c>
      <c r="D37" t="s">
        <v>284</v>
      </c>
      <c r="E37" t="s">
        <v>31</v>
      </c>
      <c r="F37" t="n">
        <v>1.1130431516721</v>
      </c>
      <c r="G37" t="n">
        <v>1.04778834876261</v>
      </c>
      <c r="H37" t="n">
        <v>1.10534626871968</v>
      </c>
      <c r="I37" t="n">
        <v>1.35732024624812</v>
      </c>
      <c r="J37" t="n">
        <v>0.950556402078523</v>
      </c>
      <c r="K37" t="n">
        <v>1.42453938421289</v>
      </c>
      <c r="L37" t="n">
        <v>0.899276691434125</v>
      </c>
      <c r="M37" t="n">
        <v>0.530544266065726</v>
      </c>
      <c r="N37" t="n">
        <v>0.283665766008908</v>
      </c>
      <c r="O37" t="n">
        <v>0.171490569386572</v>
      </c>
      <c r="P37" t="n">
        <v>0.0558020406606172</v>
      </c>
      <c r="Q37" t="n">
        <v>0.261796733101108</v>
      </c>
      <c r="R37" t="n">
        <v>0.157502880002882</v>
      </c>
      <c r="S37" t="n">
        <v>0.0899302121041794</v>
      </c>
      <c r="T37" t="n">
        <v>0.359122373352811</v>
      </c>
      <c r="U37" t="n">
        <v>-0.025057053453846</v>
      </c>
      <c r="V37" t="n">
        <v>0.0642850540301387</v>
      </c>
      <c r="W37" t="n">
        <v>0.072501414675527</v>
      </c>
      <c r="X37" t="n">
        <v>-0.0164528096092227</v>
      </c>
      <c r="Y37" t="n">
        <v>-0.197895783326453</v>
      </c>
      <c r="Z37" t="n">
        <v>-0.167973527928102</v>
      </c>
      <c r="AA37" t="n">
        <v>-0.0187964640461944</v>
      </c>
      <c r="AB37" t="n">
        <v>0.0241139647716554</v>
      </c>
      <c r="AC37" t="n">
        <v>-0.147689110673375</v>
      </c>
      <c r="AD37" t="n">
        <v>-0.141025643600743</v>
      </c>
      <c r="AE37" t="n">
        <v>-0.0148436183355017</v>
      </c>
      <c r="AF37"/>
    </row>
    <row r="38">
      <c r="A38" t="s">
        <v>180</v>
      </c>
      <c r="B38" t="s">
        <v>283</v>
      </c>
      <c r="C38" t="s">
        <v>181</v>
      </c>
      <c r="D38" t="s">
        <v>284</v>
      </c>
      <c r="E38" t="s">
        <v>31</v>
      </c>
      <c r="F38" t="n">
        <v>-0.163401807948614</v>
      </c>
      <c r="G38" t="n">
        <v>-0.270248218921108</v>
      </c>
      <c r="H38" t="n">
        <v>-0.161774960406965</v>
      </c>
      <c r="I38" t="n">
        <v>0.00995284473760548</v>
      </c>
      <c r="J38" t="n">
        <v>-0.0205164054148288</v>
      </c>
      <c r="K38" t="n">
        <v>0.335564970439017</v>
      </c>
      <c r="L38" t="n">
        <v>0.31700079504355</v>
      </c>
      <c r="M38" t="n">
        <v>0.272852706033105</v>
      </c>
      <c r="N38" t="n">
        <v>0.16175644537699</v>
      </c>
      <c r="O38" t="n">
        <v>0.132827286848143</v>
      </c>
      <c r="P38" t="n">
        <v>-0.148993939889129</v>
      </c>
      <c r="Q38" t="n">
        <v>-0.0647935417074482</v>
      </c>
      <c r="R38" t="n">
        <v>-0.221676520753108</v>
      </c>
      <c r="S38" t="n">
        <v>-0.149909843010159</v>
      </c>
      <c r="T38" t="n">
        <v>-0.149282031636039</v>
      </c>
      <c r="U38" t="n">
        <v>-0.119271572732126</v>
      </c>
      <c r="V38" t="n">
        <v>-0.141797770394062</v>
      </c>
      <c r="W38" t="n">
        <v>-0.155892366755668</v>
      </c>
      <c r="X38" t="n">
        <v>-0.126437088610118</v>
      </c>
      <c r="Y38" t="n">
        <v>-0.0933926876351505</v>
      </c>
      <c r="Z38" t="n">
        <v>0.014794967083609</v>
      </c>
      <c r="AA38" t="n">
        <v>-0.0284739388230794</v>
      </c>
      <c r="AB38" t="n">
        <v>-0.00670580727805338</v>
      </c>
      <c r="AC38" t="n">
        <v>0.115651008341486</v>
      </c>
      <c r="AD38" t="n">
        <v>0.000817742576841454</v>
      </c>
      <c r="AE38" t="n">
        <v>-0.011711671098985</v>
      </c>
      <c r="AF38"/>
    </row>
    <row r="39">
      <c r="A39" t="s">
        <v>182</v>
      </c>
      <c r="B39" t="s">
        <v>283</v>
      </c>
      <c r="C39" t="s">
        <v>183</v>
      </c>
      <c r="D39" t="s">
        <v>284</v>
      </c>
      <c r="E39" t="s">
        <v>31</v>
      </c>
      <c r="F39" t="n">
        <v>-0.0479053949967883</v>
      </c>
      <c r="G39" t="n">
        <v>-0.0399062000918166</v>
      </c>
      <c r="H39" t="n">
        <v>-0.0787680723039342</v>
      </c>
      <c r="I39" t="n">
        <v>-0.0147273754675801</v>
      </c>
      <c r="J39" t="n">
        <v>-0.0861340480938725</v>
      </c>
      <c r="K39" t="n">
        <v>-0.0515699191718795</v>
      </c>
      <c r="L39" t="n">
        <v>0.00093304967344653</v>
      </c>
      <c r="M39" t="n">
        <v>-0.0123303575859561</v>
      </c>
      <c r="N39" t="n">
        <v>0.0252567853479051</v>
      </c>
      <c r="O39" t="n">
        <v>-0.0257190263151976</v>
      </c>
      <c r="P39" t="n">
        <v>-0.0669779964419189</v>
      </c>
      <c r="Q39" t="n">
        <v>-0.0490652702285451</v>
      </c>
      <c r="R39" t="n">
        <v>-0.0718784062865429</v>
      </c>
      <c r="S39" t="n">
        <v>-0.0570092268705175</v>
      </c>
      <c r="T39" t="n">
        <v>0.0255031225737824</v>
      </c>
      <c r="U39" t="n">
        <v>-0.0151088276159997</v>
      </c>
      <c r="V39" t="n">
        <v>-0.0381116160130685</v>
      </c>
      <c r="W39" t="n">
        <v>0.0227115375046875</v>
      </c>
      <c r="X39" t="n">
        <v>0.04030276054751</v>
      </c>
      <c r="Y39" t="n">
        <v>0.127979594486294</v>
      </c>
      <c r="Z39" t="n">
        <v>0.0695353865875659</v>
      </c>
      <c r="AA39" t="n">
        <v>0.0688713702967599</v>
      </c>
      <c r="AB39" t="n">
        <v>0.0631226797092944</v>
      </c>
      <c r="AC39" t="n">
        <v>0.0208420864263423</v>
      </c>
      <c r="AD39" t="n">
        <v>-0.0282686334081735</v>
      </c>
      <c r="AE39" t="n">
        <v>-0.0376127798910215</v>
      </c>
      <c r="AF39"/>
    </row>
    <row r="40">
      <c r="A40" t="s">
        <v>184</v>
      </c>
      <c r="B40" t="s">
        <v>283</v>
      </c>
      <c r="C40" t="s">
        <v>185</v>
      </c>
      <c r="D40" t="s">
        <v>284</v>
      </c>
      <c r="E40" t="s">
        <v>31</v>
      </c>
      <c r="F40" t="n">
        <v>2.05390972803216</v>
      </c>
      <c r="G40" t="n">
        <v>2.59903844370787</v>
      </c>
      <c r="H40" t="n">
        <v>1.57784387084915</v>
      </c>
      <c r="I40" t="n">
        <v>0.623893927125394</v>
      </c>
      <c r="J40" t="n">
        <v>0.607014499745442</v>
      </c>
      <c r="K40" t="n">
        <v>0.572935681917155</v>
      </c>
      <c r="L40" t="n">
        <v>0.340431603338102</v>
      </c>
      <c r="M40" t="n">
        <v>0.116061147778947</v>
      </c>
      <c r="N40" t="n">
        <v>-0.0221238085548929</v>
      </c>
      <c r="O40" t="n">
        <v>-0.00368635973494932</v>
      </c>
      <c r="P40" t="n">
        <v>0.406487896407769</v>
      </c>
      <c r="Q40" t="n">
        <v>0.135978527142067</v>
      </c>
      <c r="R40" t="n">
        <v>-0.387035729959835</v>
      </c>
      <c r="S40" t="n">
        <v>-0.57223782044757</v>
      </c>
      <c r="T40" t="n">
        <v>-1.17672013536745</v>
      </c>
      <c r="U40" t="n">
        <v>-1.11706370320574</v>
      </c>
      <c r="V40" t="n">
        <v>-0.988606580315666</v>
      </c>
      <c r="W40" t="n">
        <v>-0.832297673028549</v>
      </c>
      <c r="X40" t="n">
        <v>-0.442162816371985</v>
      </c>
      <c r="Y40" t="n">
        <v>-0.205440038121726</v>
      </c>
      <c r="Z40" t="n">
        <v>-0.173233825022674</v>
      </c>
      <c r="AA40" t="n">
        <v>-0.240383405243629</v>
      </c>
      <c r="AB40" t="n">
        <v>-0.220247368283546</v>
      </c>
      <c r="AC40" t="n">
        <v>0.00110642579124619</v>
      </c>
      <c r="AD40" t="n">
        <v>0.554341682718498</v>
      </c>
      <c r="AE40" t="n">
        <v>0.546558157854741</v>
      </c>
      <c r="AF40"/>
    </row>
    <row r="41">
      <c r="A41" t="s">
        <v>186</v>
      </c>
      <c r="B41" t="s">
        <v>283</v>
      </c>
      <c r="C41" t="s">
        <v>187</v>
      </c>
      <c r="D41" t="s">
        <v>284</v>
      </c>
      <c r="E41" t="s">
        <v>31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283</v>
      </c>
      <c r="C42" t="s">
        <v>189</v>
      </c>
      <c r="D42" t="s">
        <v>284</v>
      </c>
      <c r="E42" t="s">
        <v>31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283</v>
      </c>
      <c r="C43" t="s">
        <v>191</v>
      </c>
      <c r="D43" t="s">
        <v>284</v>
      </c>
      <c r="E43" t="s">
        <v>31</v>
      </c>
      <c r="F43" t="n">
        <v>-0.259349012365483</v>
      </c>
      <c r="G43" t="n">
        <v>0.053792855535265</v>
      </c>
      <c r="H43" t="n">
        <v>0.711885921146732</v>
      </c>
      <c r="I43" t="n">
        <v>0.0781988662602505</v>
      </c>
      <c r="J43" t="n">
        <v>-0.367707261967978</v>
      </c>
      <c r="K43" t="n">
        <v>-0.294895670942216</v>
      </c>
      <c r="L43" t="n">
        <v>0.0129876080187185</v>
      </c>
      <c r="M43" t="n">
        <v>0.664815760775148</v>
      </c>
      <c r="N43" t="n">
        <v>0.7363984024557</v>
      </c>
      <c r="O43" t="n">
        <v>0.722862125245774</v>
      </c>
      <c r="P43" t="n">
        <v>0.83407601544536</v>
      </c>
      <c r="Q43" t="n">
        <v>1.70793348441349</v>
      </c>
      <c r="R43" t="n">
        <v>0.721014430024653</v>
      </c>
      <c r="S43" t="n">
        <v>0.054488285609109</v>
      </c>
      <c r="T43" t="n">
        <v>-0.185135096473824</v>
      </c>
      <c r="U43" t="n">
        <v>-0.140738851666915</v>
      </c>
      <c r="V43" t="n">
        <v>0.0396014386155387</v>
      </c>
      <c r="W43" t="n">
        <v>0.141973147293068</v>
      </c>
      <c r="X43" t="n">
        <v>0.247128123729922</v>
      </c>
      <c r="Y43" t="n">
        <v>0.0751711297593015</v>
      </c>
      <c r="Z43" t="n">
        <v>0.293642686167194</v>
      </c>
      <c r="AA43" t="n">
        <v>0.400036597571471</v>
      </c>
      <c r="AB43" t="n">
        <v>0.517083463037448</v>
      </c>
      <c r="AC43" t="n">
        <v>0.448045593357479</v>
      </c>
      <c r="AD43" t="n">
        <v>0.486708363879685</v>
      </c>
      <c r="AE43" t="n">
        <v>0.109978272430852</v>
      </c>
      <c r="AF43"/>
    </row>
    <row r="44">
      <c r="A44" t="s">
        <v>192</v>
      </c>
      <c r="B44" t="s">
        <v>283</v>
      </c>
      <c r="C44" t="s">
        <v>193</v>
      </c>
      <c r="D44" t="s">
        <v>284</v>
      </c>
      <c r="E44" t="s">
        <v>31</v>
      </c>
      <c r="F44" t="n">
        <v>0.380128956164724</v>
      </c>
      <c r="G44" t="n">
        <v>0.391055354875849</v>
      </c>
      <c r="H44" t="n">
        <v>0.408933725839044</v>
      </c>
      <c r="I44" t="n">
        <v>0.198084192455956</v>
      </c>
      <c r="J44" t="n">
        <v>0.0508067718087079</v>
      </c>
      <c r="K44" t="n">
        <v>0.158794253708477</v>
      </c>
      <c r="L44" t="n">
        <v>0.138507182095845</v>
      </c>
      <c r="M44" t="n">
        <v>-0.100560059302794</v>
      </c>
      <c r="N44" t="n">
        <v>-0.0158211556868552</v>
      </c>
      <c r="O44" t="n">
        <v>0.070949755061552</v>
      </c>
      <c r="P44" t="n">
        <v>0.218956500173396</v>
      </c>
      <c r="Q44" t="n">
        <v>0.288099449978793</v>
      </c>
      <c r="R44" t="n">
        <v>0.275979357898344</v>
      </c>
      <c r="S44" t="n">
        <v>0.128638223464383</v>
      </c>
      <c r="T44" t="n">
        <v>-0.349915945823092</v>
      </c>
      <c r="U44" t="n">
        <v>-0.359588501118339</v>
      </c>
      <c r="V44" t="n">
        <v>-0.225882837250989</v>
      </c>
      <c r="W44" t="n">
        <v>-0.0120251181054552</v>
      </c>
      <c r="X44" t="n">
        <v>-0.036021100175475</v>
      </c>
      <c r="Y44" t="n">
        <v>0.0461925706679274</v>
      </c>
      <c r="Z44" t="n">
        <v>0.161686526931694</v>
      </c>
      <c r="AA44" t="n">
        <v>0.124394108978916</v>
      </c>
      <c r="AB44" t="n">
        <v>0.192651084408862</v>
      </c>
      <c r="AC44" t="n">
        <v>0.223231107812023</v>
      </c>
      <c r="AD44" t="n">
        <v>0.144549410785804</v>
      </c>
      <c r="AE44" t="n">
        <v>-0.077948988747587</v>
      </c>
      <c r="AF44"/>
    </row>
    <row r="45">
      <c r="A45" t="s">
        <v>194</v>
      </c>
      <c r="B45" t="s">
        <v>283</v>
      </c>
      <c r="C45" t="s">
        <v>195</v>
      </c>
      <c r="D45" t="s">
        <v>284</v>
      </c>
      <c r="E45" t="s">
        <v>31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283</v>
      </c>
      <c r="C46" t="s">
        <v>197</v>
      </c>
      <c r="D46" t="s">
        <v>284</v>
      </c>
      <c r="E46" t="s">
        <v>31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283</v>
      </c>
      <c r="C47" t="s">
        <v>199</v>
      </c>
      <c r="D47" t="s">
        <v>284</v>
      </c>
      <c r="E47" t="s">
        <v>31</v>
      </c>
      <c r="F47" t="n">
        <v>1.97442849460872</v>
      </c>
      <c r="G47" t="n">
        <v>1.99510311378881</v>
      </c>
      <c r="H47" t="n">
        <v>1.47063451070141</v>
      </c>
      <c r="I47" t="n">
        <v>1.05160731461378</v>
      </c>
      <c r="J47" t="n">
        <v>1.28887543296879</v>
      </c>
      <c r="K47" t="n">
        <v>1.00364323707691</v>
      </c>
      <c r="L47" t="n">
        <v>0.803316670697702</v>
      </c>
      <c r="M47" t="n">
        <v>0.710101453708066</v>
      </c>
      <c r="N47" t="n">
        <v>0.468090142601805</v>
      </c>
      <c r="O47" t="n">
        <v>0.256021689555869</v>
      </c>
      <c r="P47" t="n">
        <v>0.181692934018798</v>
      </c>
      <c r="Q47" t="n">
        <v>0.10086505110102</v>
      </c>
      <c r="R47" t="n">
        <v>0.0100405204794652</v>
      </c>
      <c r="S47" t="n">
        <v>-0.0702776026932997</v>
      </c>
      <c r="T47" t="n">
        <v>0.0471943567179429</v>
      </c>
      <c r="U47" t="n">
        <v>0.0490454715726519</v>
      </c>
      <c r="V47" t="n">
        <v>-0.0299615883242074</v>
      </c>
      <c r="W47" t="n">
        <v>-0.0230626896271096</v>
      </c>
      <c r="X47" t="n">
        <v>0.108233936615731</v>
      </c>
      <c r="Y47" t="n">
        <v>0.172098818927259</v>
      </c>
      <c r="Z47" t="n">
        <v>0.163067017310789</v>
      </c>
      <c r="AA47" t="n">
        <v>0.141003812437003</v>
      </c>
      <c r="AB47" t="n">
        <v>0.208249331310294</v>
      </c>
      <c r="AC47" t="n">
        <v>0.231298179318328</v>
      </c>
      <c r="AD47" t="n">
        <v>0.197767744505612</v>
      </c>
      <c r="AE47" t="n">
        <v>0.249846836515083</v>
      </c>
      <c r="AF47"/>
    </row>
    <row r="48">
      <c r="A48" t="s">
        <v>200</v>
      </c>
      <c r="B48" t="s">
        <v>283</v>
      </c>
      <c r="C48" t="s">
        <v>201</v>
      </c>
      <c r="D48" t="s">
        <v>284</v>
      </c>
      <c r="E48" t="s">
        <v>31</v>
      </c>
      <c r="F48" t="n">
        <v>1.33924475746989</v>
      </c>
      <c r="G48" t="n">
        <v>1.36079114936957</v>
      </c>
      <c r="H48" t="n">
        <v>0.971666245789175</v>
      </c>
      <c r="I48" t="n">
        <v>0.71691507630806</v>
      </c>
      <c r="J48" t="n">
        <v>0.842697665983815</v>
      </c>
      <c r="K48" t="n">
        <v>0.629537857568153</v>
      </c>
      <c r="L48" t="n">
        <v>0.509737904447824</v>
      </c>
      <c r="M48" t="n">
        <v>0.461143702321839</v>
      </c>
      <c r="N48" t="n">
        <v>0.257837252194509</v>
      </c>
      <c r="O48" t="n">
        <v>0.197751132336185</v>
      </c>
      <c r="P48" t="n">
        <v>0.177119138003609</v>
      </c>
      <c r="Q48" t="n">
        <v>0.0776487970473661</v>
      </c>
      <c r="R48" t="n">
        <v>-0.016648003183607</v>
      </c>
      <c r="S48" t="n">
        <v>-0.103193490098096</v>
      </c>
      <c r="T48" t="n">
        <v>-0.0320275982347594</v>
      </c>
      <c r="U48" t="n">
        <v>0.0528498015856905</v>
      </c>
      <c r="V48" t="n">
        <v>0.0178156828671513</v>
      </c>
      <c r="W48" t="n">
        <v>0.0188999649173941</v>
      </c>
      <c r="X48" t="n">
        <v>0.0956441747670508</v>
      </c>
      <c r="Y48" t="n">
        <v>0.127416283083638</v>
      </c>
      <c r="Z48" t="n">
        <v>0.0661024208702187</v>
      </c>
      <c r="AA48" t="n">
        <v>0.05502457847559</v>
      </c>
      <c r="AB48" t="n">
        <v>0.0924542235685268</v>
      </c>
      <c r="AC48" t="n">
        <v>0.0599435990661775</v>
      </c>
      <c r="AD48" t="n">
        <v>0.080080898418901</v>
      </c>
      <c r="AE48" t="n">
        <v>0.0887078665435118</v>
      </c>
      <c r="AF48"/>
    </row>
    <row r="49">
      <c r="A49" t="s">
        <v>202</v>
      </c>
      <c r="B49" t="s">
        <v>283</v>
      </c>
      <c r="C49" t="s">
        <v>203</v>
      </c>
      <c r="D49" t="s">
        <v>284</v>
      </c>
      <c r="E49" t="s">
        <v>31</v>
      </c>
      <c r="F49" t="n">
        <v>0.249924321753075</v>
      </c>
      <c r="G49" t="n">
        <v>0.123185078712823</v>
      </c>
      <c r="H49" t="n">
        <v>0.0152758522220638</v>
      </c>
      <c r="I49" t="n">
        <v>0.0436217330454887</v>
      </c>
      <c r="J49" t="n">
        <v>0.0230628441878649</v>
      </c>
      <c r="K49" t="n">
        <v>-0.12397021438983</v>
      </c>
      <c r="L49" t="n">
        <v>-0.0851828291327866</v>
      </c>
      <c r="M49" t="n">
        <v>-0.133320134763087</v>
      </c>
      <c r="N49" t="n">
        <v>-0.165000702188333</v>
      </c>
      <c r="O49" t="n">
        <v>-0.137094037631525</v>
      </c>
      <c r="P49" t="n">
        <v>-0.0532353172764492</v>
      </c>
      <c r="Q49" t="n">
        <v>-0.0893005131476662</v>
      </c>
      <c r="R49" t="n">
        <v>-0.156204500935785</v>
      </c>
      <c r="S49" t="n">
        <v>-0.175901758012986</v>
      </c>
      <c r="T49" t="n">
        <v>-0.0000912116563754085</v>
      </c>
      <c r="U49" t="n">
        <v>0.0226297715757852</v>
      </c>
      <c r="V49" t="n">
        <v>-0.1010018511532</v>
      </c>
      <c r="W49" t="n">
        <v>-0.0571490261789069</v>
      </c>
      <c r="X49" t="n">
        <v>0.107714131284856</v>
      </c>
      <c r="Y49" t="n">
        <v>0.0432658463516858</v>
      </c>
      <c r="Z49" t="n">
        <v>-0.0502276480153904</v>
      </c>
      <c r="AA49" t="n">
        <v>-0.124452152960322</v>
      </c>
      <c r="AB49" t="n">
        <v>-0.171641453816616</v>
      </c>
      <c r="AC49" t="n">
        <v>-0.231063131765968</v>
      </c>
      <c r="AD49" t="n">
        <v>-0.11506693822343</v>
      </c>
      <c r="AE49" t="n">
        <v>-0.0665100742139485</v>
      </c>
      <c r="AF49"/>
    </row>
    <row r="50">
      <c r="A50" t="s">
        <v>204</v>
      </c>
      <c r="B50" t="s">
        <v>283</v>
      </c>
      <c r="C50" t="s">
        <v>205</v>
      </c>
      <c r="D50" t="s">
        <v>284</v>
      </c>
      <c r="E50" t="s">
        <v>31</v>
      </c>
      <c r="F50" t="n">
        <v>1.34383729512816</v>
      </c>
      <c r="G50" t="n">
        <v>1.49563993237804</v>
      </c>
      <c r="H50" t="n">
        <v>1.07993258171155</v>
      </c>
      <c r="I50" t="n">
        <v>0.926472935589606</v>
      </c>
      <c r="J50" t="n">
        <v>0.977793041093082</v>
      </c>
      <c r="K50" t="n">
        <v>0.733256570935808</v>
      </c>
      <c r="L50" t="n">
        <v>0.571248559147925</v>
      </c>
      <c r="M50" t="n">
        <v>0.610747479231948</v>
      </c>
      <c r="N50" t="n">
        <v>0.29547609563792</v>
      </c>
      <c r="O50" t="n">
        <v>0.438650893974874</v>
      </c>
      <c r="P50" t="n">
        <v>0.4201748054887</v>
      </c>
      <c r="Q50" t="n">
        <v>0.196945611678236</v>
      </c>
      <c r="R50" t="n">
        <v>0.0471993176206562</v>
      </c>
      <c r="S50" t="n">
        <v>-0.143028642640975</v>
      </c>
      <c r="T50" t="n">
        <v>-0.134267156917931</v>
      </c>
      <c r="U50" t="n">
        <v>0.178192709351527</v>
      </c>
      <c r="V50" t="n">
        <v>0.271492699242491</v>
      </c>
      <c r="W50" t="n">
        <v>0.208144950554059</v>
      </c>
      <c r="X50" t="n">
        <v>0.24847126116549</v>
      </c>
      <c r="Y50" t="n">
        <v>0.224521386150577</v>
      </c>
      <c r="Z50" t="n">
        <v>0.0623849429699858</v>
      </c>
      <c r="AA50" t="n">
        <v>0.0675715489121294</v>
      </c>
      <c r="AB50" t="n">
        <v>0.136890359522384</v>
      </c>
      <c r="AC50" t="n">
        <v>-0.0152480854591594</v>
      </c>
      <c r="AD50" t="n">
        <v>0.0245142110190937</v>
      </c>
      <c r="AE50" t="n">
        <v>-0.0116692746209473</v>
      </c>
      <c r="AF50"/>
    </row>
    <row r="51">
      <c r="A51" t="s">
        <v>206</v>
      </c>
      <c r="B51" t="s">
        <v>283</v>
      </c>
      <c r="C51" t="s">
        <v>207</v>
      </c>
      <c r="D51" t="s">
        <v>284</v>
      </c>
      <c r="E51" t="s">
        <v>31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283</v>
      </c>
      <c r="C52" t="s">
        <v>209</v>
      </c>
      <c r="D52" t="s">
        <v>284</v>
      </c>
      <c r="E52" t="s">
        <v>31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283</v>
      </c>
      <c r="C53" t="s">
        <v>211</v>
      </c>
      <c r="D53" t="s">
        <v>284</v>
      </c>
      <c r="E53" t="s">
        <v>31</v>
      </c>
      <c r="F53" t="n">
        <v>1.41475989141677</v>
      </c>
      <c r="G53" t="n">
        <v>1.57786989062143</v>
      </c>
      <c r="H53" t="n">
        <v>1.85656777329232</v>
      </c>
      <c r="I53" t="n">
        <v>0.789471864404056</v>
      </c>
      <c r="J53" t="n">
        <v>0.638582917095159</v>
      </c>
      <c r="K53" t="n">
        <v>1.3684005816312</v>
      </c>
      <c r="L53" t="n">
        <v>2.43671395370151</v>
      </c>
      <c r="M53" t="n">
        <v>0.982641442195194</v>
      </c>
      <c r="N53" t="n">
        <v>1.82983738397588</v>
      </c>
      <c r="O53" t="n">
        <v>2.2490241011743</v>
      </c>
      <c r="P53" t="n">
        <v>1.91816302774937</v>
      </c>
      <c r="Q53" t="n">
        <v>1.27057639734248</v>
      </c>
      <c r="R53" t="n">
        <v>-0.438791103557319</v>
      </c>
      <c r="S53" t="n">
        <v>0.448322853172888</v>
      </c>
      <c r="T53" t="n">
        <v>-1.16297377071194</v>
      </c>
      <c r="U53" t="n">
        <v>-1.09375334725939</v>
      </c>
      <c r="V53" t="n">
        <v>-1.14189557586775</v>
      </c>
      <c r="W53" t="n">
        <v>-0.887192216798771</v>
      </c>
      <c r="X53" t="n">
        <v>-0.660078479742785</v>
      </c>
      <c r="Y53" t="n">
        <v>-0.616203611667403</v>
      </c>
      <c r="Z53" t="n">
        <v>-0.528306488025272</v>
      </c>
      <c r="AA53" t="n">
        <v>-1.30209234735663</v>
      </c>
      <c r="AB53" t="n">
        <v>-1.31142966642227</v>
      </c>
      <c r="AC53" t="n">
        <v>-0.538768229144989</v>
      </c>
      <c r="AD53" t="n">
        <v>-0.881533835855583</v>
      </c>
      <c r="AE53" t="n">
        <v>-2.69045192192084</v>
      </c>
      <c r="AF53"/>
    </row>
    <row r="54">
      <c r="A54" t="s">
        <v>212</v>
      </c>
      <c r="B54" t="s">
        <v>283</v>
      </c>
      <c r="C54" t="s">
        <v>213</v>
      </c>
      <c r="D54" t="s">
        <v>284</v>
      </c>
      <c r="E54" t="s">
        <v>31</v>
      </c>
      <c r="F54" t="n">
        <v>0.763123160637702</v>
      </c>
      <c r="G54" t="n">
        <v>0.892138988880028</v>
      </c>
      <c r="H54" t="n">
        <v>0.965211114158445</v>
      </c>
      <c r="I54" t="n">
        <v>0.418393445173295</v>
      </c>
      <c r="J54" t="n">
        <v>0.619251768427259</v>
      </c>
      <c r="K54" t="n">
        <v>0.881748591942868</v>
      </c>
      <c r="L54" t="n">
        <v>1.04195579729987</v>
      </c>
      <c r="M54" t="n">
        <v>0.269120951676491</v>
      </c>
      <c r="N54" t="n">
        <v>0.7681476076837</v>
      </c>
      <c r="O54" t="n">
        <v>1.18423636794811</v>
      </c>
      <c r="P54" t="n">
        <v>0.929636229290466</v>
      </c>
      <c r="Q54" t="n">
        <v>0.489667645412209</v>
      </c>
      <c r="R54" t="n">
        <v>-0.107956624120137</v>
      </c>
      <c r="S54" t="n">
        <v>0.298975368890905</v>
      </c>
      <c r="T54" t="n">
        <v>-0.545968142302565</v>
      </c>
      <c r="U54" t="n">
        <v>-0.467354347967512</v>
      </c>
      <c r="V54" t="n">
        <v>-0.558254814084412</v>
      </c>
      <c r="W54" t="n">
        <v>-0.486005472264037</v>
      </c>
      <c r="X54" t="n">
        <v>-0.221280538608856</v>
      </c>
      <c r="Y54" t="n">
        <v>-0.296861352233396</v>
      </c>
      <c r="Z54" t="n">
        <v>-0.300548905790742</v>
      </c>
      <c r="AA54" t="n">
        <v>-0.624962680945551</v>
      </c>
      <c r="AB54" t="n">
        <v>-0.530373855587003</v>
      </c>
      <c r="AC54" t="n">
        <v>-0.269101689099168</v>
      </c>
      <c r="AD54" t="n">
        <v>-0.442472722302784</v>
      </c>
      <c r="AE54" t="n">
        <v>-0.865966436390585</v>
      </c>
      <c r="AF54"/>
    </row>
    <row r="55">
      <c r="A55" t="s">
        <v>214</v>
      </c>
      <c r="B55" t="s">
        <v>283</v>
      </c>
      <c r="C55" t="s">
        <v>215</v>
      </c>
      <c r="D55" t="s">
        <v>284</v>
      </c>
      <c r="E55" t="s">
        <v>31</v>
      </c>
      <c r="F55" t="n">
        <v>0.414484212441328</v>
      </c>
      <c r="G55" t="n">
        <v>0.515210173164976</v>
      </c>
      <c r="H55" t="n">
        <v>0.472519961979495</v>
      </c>
      <c r="I55" t="n">
        <v>0.215987041552659</v>
      </c>
      <c r="J55" t="n">
        <v>0.607210396373573</v>
      </c>
      <c r="K55" t="n">
        <v>0.619077093182358</v>
      </c>
      <c r="L55" t="n">
        <v>0.305710963962054</v>
      </c>
      <c r="M55" t="n">
        <v>-0.102063850503828</v>
      </c>
      <c r="N55" t="n">
        <v>0.213333483489784</v>
      </c>
      <c r="O55" t="n">
        <v>0.628403597152939</v>
      </c>
      <c r="P55" t="n">
        <v>0.425809470308127</v>
      </c>
      <c r="Q55" t="n">
        <v>0.101867909811599</v>
      </c>
      <c r="R55" t="n">
        <v>0.0542773771610582</v>
      </c>
      <c r="S55" t="n">
        <v>0.228496728033844</v>
      </c>
      <c r="T55" t="n">
        <v>-0.241235766875764</v>
      </c>
      <c r="U55" t="n">
        <v>-0.160085219636672</v>
      </c>
      <c r="V55" t="n">
        <v>-0.276556398932268</v>
      </c>
      <c r="W55" t="n">
        <v>-0.289726758419374</v>
      </c>
      <c r="X55" t="n">
        <v>0.000326157333939518</v>
      </c>
      <c r="Y55" t="n">
        <v>-0.125238802773043</v>
      </c>
      <c r="Z55" t="n">
        <v>-0.172779783437299</v>
      </c>
      <c r="AA55" t="n">
        <v>-0.239807700841369</v>
      </c>
      <c r="AB55" t="n">
        <v>-0.0863107387120504</v>
      </c>
      <c r="AC55" t="n">
        <v>-0.117078512736595</v>
      </c>
      <c r="AD55" t="n">
        <v>-0.204928680472072</v>
      </c>
      <c r="AE55" t="n">
        <v>0.109555675910401</v>
      </c>
      <c r="AF55"/>
    </row>
    <row r="56">
      <c r="A56" t="s">
        <v>216</v>
      </c>
      <c r="B56" t="s">
        <v>283</v>
      </c>
      <c r="C56" t="s">
        <v>217</v>
      </c>
      <c r="D56" t="s">
        <v>284</v>
      </c>
      <c r="E56" t="s">
        <v>31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283</v>
      </c>
      <c r="C57" t="s">
        <v>219</v>
      </c>
      <c r="D57" t="s">
        <v>284</v>
      </c>
      <c r="E57" t="s">
        <v>31</v>
      </c>
      <c r="F57" t="n">
        <v>0.723863221721851</v>
      </c>
      <c r="G57" t="n">
        <v>0.796097232942189</v>
      </c>
      <c r="H57" t="n">
        <v>0.633400212526415</v>
      </c>
      <c r="I57" t="n">
        <v>0.34121132824603</v>
      </c>
      <c r="J57" t="n">
        <v>0.267990391277063</v>
      </c>
      <c r="K57" t="n">
        <v>0.298199271786093</v>
      </c>
      <c r="L57" t="n">
        <v>0.237415452192442</v>
      </c>
      <c r="M57" t="n">
        <v>0.0407402213059904</v>
      </c>
      <c r="N57" t="n">
        <v>0.0477875215593345</v>
      </c>
      <c r="O57" t="n">
        <v>0.0993053457182504</v>
      </c>
      <c r="P57" t="n">
        <v>0.223815096397387</v>
      </c>
      <c r="Q57" t="n">
        <v>0.233370615901355</v>
      </c>
      <c r="R57" t="n">
        <v>0.161061231526043</v>
      </c>
      <c r="S57" t="n">
        <v>0.0195911692020002</v>
      </c>
      <c r="T57" t="n">
        <v>-0.352434500372979</v>
      </c>
      <c r="U57" t="n">
        <v>-0.33492623213719</v>
      </c>
      <c r="V57" t="n">
        <v>-0.231631652270258</v>
      </c>
      <c r="W57" t="n">
        <v>-0.0640888607269859</v>
      </c>
      <c r="X57" t="n">
        <v>-0.030994578474959</v>
      </c>
      <c r="Y57" t="n">
        <v>0.0489527555908661</v>
      </c>
      <c r="Z57" t="n">
        <v>0.114153651568273</v>
      </c>
      <c r="AA57" t="n">
        <v>0.0843399271734584</v>
      </c>
      <c r="AB57" t="n">
        <v>0.141598631900616</v>
      </c>
      <c r="AC57" t="n">
        <v>0.164855084423777</v>
      </c>
      <c r="AD57" t="n">
        <v>0.141916184827528</v>
      </c>
      <c r="AE57" t="n">
        <v>-0.017774036647827</v>
      </c>
      <c r="AF57"/>
    </row>
    <row r="58">
      <c r="A58" t="s">
        <v>220</v>
      </c>
      <c r="B58" t="s">
        <v>283</v>
      </c>
      <c r="C58" t="s">
        <v>221</v>
      </c>
      <c r="D58" t="s">
        <v>284</v>
      </c>
      <c r="E58" t="s">
        <v>31</v>
      </c>
      <c r="F58" t="n">
        <v>0.723952833179351</v>
      </c>
      <c r="G58" t="n">
        <v>0.796194167793866</v>
      </c>
      <c r="H58" t="n">
        <v>0.633475070856909</v>
      </c>
      <c r="I58" t="n">
        <v>0.341251222899836</v>
      </c>
      <c r="J58" t="n">
        <v>0.268020707765678</v>
      </c>
      <c r="K58" t="n">
        <v>0.298230932941705</v>
      </c>
      <c r="L58" t="n">
        <v>0.237439940993826</v>
      </c>
      <c r="M58" t="n">
        <v>0.0407443006393381</v>
      </c>
      <c r="N58" t="n">
        <v>0.0477919991119818</v>
      </c>
      <c r="O58" t="n">
        <v>0.0993140966654226</v>
      </c>
      <c r="P58" t="n">
        <v>0.223834320205757</v>
      </c>
      <c r="Q58" t="n">
        <v>0.233391069759617</v>
      </c>
      <c r="R58" t="n">
        <v>0.161075561407071</v>
      </c>
      <c r="S58" t="n">
        <v>0.0195929316612247</v>
      </c>
      <c r="T58" t="n">
        <v>-0.352467485405425</v>
      </c>
      <c r="U58" t="n">
        <v>-0.334959137750328</v>
      </c>
      <c r="V58" t="n">
        <v>-0.231655835397032</v>
      </c>
      <c r="W58" t="n">
        <v>-0.0640961651883969</v>
      </c>
      <c r="X58" t="n">
        <v>-0.0309985234915125</v>
      </c>
      <c r="Y58" t="n">
        <v>0.0489598318806553</v>
      </c>
      <c r="Z58" t="n">
        <v>0.114171346870103</v>
      </c>
      <c r="AA58" t="n">
        <v>0.0843526343881239</v>
      </c>
      <c r="AB58" t="n">
        <v>0.141619014756021</v>
      </c>
      <c r="AC58" t="n">
        <v>0.164878606727745</v>
      </c>
      <c r="AD58" t="n">
        <v>0.141936429883914</v>
      </c>
      <c r="AE58" t="n">
        <v>-0.017776539012238</v>
      </c>
      <c r="AF58"/>
    </row>
    <row r="59">
      <c r="A59" t="s">
        <v>222</v>
      </c>
      <c r="B59" t="s">
        <v>283</v>
      </c>
      <c r="C59" t="s">
        <v>223</v>
      </c>
      <c r="D59" t="s">
        <v>284</v>
      </c>
      <c r="E59" t="s">
        <v>31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283</v>
      </c>
      <c r="C2" t="s">
        <v>108</v>
      </c>
      <c r="D2" t="s">
        <v>284</v>
      </c>
      <c r="E2" t="s">
        <v>33</v>
      </c>
      <c r="F2" t="n">
        <v>0.662776892303425</v>
      </c>
      <c r="G2" t="n">
        <v>0.47309948449874</v>
      </c>
      <c r="H2" t="n">
        <v>0.409667718369879</v>
      </c>
      <c r="I2" t="n">
        <v>0.374304997188804</v>
      </c>
      <c r="J2" t="n">
        <v>0.145839955887961</v>
      </c>
      <c r="K2" t="n">
        <v>-0.136379944122127</v>
      </c>
      <c r="L2" t="n">
        <v>-0.119851211709378</v>
      </c>
      <c r="M2" t="n">
        <v>-0.148485910105004</v>
      </c>
      <c r="N2" t="n">
        <v>-0.147112204442487</v>
      </c>
      <c r="O2" t="n">
        <v>-0.109804361020295</v>
      </c>
      <c r="P2" t="n">
        <v>-0.130102488209597</v>
      </c>
      <c r="Q2" t="n">
        <v>-0.103388842275481</v>
      </c>
      <c r="R2" t="n">
        <v>-0.0540603284487813</v>
      </c>
      <c r="S2" t="n">
        <v>-0.0387015805065363</v>
      </c>
      <c r="T2" t="n">
        <v>-0.0241049534746083</v>
      </c>
      <c r="U2" t="n">
        <v>0.0172646370376849</v>
      </c>
      <c r="V2" t="n">
        <v>0.0297024060237811</v>
      </c>
      <c r="W2" t="n">
        <v>0.00681794795679293</v>
      </c>
      <c r="X2" t="n">
        <v>0.0302079337748743</v>
      </c>
      <c r="Y2" t="n">
        <v>0.00730425039364677</v>
      </c>
      <c r="Z2" t="n">
        <v>0.0169490843013628</v>
      </c>
      <c r="AA2" t="n">
        <v>-0.0260895365406178</v>
      </c>
      <c r="AB2" t="n">
        <v>0.0303578280621059</v>
      </c>
      <c r="AC2" t="n">
        <v>-0.0100191419973599</v>
      </c>
      <c r="AD2" t="n">
        <v>-0.00829407410317854</v>
      </c>
      <c r="AE2" t="n">
        <v>0.00789582039782231</v>
      </c>
      <c r="AF2"/>
    </row>
    <row r="3">
      <c r="A3" t="s">
        <v>110</v>
      </c>
      <c r="B3" t="s">
        <v>283</v>
      </c>
      <c r="C3" t="s">
        <v>111</v>
      </c>
      <c r="D3" t="s">
        <v>284</v>
      </c>
      <c r="E3" t="s">
        <v>33</v>
      </c>
      <c r="F3" t="n">
        <v>0.277537767129142</v>
      </c>
      <c r="G3" t="n">
        <v>0.133457022903997</v>
      </c>
      <c r="H3" t="n">
        <v>0.132578145356037</v>
      </c>
      <c r="I3" t="n">
        <v>0.108660845154586</v>
      </c>
      <c r="J3" t="n">
        <v>0.00141336543709429</v>
      </c>
      <c r="K3" t="n">
        <v>0.0569926573991276</v>
      </c>
      <c r="L3" t="n">
        <v>-0.00968977532062821</v>
      </c>
      <c r="M3" t="n">
        <v>0.126571239411256</v>
      </c>
      <c r="N3" t="n">
        <v>-0.0311189501494618</v>
      </c>
      <c r="O3" t="n">
        <v>-0.0333529285219247</v>
      </c>
      <c r="P3" t="n">
        <v>-0.00365892940378918</v>
      </c>
      <c r="Q3" t="n">
        <v>0.0325544312807355</v>
      </c>
      <c r="R3" t="n">
        <v>0.192159124926811</v>
      </c>
      <c r="S3" t="n">
        <v>0.182682534133063</v>
      </c>
      <c r="T3" t="n">
        <v>0.0992992471373181</v>
      </c>
      <c r="U3" t="n">
        <v>0.0572483534418321</v>
      </c>
      <c r="V3" t="n">
        <v>-0.0278775464078151</v>
      </c>
      <c r="W3" t="n">
        <v>-0.0579619399323274</v>
      </c>
      <c r="X3" t="n">
        <v>0.0593535430944471</v>
      </c>
      <c r="Y3" t="n">
        <v>0.088824537706519</v>
      </c>
      <c r="Z3" t="n">
        <v>0.0198669531532217</v>
      </c>
      <c r="AA3" t="n">
        <v>-0.0370875159747169</v>
      </c>
      <c r="AB3" t="n">
        <v>0.0483683787838854</v>
      </c>
      <c r="AC3" t="n">
        <v>-0.0411332233480291</v>
      </c>
      <c r="AD3" t="n">
        <v>-0.0351602538407249</v>
      </c>
      <c r="AE3" t="n">
        <v>-0.0299669574497057</v>
      </c>
      <c r="AF3"/>
    </row>
    <row r="4">
      <c r="A4" t="s">
        <v>112</v>
      </c>
      <c r="B4" t="s">
        <v>283</v>
      </c>
      <c r="C4" t="s">
        <v>113</v>
      </c>
      <c r="D4" t="s">
        <v>284</v>
      </c>
      <c r="E4" t="s">
        <v>33</v>
      </c>
      <c r="F4" t="n">
        <v>0.747106344663262</v>
      </c>
      <c r="G4" t="n">
        <v>0.718526913715521</v>
      </c>
      <c r="H4" t="n">
        <v>0.480723956932945</v>
      </c>
      <c r="I4" t="n">
        <v>0.337231667801835</v>
      </c>
      <c r="J4" t="n">
        <v>0.15484552792053</v>
      </c>
      <c r="K4" t="n">
        <v>0.209224092284544</v>
      </c>
      <c r="L4" t="n">
        <v>0.177718866134502</v>
      </c>
      <c r="M4" t="n">
        <v>-0.104024745066129</v>
      </c>
      <c r="N4" t="n">
        <v>-0.0308606543142758</v>
      </c>
      <c r="O4" t="n">
        <v>0.0282660832126108</v>
      </c>
      <c r="P4" t="n">
        <v>0.164199905690587</v>
      </c>
      <c r="Q4" t="n">
        <v>-0.0289804996832089</v>
      </c>
      <c r="R4" t="n">
        <v>0.230232895351124</v>
      </c>
      <c r="S4" t="n">
        <v>0.243729152905351</v>
      </c>
      <c r="T4" t="n">
        <v>-0.0440001016481772</v>
      </c>
      <c r="U4" t="n">
        <v>0.059197012892229</v>
      </c>
      <c r="V4" t="n">
        <v>0.068157647399553</v>
      </c>
      <c r="W4" t="n">
        <v>0.0469168643870801</v>
      </c>
      <c r="X4" t="n">
        <v>0.0124594954434234</v>
      </c>
      <c r="Y4" t="n">
        <v>0.0372365144219677</v>
      </c>
      <c r="Z4" t="n">
        <v>0.0279278036236693</v>
      </c>
      <c r="AA4" t="n">
        <v>0.00144929458270855</v>
      </c>
      <c r="AB4" t="n">
        <v>0.0169120701639872</v>
      </c>
      <c r="AC4" t="n">
        <v>0.044826213504361</v>
      </c>
      <c r="AD4" t="n">
        <v>0.0435091055323731</v>
      </c>
      <c r="AE4" t="n">
        <v>0.0429154379900455</v>
      </c>
      <c r="AF4"/>
    </row>
    <row r="5">
      <c r="A5" t="s">
        <v>114</v>
      </c>
      <c r="B5" t="s">
        <v>283</v>
      </c>
      <c r="C5" t="s">
        <v>115</v>
      </c>
      <c r="D5" t="s">
        <v>284</v>
      </c>
      <c r="E5" t="s">
        <v>33</v>
      </c>
      <c r="F5" t="n">
        <v>0.451929499544534</v>
      </c>
      <c r="G5" t="n">
        <v>0.465720047087639</v>
      </c>
      <c r="H5" t="n">
        <v>0.361528159149041</v>
      </c>
      <c r="I5" t="n">
        <v>0.219579455275002</v>
      </c>
      <c r="J5" t="n">
        <v>0.14721800949258</v>
      </c>
      <c r="K5" t="n">
        <v>0.107476989730276</v>
      </c>
      <c r="L5" t="n">
        <v>0.11563025779441</v>
      </c>
      <c r="M5" t="n">
        <v>0.204961783828096</v>
      </c>
      <c r="N5" t="n">
        <v>0.0747039269584514</v>
      </c>
      <c r="O5" t="n">
        <v>0.191340410116172</v>
      </c>
      <c r="P5" t="n">
        <v>0.366175476452871</v>
      </c>
      <c r="Q5" t="n">
        <v>0.0556504146280017</v>
      </c>
      <c r="R5" t="n">
        <v>0.253401831080507</v>
      </c>
      <c r="S5" t="n">
        <v>0.15252244437131</v>
      </c>
      <c r="T5" t="n">
        <v>0.0680467502989718</v>
      </c>
      <c r="U5" t="n">
        <v>0.156273351234503</v>
      </c>
      <c r="V5" t="n">
        <v>0.166526025692915</v>
      </c>
      <c r="W5" t="n">
        <v>0.0319267487652513</v>
      </c>
      <c r="X5" t="n">
        <v>-0.0137059047547925</v>
      </c>
      <c r="Y5" t="n">
        <v>0.0449077985793369</v>
      </c>
      <c r="Z5" t="n">
        <v>0.000988578902289629</v>
      </c>
      <c r="AA5" t="n">
        <v>0.00906795410441515</v>
      </c>
      <c r="AB5" t="n">
        <v>0.0916800533684993</v>
      </c>
      <c r="AC5" t="n">
        <v>0.0640331955068504</v>
      </c>
      <c r="AD5" t="n">
        <v>0.0359801653947074</v>
      </c>
      <c r="AE5" t="n">
        <v>0.00763977122904416</v>
      </c>
      <c r="AF5"/>
    </row>
    <row r="6">
      <c r="A6" t="s">
        <v>116</v>
      </c>
      <c r="B6" t="s">
        <v>283</v>
      </c>
      <c r="C6" t="s">
        <v>117</v>
      </c>
      <c r="D6" t="s">
        <v>284</v>
      </c>
      <c r="E6" t="s">
        <v>33</v>
      </c>
      <c r="F6" t="n">
        <v>0.101102680545468</v>
      </c>
      <c r="G6" t="n">
        <v>0.092067805105973</v>
      </c>
      <c r="H6" t="n">
        <v>0.085749109087447</v>
      </c>
      <c r="I6" t="n">
        <v>0.0365077057703318</v>
      </c>
      <c r="J6" t="n">
        <v>-0.0182157360655583</v>
      </c>
      <c r="K6" t="n">
        <v>0.040954698520138</v>
      </c>
      <c r="L6" t="n">
        <v>0.0488001339848337</v>
      </c>
      <c r="M6" t="n">
        <v>0.0146652788206577</v>
      </c>
      <c r="N6" t="n">
        <v>-0.0893636014712803</v>
      </c>
      <c r="O6" t="n">
        <v>-0.0306014749536583</v>
      </c>
      <c r="P6" t="n">
        <v>0.088870253234749</v>
      </c>
      <c r="Q6" t="n">
        <v>-0.0347960435242436</v>
      </c>
      <c r="R6" t="n">
        <v>0.157033455980799</v>
      </c>
      <c r="S6" t="n">
        <v>0.235979161318247</v>
      </c>
      <c r="T6" t="n">
        <v>-0.014718251923877</v>
      </c>
      <c r="U6" t="n">
        <v>0.150364744396203</v>
      </c>
      <c r="V6" t="n">
        <v>0.100316612576135</v>
      </c>
      <c r="W6" t="n">
        <v>-0.0800418450528134</v>
      </c>
      <c r="X6" t="n">
        <v>-0.0203210430241261</v>
      </c>
      <c r="Y6" t="n">
        <v>-0.0267047728399439</v>
      </c>
      <c r="Z6" t="n">
        <v>-0.0227481013857098</v>
      </c>
      <c r="AA6" t="n">
        <v>-0.0589746959689774</v>
      </c>
      <c r="AB6" t="n">
        <v>-0.0378039643484069</v>
      </c>
      <c r="AC6" t="n">
        <v>-0.0347733160147985</v>
      </c>
      <c r="AD6" t="n">
        <v>0.0665104507479389</v>
      </c>
      <c r="AE6" t="n">
        <v>-0.00179712791668509</v>
      </c>
      <c r="AF6"/>
    </row>
    <row r="7">
      <c r="A7" t="s">
        <v>118</v>
      </c>
      <c r="B7" t="s">
        <v>283</v>
      </c>
      <c r="C7" t="s">
        <v>119</v>
      </c>
      <c r="D7" t="s">
        <v>284</v>
      </c>
      <c r="E7" t="s">
        <v>33</v>
      </c>
      <c r="F7" t="n">
        <v>0.406318743929737</v>
      </c>
      <c r="G7" t="n">
        <v>0.43603516159595</v>
      </c>
      <c r="H7" t="n">
        <v>0.320554196333981</v>
      </c>
      <c r="I7" t="n">
        <v>0.164963171621332</v>
      </c>
      <c r="J7" t="n">
        <v>0.0351482463438702</v>
      </c>
      <c r="K7" t="n">
        <v>0.0832992488782049</v>
      </c>
      <c r="L7" t="n">
        <v>0.114158084733732</v>
      </c>
      <c r="M7" t="n">
        <v>0.0142719147144463</v>
      </c>
      <c r="N7" t="n">
        <v>0.0357360584070368</v>
      </c>
      <c r="O7" t="n">
        <v>-0.0246277329571483</v>
      </c>
      <c r="P7" t="n">
        <v>0.185437482095246</v>
      </c>
      <c r="Q7" t="n">
        <v>0.056991804034119</v>
      </c>
      <c r="R7" t="n">
        <v>0.28560303585964</v>
      </c>
      <c r="S7" t="n">
        <v>0.181883972079389</v>
      </c>
      <c r="T7" t="n">
        <v>0.00718082884091646</v>
      </c>
      <c r="U7" t="n">
        <v>0.141523091408862</v>
      </c>
      <c r="V7" t="n">
        <v>-0.00753547629037666</v>
      </c>
      <c r="W7" t="n">
        <v>-0.0605225322684012</v>
      </c>
      <c r="X7" t="n">
        <v>0.00753661822618084</v>
      </c>
      <c r="Y7" t="n">
        <v>-0.000808300359405479</v>
      </c>
      <c r="Z7" t="n">
        <v>0.00606385651013991</v>
      </c>
      <c r="AA7" t="n">
        <v>-0.0435919891580068</v>
      </c>
      <c r="AB7" t="n">
        <v>-0.0479641054781727</v>
      </c>
      <c r="AC7" t="n">
        <v>-0.0110892197085665</v>
      </c>
      <c r="AD7" t="n">
        <v>-0.00137956579369161</v>
      </c>
      <c r="AE7" t="n">
        <v>0.0642849005182858</v>
      </c>
      <c r="AF7"/>
    </row>
    <row r="8">
      <c r="A8" t="s">
        <v>120</v>
      </c>
      <c r="B8" t="s">
        <v>283</v>
      </c>
      <c r="C8" t="s">
        <v>121</v>
      </c>
      <c r="D8" t="s">
        <v>284</v>
      </c>
      <c r="E8" t="s">
        <v>33</v>
      </c>
      <c r="F8" t="n">
        <v>0.717350288215596</v>
      </c>
      <c r="G8" t="n">
        <v>0.989798981831107</v>
      </c>
      <c r="H8" t="n">
        <v>-0.0820873706839109</v>
      </c>
      <c r="I8" t="n">
        <v>-0.0365273745386812</v>
      </c>
      <c r="J8" t="n">
        <v>0.0728240061787069</v>
      </c>
      <c r="K8" t="n">
        <v>-0.255772088892958</v>
      </c>
      <c r="L8" t="n">
        <v>-0.28732576741412</v>
      </c>
      <c r="M8" t="n">
        <v>0.0418494293673346</v>
      </c>
      <c r="N8" t="n">
        <v>0.0454487116094601</v>
      </c>
      <c r="O8" t="n">
        <v>0.0841519348902436</v>
      </c>
      <c r="P8" t="n">
        <v>0.00241707300452239</v>
      </c>
      <c r="Q8" t="n">
        <v>0.0657416670164742</v>
      </c>
      <c r="R8" t="n">
        <v>0.137589293840088</v>
      </c>
      <c r="S8" t="n">
        <v>0.354931622692748</v>
      </c>
      <c r="T8" t="n">
        <v>0.0532491784696919</v>
      </c>
      <c r="U8" t="n">
        <v>-0.040664438664486</v>
      </c>
      <c r="V8" t="n">
        <v>-0.170474633164466</v>
      </c>
      <c r="W8" t="n">
        <v>-0.0310613929906819</v>
      </c>
      <c r="X8" t="n">
        <v>0.0445521514380781</v>
      </c>
      <c r="Y8" t="n">
        <v>0.0717471190353359</v>
      </c>
      <c r="Z8" t="n">
        <v>0.120632361216149</v>
      </c>
      <c r="AA8" t="n">
        <v>-0.0238359446371537</v>
      </c>
      <c r="AB8" t="n">
        <v>0.04556113942712</v>
      </c>
      <c r="AC8" t="n">
        <v>-0.00826844817250967</v>
      </c>
      <c r="AD8" t="n">
        <v>-0.0354786498610837</v>
      </c>
      <c r="AE8" t="n">
        <v>0.125565531892257</v>
      </c>
      <c r="AF8"/>
    </row>
    <row r="9">
      <c r="A9" t="s">
        <v>122</v>
      </c>
      <c r="B9" t="s">
        <v>283</v>
      </c>
      <c r="C9" t="s">
        <v>123</v>
      </c>
      <c r="D9" t="s">
        <v>284</v>
      </c>
      <c r="E9" t="s">
        <v>33</v>
      </c>
      <c r="F9" t="n">
        <v>0.966888978445625</v>
      </c>
      <c r="G9" t="n">
        <v>1.06798649492319</v>
      </c>
      <c r="H9" t="n">
        <v>0.690371373317853</v>
      </c>
      <c r="I9" t="n">
        <v>0.49001477932163</v>
      </c>
      <c r="J9" t="n">
        <v>0.104908887211978</v>
      </c>
      <c r="K9" t="n">
        <v>-0.00330104527025551</v>
      </c>
      <c r="L9" t="n">
        <v>0.0953424518317634</v>
      </c>
      <c r="M9" t="n">
        <v>-0.0661724993676577</v>
      </c>
      <c r="N9" t="n">
        <v>-0.0282897442464404</v>
      </c>
      <c r="O9" t="n">
        <v>-0.100283110977967</v>
      </c>
      <c r="P9" t="n">
        <v>0.112329324286642</v>
      </c>
      <c r="Q9" t="n">
        <v>-0.138623466716368</v>
      </c>
      <c r="R9" t="n">
        <v>0.198607372639407</v>
      </c>
      <c r="S9" t="n">
        <v>0.299449541183575</v>
      </c>
      <c r="T9" t="n">
        <v>-0.0642854732840621</v>
      </c>
      <c r="U9" t="n">
        <v>0.0587592351203578</v>
      </c>
      <c r="V9" t="n">
        <v>0.0677973717859801</v>
      </c>
      <c r="W9" t="n">
        <v>-0.0443399033181913</v>
      </c>
      <c r="X9" t="n">
        <v>-0.0487039386530115</v>
      </c>
      <c r="Y9" t="n">
        <v>-0.00591214169022303</v>
      </c>
      <c r="Z9" t="n">
        <v>-0.0219158656827909</v>
      </c>
      <c r="AA9" t="n">
        <v>-0.0658412644197079</v>
      </c>
      <c r="AB9" t="n">
        <v>-0.0170492996247283</v>
      </c>
      <c r="AC9" t="n">
        <v>0.0598179162276793</v>
      </c>
      <c r="AD9" t="n">
        <v>0.142082892688322</v>
      </c>
      <c r="AE9" t="n">
        <v>0.0885822057446206</v>
      </c>
      <c r="AF9"/>
    </row>
    <row r="10">
      <c r="A10" t="s">
        <v>124</v>
      </c>
      <c r="B10" t="s">
        <v>283</v>
      </c>
      <c r="C10" t="s">
        <v>125</v>
      </c>
      <c r="D10" t="s">
        <v>284</v>
      </c>
      <c r="E10" t="s">
        <v>33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283</v>
      </c>
      <c r="C11" t="s">
        <v>127</v>
      </c>
      <c r="D11" t="s">
        <v>284</v>
      </c>
      <c r="E11" t="s">
        <v>33</v>
      </c>
      <c r="F11" t="n">
        <v>1.18427088432259</v>
      </c>
      <c r="G11" t="n">
        <v>1.22105784214911</v>
      </c>
      <c r="H11" t="n">
        <v>1.0805913862229</v>
      </c>
      <c r="I11" t="n">
        <v>0.561706486866325</v>
      </c>
      <c r="J11" t="n">
        <v>0.442368337627526</v>
      </c>
      <c r="K11" t="n">
        <v>0.310646583766899</v>
      </c>
      <c r="L11" t="n">
        <v>0.396618521565365</v>
      </c>
      <c r="M11" t="n">
        <v>0.160978344437695</v>
      </c>
      <c r="N11" t="n">
        <v>0.216906000099391</v>
      </c>
      <c r="O11" t="n">
        <v>0.0317834436207473</v>
      </c>
      <c r="P11" t="n">
        <v>0.0988550822030548</v>
      </c>
      <c r="Q11" t="n">
        <v>-0.0807712836248835</v>
      </c>
      <c r="R11" t="n">
        <v>0.149154213777867</v>
      </c>
      <c r="S11" t="n">
        <v>0.201111259533746</v>
      </c>
      <c r="T11" t="n">
        <v>0.0602136040273728</v>
      </c>
      <c r="U11" t="n">
        <v>0.0775469619649922</v>
      </c>
      <c r="V11" t="n">
        <v>0.150402920373659</v>
      </c>
      <c r="W11" t="n">
        <v>0.43343417420961</v>
      </c>
      <c r="X11" t="n">
        <v>0.312885277702197</v>
      </c>
      <c r="Y11" t="n">
        <v>0.206510095250243</v>
      </c>
      <c r="Z11" t="n">
        <v>0.00434725040994355</v>
      </c>
      <c r="AA11" t="n">
        <v>0.110031672325448</v>
      </c>
      <c r="AB11" t="n">
        <v>0.044970988103831</v>
      </c>
      <c r="AC11" t="n">
        <v>0.0344751063421579</v>
      </c>
      <c r="AD11" t="n">
        <v>0.058651588846348</v>
      </c>
      <c r="AE11" t="n">
        <v>0.182572130697405</v>
      </c>
      <c r="AF11"/>
    </row>
    <row r="12">
      <c r="A12" t="s">
        <v>128</v>
      </c>
      <c r="B12" t="s">
        <v>283</v>
      </c>
      <c r="C12" t="s">
        <v>129</v>
      </c>
      <c r="D12" t="s">
        <v>284</v>
      </c>
      <c r="E12" t="s">
        <v>33</v>
      </c>
      <c r="F12" t="n">
        <v>0.454628547961518</v>
      </c>
      <c r="G12" t="n">
        <v>0.424216042826916</v>
      </c>
      <c r="H12" t="n">
        <v>0.337848599835152</v>
      </c>
      <c r="I12" t="n">
        <v>0.242823432275938</v>
      </c>
      <c r="J12" t="n">
        <v>0.0778141962732114</v>
      </c>
      <c r="K12" t="n">
        <v>0.179654772745492</v>
      </c>
      <c r="L12" t="n">
        <v>0.190853876691807</v>
      </c>
      <c r="M12" t="n">
        <v>-0.0415373373148235</v>
      </c>
      <c r="N12" t="n">
        <v>0.123803261669958</v>
      </c>
      <c r="O12" t="n">
        <v>0.110980796930447</v>
      </c>
      <c r="P12" t="n">
        <v>0.14643665399232</v>
      </c>
      <c r="Q12" t="n">
        <v>0.0568330325753797</v>
      </c>
      <c r="R12" t="n">
        <v>0.207240257097946</v>
      </c>
      <c r="S12" t="n">
        <v>0.157023482295264</v>
      </c>
      <c r="T12" t="n">
        <v>0.00611307036699554</v>
      </c>
      <c r="U12" t="n">
        <v>0.0671279973295112</v>
      </c>
      <c r="V12" t="n">
        <v>0.00515341939053951</v>
      </c>
      <c r="W12" t="n">
        <v>-0.0154614584497048</v>
      </c>
      <c r="X12" t="n">
        <v>0.0138192265517473</v>
      </c>
      <c r="Y12" t="n">
        <v>0.016855684578714</v>
      </c>
      <c r="Z12" t="n">
        <v>0.00376960125991423</v>
      </c>
      <c r="AA12" t="n">
        <v>-0.0301312461596646</v>
      </c>
      <c r="AB12" t="n">
        <v>0.0000668608748893629</v>
      </c>
      <c r="AC12" t="n">
        <v>0.0427130315950932</v>
      </c>
      <c r="AD12" t="n">
        <v>0.03934994779595</v>
      </c>
      <c r="AE12" t="n">
        <v>0.0588546028055442</v>
      </c>
      <c r="AF12"/>
    </row>
    <row r="13">
      <c r="A13" t="s">
        <v>130</v>
      </c>
      <c r="B13" t="s">
        <v>283</v>
      </c>
      <c r="C13" t="s">
        <v>131</v>
      </c>
      <c r="D13" t="s">
        <v>284</v>
      </c>
      <c r="E13" t="s">
        <v>33</v>
      </c>
      <c r="F13" t="n">
        <v>0.406175821269882</v>
      </c>
      <c r="G13" t="n">
        <v>0.447215185357962</v>
      </c>
      <c r="H13" t="n">
        <v>0.244986279099634</v>
      </c>
      <c r="I13" t="n">
        <v>0.0923743250706426</v>
      </c>
      <c r="J13" t="n">
        <v>0.0837951779992793</v>
      </c>
      <c r="K13" t="n">
        <v>0.178399102055118</v>
      </c>
      <c r="L13" t="n">
        <v>0.186429329785397</v>
      </c>
      <c r="M13" t="n">
        <v>-0.0616347229808669</v>
      </c>
      <c r="N13" t="n">
        <v>-0.138225292859475</v>
      </c>
      <c r="O13" t="n">
        <v>-0.0226303733464736</v>
      </c>
      <c r="P13" t="n">
        <v>0.0742371780489885</v>
      </c>
      <c r="Q13" t="n">
        <v>-0.0119268181283214</v>
      </c>
      <c r="R13" t="n">
        <v>0.264779933471275</v>
      </c>
      <c r="S13" t="n">
        <v>0.264972856026574</v>
      </c>
      <c r="T13" t="n">
        <v>0.0232582292326183</v>
      </c>
      <c r="U13" t="n">
        <v>0.0722262874233945</v>
      </c>
      <c r="V13" t="n">
        <v>0.0547080875099635</v>
      </c>
      <c r="W13" t="n">
        <v>0.0161788526252042</v>
      </c>
      <c r="X13" t="n">
        <v>-0.0313995169140965</v>
      </c>
      <c r="Y13" t="n">
        <v>0.035516233407386</v>
      </c>
      <c r="Z13" t="n">
        <v>0.014123168326159</v>
      </c>
      <c r="AA13" t="n">
        <v>-0.0169592209847975</v>
      </c>
      <c r="AB13" t="n">
        <v>0.065804225066143</v>
      </c>
      <c r="AC13" t="n">
        <v>0.0275388201987081</v>
      </c>
      <c r="AD13" t="n">
        <v>0.0587177942124041</v>
      </c>
      <c r="AE13" t="n">
        <v>0.0637871905786522</v>
      </c>
      <c r="AF13"/>
    </row>
    <row r="14">
      <c r="A14" t="s">
        <v>132</v>
      </c>
      <c r="B14" t="s">
        <v>283</v>
      </c>
      <c r="C14" t="s">
        <v>133</v>
      </c>
      <c r="D14" t="s">
        <v>284</v>
      </c>
      <c r="E14" t="s">
        <v>33</v>
      </c>
      <c r="F14" t="n">
        <v>1.73114407268395</v>
      </c>
      <c r="G14" t="n">
        <v>1.33132628179201</v>
      </c>
      <c r="H14" t="n">
        <v>0.787311610064304</v>
      </c>
      <c r="I14" t="n">
        <v>0.690936716111457</v>
      </c>
      <c r="J14" t="n">
        <v>0.316474162897062</v>
      </c>
      <c r="K14" t="n">
        <v>0.55975614934076</v>
      </c>
      <c r="L14" t="n">
        <v>0.317010573359331</v>
      </c>
      <c r="M14" t="n">
        <v>-0.46269490138983</v>
      </c>
      <c r="N14" t="n">
        <v>-0.332112638998618</v>
      </c>
      <c r="O14" t="n">
        <v>-0.0250054222867058</v>
      </c>
      <c r="P14" t="n">
        <v>0.0976095372238579</v>
      </c>
      <c r="Q14" t="n">
        <v>-0.0527272325996776</v>
      </c>
      <c r="R14" t="n">
        <v>0.22621947871253</v>
      </c>
      <c r="S14" t="n">
        <v>0.418912554616037</v>
      </c>
      <c r="T14" t="n">
        <v>-0.124574143138096</v>
      </c>
      <c r="U14" t="n">
        <v>0.0985669040234277</v>
      </c>
      <c r="V14" t="n">
        <v>0.116401312770753</v>
      </c>
      <c r="W14" t="n">
        <v>0.136487546299986</v>
      </c>
      <c r="X14" t="n">
        <v>-0.0233870337220978</v>
      </c>
      <c r="Y14" t="n">
        <v>0.0567031222029249</v>
      </c>
      <c r="Z14" t="n">
        <v>0.0761772965604458</v>
      </c>
      <c r="AA14" t="n">
        <v>0.0107854652503241</v>
      </c>
      <c r="AB14" t="n">
        <v>-0.00614419988413965</v>
      </c>
      <c r="AC14" t="n">
        <v>0.137873222231116</v>
      </c>
      <c r="AD14" t="n">
        <v>0.0858071465133649</v>
      </c>
      <c r="AE14" t="n">
        <v>0.0547873408350524</v>
      </c>
      <c r="AF14"/>
    </row>
    <row r="15">
      <c r="A15" t="s">
        <v>134</v>
      </c>
      <c r="B15" t="s">
        <v>283</v>
      </c>
      <c r="C15" t="s">
        <v>135</v>
      </c>
      <c r="D15" t="s">
        <v>284</v>
      </c>
      <c r="E15" t="s">
        <v>33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283</v>
      </c>
      <c r="C16" t="s">
        <v>137</v>
      </c>
      <c r="D16" t="s">
        <v>284</v>
      </c>
      <c r="E16" t="s">
        <v>33</v>
      </c>
      <c r="F16" t="n">
        <v>1.8689640189856</v>
      </c>
      <c r="G16" t="n">
        <v>1.64665780164508</v>
      </c>
      <c r="H16" t="n">
        <v>1.10899548956285</v>
      </c>
      <c r="I16" t="n">
        <v>0.576679748209226</v>
      </c>
      <c r="J16" t="n">
        <v>0.32422117117211</v>
      </c>
      <c r="K16" t="n">
        <v>0.496096407999836</v>
      </c>
      <c r="L16" t="n">
        <v>0.19893838115453</v>
      </c>
      <c r="M16" t="n">
        <v>-0.364700869254939</v>
      </c>
      <c r="N16" t="n">
        <v>-0.111251545907028</v>
      </c>
      <c r="O16" t="n">
        <v>0.0235123789761227</v>
      </c>
      <c r="P16" t="n">
        <v>0.154112444025369</v>
      </c>
      <c r="Q16" t="n">
        <v>-0.179786410144544</v>
      </c>
      <c r="R16" t="n">
        <v>0.247981651920637</v>
      </c>
      <c r="S16" t="n">
        <v>0.231446021524846</v>
      </c>
      <c r="T16" t="n">
        <v>-0.211769569098086</v>
      </c>
      <c r="U16" t="n">
        <v>0.0722947178823654</v>
      </c>
      <c r="V16" t="n">
        <v>0.168810834785577</v>
      </c>
      <c r="W16" t="n">
        <v>0.158149463634814</v>
      </c>
      <c r="X16" t="n">
        <v>0.0546567820428082</v>
      </c>
      <c r="Y16" t="n">
        <v>0.0744379834316188</v>
      </c>
      <c r="Z16" t="n">
        <v>-0.0389328044651703</v>
      </c>
      <c r="AA16" t="n">
        <v>0.0260610454304656</v>
      </c>
      <c r="AB16" t="n">
        <v>0.0754160821202587</v>
      </c>
      <c r="AC16" t="n">
        <v>0.0385761813075365</v>
      </c>
      <c r="AD16" t="n">
        <v>-0.0210054978932722</v>
      </c>
      <c r="AE16" t="n">
        <v>-0.0233484823547432</v>
      </c>
      <c r="AF16"/>
    </row>
    <row r="17">
      <c r="A17" t="s">
        <v>138</v>
      </c>
      <c r="B17" t="s">
        <v>283</v>
      </c>
      <c r="C17" t="s">
        <v>139</v>
      </c>
      <c r="D17" t="s">
        <v>284</v>
      </c>
      <c r="E17" t="s">
        <v>33</v>
      </c>
      <c r="F17" t="n">
        <v>0.451602456924427</v>
      </c>
      <c r="G17" t="n">
        <v>0.418055070127767</v>
      </c>
      <c r="H17" t="n">
        <v>0.254173060843647</v>
      </c>
      <c r="I17" t="n">
        <v>0.211924884859104</v>
      </c>
      <c r="J17" t="n">
        <v>0.0700895299607614</v>
      </c>
      <c r="K17" t="n">
        <v>0.111812346406422</v>
      </c>
      <c r="L17" t="n">
        <v>0.0776405618030211</v>
      </c>
      <c r="M17" t="n">
        <v>-0.0239375395436736</v>
      </c>
      <c r="N17" t="n">
        <v>0.002425366939567</v>
      </c>
      <c r="O17" t="n">
        <v>0.105536264410981</v>
      </c>
      <c r="P17" t="n">
        <v>0.176234429661848</v>
      </c>
      <c r="Q17" t="n">
        <v>-0.0434812858634525</v>
      </c>
      <c r="R17" t="n">
        <v>0.202324080784968</v>
      </c>
      <c r="S17" t="n">
        <v>0.221525590327433</v>
      </c>
      <c r="T17" t="n">
        <v>-0.0218122158840925</v>
      </c>
      <c r="U17" t="n">
        <v>-0.0430744878080087</v>
      </c>
      <c r="V17" t="n">
        <v>0.00796295957644298</v>
      </c>
      <c r="W17" t="n">
        <v>0.0161252924721901</v>
      </c>
      <c r="X17" t="n">
        <v>-0.0154390697594634</v>
      </c>
      <c r="Y17" t="n">
        <v>-0.00541690161796089</v>
      </c>
      <c r="Z17" t="n">
        <v>0.0330926962308657</v>
      </c>
      <c r="AA17" t="n">
        <v>-0.0151122346722194</v>
      </c>
      <c r="AB17" t="n">
        <v>-0.0341849742571304</v>
      </c>
      <c r="AC17" t="n">
        <v>0.013307842171582</v>
      </c>
      <c r="AD17" t="n">
        <v>0.0132618155340826</v>
      </c>
      <c r="AE17" t="n">
        <v>-0.0122401643252254</v>
      </c>
      <c r="AF17"/>
    </row>
    <row r="18">
      <c r="A18" t="s">
        <v>140</v>
      </c>
      <c r="B18" t="s">
        <v>283</v>
      </c>
      <c r="C18" t="s">
        <v>141</v>
      </c>
      <c r="D18" t="s">
        <v>284</v>
      </c>
      <c r="E18" t="s">
        <v>33</v>
      </c>
      <c r="F18" t="n">
        <v>0.420977368264482</v>
      </c>
      <c r="G18" t="n">
        <v>0.521147525457555</v>
      </c>
      <c r="H18" t="n">
        <v>0.455109152936711</v>
      </c>
      <c r="I18" t="n">
        <v>0.371180396634778</v>
      </c>
      <c r="J18" t="n">
        <v>0.172852523255809</v>
      </c>
      <c r="K18" t="n">
        <v>0.101227285879953</v>
      </c>
      <c r="L18" t="n">
        <v>0.161464207028703</v>
      </c>
      <c r="M18" t="n">
        <v>-0.0115328370148028</v>
      </c>
      <c r="N18" t="n">
        <v>0.112702230550074</v>
      </c>
      <c r="O18" t="n">
        <v>0.00352709004064123</v>
      </c>
      <c r="P18" t="n">
        <v>0.179759007606271</v>
      </c>
      <c r="Q18" t="n">
        <v>-0.0259884225169052</v>
      </c>
      <c r="R18" t="n">
        <v>0.194532735165818</v>
      </c>
      <c r="S18" t="n">
        <v>0.173660717414015</v>
      </c>
      <c r="T18" t="n">
        <v>-0.0690767798806807</v>
      </c>
      <c r="U18" t="n">
        <v>-0.0656615972533055</v>
      </c>
      <c r="V18" t="n">
        <v>0.000868252956859895</v>
      </c>
      <c r="W18" t="n">
        <v>0.0298691318980757</v>
      </c>
      <c r="X18" t="n">
        <v>0.0532952507477387</v>
      </c>
      <c r="Y18" t="n">
        <v>0.0507965254364108</v>
      </c>
      <c r="Z18" t="n">
        <v>0.0702472283002831</v>
      </c>
      <c r="AA18" t="n">
        <v>0.0533399543973643</v>
      </c>
      <c r="AB18" t="n">
        <v>0.0338891601270305</v>
      </c>
      <c r="AC18" t="n">
        <v>0.0395585930354991</v>
      </c>
      <c r="AD18" t="n">
        <v>0.0352011741612394</v>
      </c>
      <c r="AE18" t="n">
        <v>0.0431006328372215</v>
      </c>
      <c r="AF18"/>
    </row>
    <row r="19">
      <c r="A19" t="s">
        <v>142</v>
      </c>
      <c r="B19" t="s">
        <v>283</v>
      </c>
      <c r="C19" t="s">
        <v>143</v>
      </c>
      <c r="D19" t="s">
        <v>284</v>
      </c>
      <c r="E19" t="s">
        <v>33</v>
      </c>
      <c r="F19" t="n">
        <v>0.48230195011791</v>
      </c>
      <c r="G19" t="n">
        <v>0.728650717010164</v>
      </c>
      <c r="H19" t="n">
        <v>0.442651417859087</v>
      </c>
      <c r="I19" t="n">
        <v>0.42212428266555</v>
      </c>
      <c r="J19" t="n">
        <v>0.0717404570276567</v>
      </c>
      <c r="K19" t="n">
        <v>-0.0641749428479458</v>
      </c>
      <c r="L19" t="n">
        <v>0.338974676152267</v>
      </c>
      <c r="M19" t="n">
        <v>-0.170877961378908</v>
      </c>
      <c r="N19" t="n">
        <v>0.343762318206226</v>
      </c>
      <c r="O19" t="n">
        <v>0.101787370326122</v>
      </c>
      <c r="P19" t="n">
        <v>0.534056321550563</v>
      </c>
      <c r="Q19" t="n">
        <v>0.136192838577973</v>
      </c>
      <c r="R19" t="n">
        <v>0.503658137677426</v>
      </c>
      <c r="S19" t="n">
        <v>0.20326674984346</v>
      </c>
      <c r="T19" t="n">
        <v>0.01138044539525</v>
      </c>
      <c r="U19" t="n">
        <v>0.35697248522933</v>
      </c>
      <c r="V19" t="n">
        <v>0.185533498335251</v>
      </c>
      <c r="W19" t="n">
        <v>-0.0795797652241615</v>
      </c>
      <c r="X19" t="n">
        <v>0.0305618237418541</v>
      </c>
      <c r="Y19" t="n">
        <v>-0.0283295491240419</v>
      </c>
      <c r="Z19" t="n">
        <v>0.117399221991532</v>
      </c>
      <c r="AA19" t="n">
        <v>-0.0889619901342359</v>
      </c>
      <c r="AB19" t="n">
        <v>-0.159041562053132</v>
      </c>
      <c r="AC19" t="n">
        <v>-0.084530214044474</v>
      </c>
      <c r="AD19" t="n">
        <v>0.0293730141589744</v>
      </c>
      <c r="AE19" t="n">
        <v>0.0983856072048599</v>
      </c>
      <c r="AF19"/>
    </row>
    <row r="20">
      <c r="A20" t="s">
        <v>144</v>
      </c>
      <c r="B20" t="s">
        <v>283</v>
      </c>
      <c r="C20" t="s">
        <v>145</v>
      </c>
      <c r="D20" t="s">
        <v>284</v>
      </c>
      <c r="E20" t="s">
        <v>33</v>
      </c>
      <c r="F20" t="n">
        <v>0.930853759040368</v>
      </c>
      <c r="G20" t="n">
        <v>0.912892263220035</v>
      </c>
      <c r="H20" t="n">
        <v>0.56714332817271</v>
      </c>
      <c r="I20" t="n">
        <v>0.483967868272605</v>
      </c>
      <c r="J20" t="n">
        <v>0.239450697512699</v>
      </c>
      <c r="K20" t="n">
        <v>-0.0285201254614409</v>
      </c>
      <c r="L20" t="n">
        <v>-0.128326036528896</v>
      </c>
      <c r="M20" t="n">
        <v>-0.206227142985579</v>
      </c>
      <c r="N20" t="n">
        <v>-0.141063416999236</v>
      </c>
      <c r="O20" t="n">
        <v>-0.242587380875121</v>
      </c>
      <c r="P20" t="n">
        <v>-0.119054749124122</v>
      </c>
      <c r="Q20" t="n">
        <v>-0.221979309764086</v>
      </c>
      <c r="R20" t="n">
        <v>-0.115046529014505</v>
      </c>
      <c r="S20" t="n">
        <v>-0.00921173826474947</v>
      </c>
      <c r="T20" t="n">
        <v>-0.0616302566957155</v>
      </c>
      <c r="U20" t="n">
        <v>-0.0131049924270426</v>
      </c>
      <c r="V20" t="n">
        <v>0.0028805241272223</v>
      </c>
      <c r="W20" t="n">
        <v>-0.00963598739195433</v>
      </c>
      <c r="X20" t="n">
        <v>0.0268899954240794</v>
      </c>
      <c r="Y20" t="n">
        <v>0.0133291316276287</v>
      </c>
      <c r="Z20" t="n">
        <v>0.0337275478143052</v>
      </c>
      <c r="AA20" t="n">
        <v>0.0550984767189105</v>
      </c>
      <c r="AB20" t="n">
        <v>0.0599376640401904</v>
      </c>
      <c r="AC20" t="n">
        <v>0.103729219823744</v>
      </c>
      <c r="AD20" t="n">
        <v>0.0459514737735646</v>
      </c>
      <c r="AE20" t="n">
        <v>0.0683865548995371</v>
      </c>
      <c r="AF20"/>
    </row>
    <row r="21">
      <c r="A21" t="s">
        <v>146</v>
      </c>
      <c r="B21" t="s">
        <v>283</v>
      </c>
      <c r="C21" t="s">
        <v>147</v>
      </c>
      <c r="D21" t="s">
        <v>284</v>
      </c>
      <c r="E21" t="s">
        <v>33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283</v>
      </c>
      <c r="C22" t="s">
        <v>149</v>
      </c>
      <c r="D22" t="s">
        <v>284</v>
      </c>
      <c r="E22" t="s">
        <v>33</v>
      </c>
      <c r="F22" t="n">
        <v>-0.177351143167688</v>
      </c>
      <c r="G22" t="n">
        <v>-0.116018269662929</v>
      </c>
      <c r="H22" t="n">
        <v>-0.0797991910316514</v>
      </c>
      <c r="I22" t="n">
        <v>-0.0548677766269431</v>
      </c>
      <c r="J22" t="n">
        <v>-0.0411732072257016</v>
      </c>
      <c r="K22" t="n">
        <v>-0.0305473585952556</v>
      </c>
      <c r="L22" t="n">
        <v>-0.0188137550250746</v>
      </c>
      <c r="M22" t="n">
        <v>-0.0130866533472661</v>
      </c>
      <c r="N22" t="n">
        <v>-0.0114315767316429</v>
      </c>
      <c r="O22" t="n">
        <v>-0.0124394536515405</v>
      </c>
      <c r="P22" t="n">
        <v>-0.00551944714565099</v>
      </c>
      <c r="Q22" t="n">
        <v>-0.00907278063230616</v>
      </c>
      <c r="R22" t="n">
        <v>-0.0050028759380057</v>
      </c>
      <c r="S22" t="n">
        <v>0.000112603084092441</v>
      </c>
      <c r="T22" t="n">
        <v>0.00150339648584856</v>
      </c>
      <c r="U22" t="n">
        <v>0.00645015766941475</v>
      </c>
      <c r="V22" t="n">
        <v>0.0123440166534167</v>
      </c>
      <c r="W22" t="n">
        <v>0.00696702413364252</v>
      </c>
      <c r="X22" t="n">
        <v>0.0149111626159584</v>
      </c>
      <c r="Y22" t="n">
        <v>0.0101459733128006</v>
      </c>
      <c r="Z22" t="n">
        <v>0.0105916998423357</v>
      </c>
      <c r="AA22" t="n">
        <v>0.0136030371744473</v>
      </c>
      <c r="AB22" t="n">
        <v>0.0131047797707856</v>
      </c>
      <c r="AC22" t="n">
        <v>0.0182373870930129</v>
      </c>
      <c r="AD22" t="n">
        <v>0.0180658013417463</v>
      </c>
      <c r="AE22" t="n">
        <v>0.0312087721794549</v>
      </c>
      <c r="AF22"/>
    </row>
    <row r="23">
      <c r="A23" t="s">
        <v>150</v>
      </c>
      <c r="B23" t="s">
        <v>283</v>
      </c>
      <c r="C23" t="s">
        <v>151</v>
      </c>
      <c r="D23" t="s">
        <v>284</v>
      </c>
      <c r="E23" t="s">
        <v>33</v>
      </c>
      <c r="F23" t="n">
        <v>0.731618578173032</v>
      </c>
      <c r="G23" t="n">
        <v>0.502300608741227</v>
      </c>
      <c r="H23" t="n">
        <v>0.27468485609511</v>
      </c>
      <c r="I23" t="n">
        <v>0.112378412248758</v>
      </c>
      <c r="J23" t="n">
        <v>0.0940068373926632</v>
      </c>
      <c r="K23" t="n">
        <v>0.0868084268726799</v>
      </c>
      <c r="L23" t="n">
        <v>0.000655109104498692</v>
      </c>
      <c r="M23" t="n">
        <v>-0.118985087261115</v>
      </c>
      <c r="N23" t="n">
        <v>-0.15949175556744</v>
      </c>
      <c r="O23" t="n">
        <v>-0.0965807348679745</v>
      </c>
      <c r="P23" t="n">
        <v>-0.0899669282287796</v>
      </c>
      <c r="Q23" t="n">
        <v>-0.0851113137224596</v>
      </c>
      <c r="R23" t="n">
        <v>0.0514805969898876</v>
      </c>
      <c r="S23" t="n">
        <v>-0.0199332265671031</v>
      </c>
      <c r="T23" t="n">
        <v>-0.0221701069095093</v>
      </c>
      <c r="U23" t="n">
        <v>0.0347156987977192</v>
      </c>
      <c r="V23" t="n">
        <v>0.00694718551635367</v>
      </c>
      <c r="W23" t="n">
        <v>-0.0366570664461306</v>
      </c>
      <c r="X23" t="n">
        <v>0.017204597161314</v>
      </c>
      <c r="Y23" t="n">
        <v>0.0243547882816861</v>
      </c>
      <c r="Z23" t="n">
        <v>0.00879612825508642</v>
      </c>
      <c r="AA23" t="n">
        <v>-0.014621524167819</v>
      </c>
      <c r="AB23" t="n">
        <v>0.0200839691420398</v>
      </c>
      <c r="AC23" t="n">
        <v>0.00706755574200022</v>
      </c>
      <c r="AD23" t="n">
        <v>0.0171872384383186</v>
      </c>
      <c r="AE23" t="n">
        <v>0.0482564669712926</v>
      </c>
      <c r="AF23"/>
    </row>
    <row r="24">
      <c r="A24" t="s">
        <v>152</v>
      </c>
      <c r="B24" t="s">
        <v>283</v>
      </c>
      <c r="C24" t="s">
        <v>153</v>
      </c>
      <c r="D24" t="s">
        <v>284</v>
      </c>
      <c r="E24" t="s">
        <v>33</v>
      </c>
      <c r="F24" t="n">
        <v>0.83641896067723</v>
      </c>
      <c r="G24" t="n">
        <v>0.753459842046309</v>
      </c>
      <c r="H24" t="n">
        <v>0.513819651489168</v>
      </c>
      <c r="I24" t="n">
        <v>0.132035473033554</v>
      </c>
      <c r="J24" t="n">
        <v>0.109867451258442</v>
      </c>
      <c r="K24" t="n">
        <v>0.16458470566607</v>
      </c>
      <c r="L24" t="n">
        <v>0.0040360501118611</v>
      </c>
      <c r="M24" t="n">
        <v>-0.0682987263174992</v>
      </c>
      <c r="N24" t="n">
        <v>-0.104347839711488</v>
      </c>
      <c r="O24" t="n">
        <v>0.149563053604719</v>
      </c>
      <c r="P24" t="n">
        <v>0.198758484978764</v>
      </c>
      <c r="Q24" t="n">
        <v>0.0717387477660494</v>
      </c>
      <c r="R24" t="n">
        <v>0.198800770588102</v>
      </c>
      <c r="S24" t="n">
        <v>0.1671798981769</v>
      </c>
      <c r="T24" t="n">
        <v>0.0509746515158969</v>
      </c>
      <c r="U24" t="n">
        <v>0.0625374767124683</v>
      </c>
      <c r="V24" t="n">
        <v>0.0552994163252087</v>
      </c>
      <c r="W24" t="n">
        <v>-0.000259724782379761</v>
      </c>
      <c r="X24" t="n">
        <v>0.0448413560026596</v>
      </c>
      <c r="Y24" t="n">
        <v>0.0915393032031949</v>
      </c>
      <c r="Z24" t="n">
        <v>0.0656857268567325</v>
      </c>
      <c r="AA24" t="n">
        <v>-0.0213285857904596</v>
      </c>
      <c r="AB24" t="n">
        <v>0.0158204472280574</v>
      </c>
      <c r="AC24" t="n">
        <v>-0.0106591977264483</v>
      </c>
      <c r="AD24" t="n">
        <v>0.0420920579559825</v>
      </c>
      <c r="AE24" t="n">
        <v>0.0570931665630379</v>
      </c>
      <c r="AF24"/>
    </row>
    <row r="25">
      <c r="A25" t="s">
        <v>154</v>
      </c>
      <c r="B25" t="s">
        <v>283</v>
      </c>
      <c r="C25" t="s">
        <v>155</v>
      </c>
      <c r="D25" t="s">
        <v>284</v>
      </c>
      <c r="E25" t="s">
        <v>33</v>
      </c>
      <c r="F25" t="n">
        <v>0.548563202135508</v>
      </c>
      <c r="G25" t="n">
        <v>0.813786146300847</v>
      </c>
      <c r="H25" t="n">
        <v>0.608050575564707</v>
      </c>
      <c r="I25" t="n">
        <v>-0.0958047412628752</v>
      </c>
      <c r="J25" t="n">
        <v>0.314809143546443</v>
      </c>
      <c r="K25" t="n">
        <v>0.468242852481317</v>
      </c>
      <c r="L25" t="n">
        <v>0.323608927964758</v>
      </c>
      <c r="M25" t="n">
        <v>-0.162549499404238</v>
      </c>
      <c r="N25" t="n">
        <v>0.0670063981958458</v>
      </c>
      <c r="O25" t="n">
        <v>0.158689724097138</v>
      </c>
      <c r="P25" t="n">
        <v>0.0894887358676412</v>
      </c>
      <c r="Q25" t="n">
        <v>0.0430777237327759</v>
      </c>
      <c r="R25" t="n">
        <v>0.00346226834253126</v>
      </c>
      <c r="S25" t="n">
        <v>0.437212094927494</v>
      </c>
      <c r="T25" t="n">
        <v>0.138043493934714</v>
      </c>
      <c r="U25" t="n">
        <v>-0.142834306551865</v>
      </c>
      <c r="V25" t="n">
        <v>-0.0966008348033553</v>
      </c>
      <c r="W25" t="n">
        <v>-0.149704050393903</v>
      </c>
      <c r="X25" t="n">
        <v>-0.0362462209626487</v>
      </c>
      <c r="Y25" t="n">
        <v>0.105712317044604</v>
      </c>
      <c r="Z25" t="n">
        <v>0.0217864346191703</v>
      </c>
      <c r="AA25" t="n">
        <v>-0.0625695104364249</v>
      </c>
      <c r="AB25" t="n">
        <v>0.000206051487304996</v>
      </c>
      <c r="AC25" t="n">
        <v>-0.0188069618433264</v>
      </c>
      <c r="AD25" t="n">
        <v>0.282811649307715</v>
      </c>
      <c r="AE25" t="n">
        <v>-0.01552887398245</v>
      </c>
      <c r="AF25"/>
    </row>
    <row r="26">
      <c r="A26" t="s">
        <v>156</v>
      </c>
      <c r="B26" t="s">
        <v>283</v>
      </c>
      <c r="C26" t="s">
        <v>157</v>
      </c>
      <c r="D26" t="s">
        <v>284</v>
      </c>
      <c r="E26" t="s">
        <v>33</v>
      </c>
      <c r="F26" t="n">
        <v>0.651557739253894</v>
      </c>
      <c r="G26" t="n">
        <v>0.589930250998721</v>
      </c>
      <c r="H26" t="n">
        <v>0.573079862027122</v>
      </c>
      <c r="I26" t="n">
        <v>0.11423078339788</v>
      </c>
      <c r="J26" t="n">
        <v>0.0781910366148059</v>
      </c>
      <c r="K26" t="n">
        <v>0.0325053549583706</v>
      </c>
      <c r="L26" t="n">
        <v>-0.083378083772431</v>
      </c>
      <c r="M26" t="n">
        <v>-0.0670091707000107</v>
      </c>
      <c r="N26" t="n">
        <v>-0.147903738283491</v>
      </c>
      <c r="O26" t="n">
        <v>-0.00169184985857826</v>
      </c>
      <c r="P26" t="n">
        <v>0.0792998348653868</v>
      </c>
      <c r="Q26" t="n">
        <v>0.0472737010766587</v>
      </c>
      <c r="R26" t="n">
        <v>0.177145803902759</v>
      </c>
      <c r="S26" t="n">
        <v>0.165035774045722</v>
      </c>
      <c r="T26" t="n">
        <v>0.0630740590153831</v>
      </c>
      <c r="U26" t="n">
        <v>0.0533219291762227</v>
      </c>
      <c r="V26" t="n">
        <v>0.0398885037506142</v>
      </c>
      <c r="W26" t="n">
        <v>-0.00304516262622084</v>
      </c>
      <c r="X26" t="n">
        <v>0.0210212505803803</v>
      </c>
      <c r="Y26" t="n">
        <v>0.0493374574431845</v>
      </c>
      <c r="Z26" t="n">
        <v>0.0379534609764014</v>
      </c>
      <c r="AA26" t="n">
        <v>-0.0233321468716722</v>
      </c>
      <c r="AB26" t="n">
        <v>0.0101232569338261</v>
      </c>
      <c r="AC26" t="n">
        <v>-0.0223926107356988</v>
      </c>
      <c r="AD26" t="n">
        <v>-0.00630390379068218</v>
      </c>
      <c r="AE26" t="n">
        <v>0.0269842746822684</v>
      </c>
      <c r="AF26"/>
    </row>
    <row r="27">
      <c r="A27" t="s">
        <v>158</v>
      </c>
      <c r="B27" t="s">
        <v>283</v>
      </c>
      <c r="C27" t="s">
        <v>159</v>
      </c>
      <c r="D27" t="s">
        <v>284</v>
      </c>
      <c r="E27" t="s">
        <v>33</v>
      </c>
      <c r="F27" t="n">
        <v>1.1181678056314</v>
      </c>
      <c r="G27" t="n">
        <v>0.960731416525923</v>
      </c>
      <c r="H27" t="n">
        <v>0.42345915626416</v>
      </c>
      <c r="I27" t="n">
        <v>0.187716745551007</v>
      </c>
      <c r="J27" t="n">
        <v>0.121573729032189</v>
      </c>
      <c r="K27" t="n">
        <v>0.286088396875339</v>
      </c>
      <c r="L27" t="n">
        <v>0.0633380653226462</v>
      </c>
      <c r="M27" t="n">
        <v>-0.0561173114625602</v>
      </c>
      <c r="N27" t="n">
        <v>-0.0823641423604314</v>
      </c>
      <c r="O27" t="n">
        <v>0.308839880982725</v>
      </c>
      <c r="P27" t="n">
        <v>0.345683953260662</v>
      </c>
      <c r="Q27" t="n">
        <v>0.102535613185362</v>
      </c>
      <c r="R27" t="n">
        <v>0.249245403374621</v>
      </c>
      <c r="S27" t="n">
        <v>0.131957299950242</v>
      </c>
      <c r="T27" t="n">
        <v>0.026632488247311</v>
      </c>
      <c r="U27" t="n">
        <v>0.0976358263541559</v>
      </c>
      <c r="V27" t="n">
        <v>0.0875969289145903</v>
      </c>
      <c r="W27" t="n">
        <v>0.0186631957584811</v>
      </c>
      <c r="X27" t="n">
        <v>0.0764127912247704</v>
      </c>
      <c r="Y27" t="n">
        <v>0.131664301318617</v>
      </c>
      <c r="Z27" t="n">
        <v>0.0990519130024221</v>
      </c>
      <c r="AA27" t="n">
        <v>-0.0147712515295942</v>
      </c>
      <c r="AB27" t="n">
        <v>0.0232637261391774</v>
      </c>
      <c r="AC27" t="n">
        <v>0.00217574093733638</v>
      </c>
      <c r="AD27" t="n">
        <v>0.0670137017938981</v>
      </c>
      <c r="AE27" t="n">
        <v>0.0967644489397808</v>
      </c>
      <c r="AF27"/>
    </row>
    <row r="28">
      <c r="A28" t="s">
        <v>160</v>
      </c>
      <c r="B28" t="s">
        <v>283</v>
      </c>
      <c r="C28" t="s">
        <v>161</v>
      </c>
      <c r="D28" t="s">
        <v>284</v>
      </c>
      <c r="E28" t="s">
        <v>33</v>
      </c>
      <c r="F28" t="n">
        <v>0.355593475933611</v>
      </c>
      <c r="G28" t="n">
        <v>0.291249343512979</v>
      </c>
      <c r="H28" t="n">
        <v>0.34883442534008</v>
      </c>
      <c r="I28" t="n">
        <v>0.138959189472046</v>
      </c>
      <c r="J28" t="n">
        <v>0.0947221163186513</v>
      </c>
      <c r="K28" t="n">
        <v>0.0599938692144052</v>
      </c>
      <c r="L28" t="n">
        <v>-0.0131091132455616</v>
      </c>
      <c r="M28" t="n">
        <v>-0.0695695313103313</v>
      </c>
      <c r="N28" t="n">
        <v>0.0542997700598663</v>
      </c>
      <c r="O28" t="n">
        <v>0.0937893035635682</v>
      </c>
      <c r="P28" t="n">
        <v>0.0634241068423554</v>
      </c>
      <c r="Q28" t="n">
        <v>0.0429680108900977</v>
      </c>
      <c r="R28" t="n">
        <v>0.22036166906258</v>
      </c>
      <c r="S28" t="n">
        <v>0.251947464134618</v>
      </c>
      <c r="T28" t="n">
        <v>0.20454778448108</v>
      </c>
      <c r="U28" t="n">
        <v>0.17770315609762</v>
      </c>
      <c r="V28" t="n">
        <v>0.101446350505329</v>
      </c>
      <c r="W28" t="n">
        <v>0.128052204235303</v>
      </c>
      <c r="X28" t="n">
        <v>0.069956372269426</v>
      </c>
      <c r="Y28" t="n">
        <v>0.089951478598692</v>
      </c>
      <c r="Z28" t="n">
        <v>0.0195404145810261</v>
      </c>
      <c r="AA28" t="n">
        <v>0.0114942442739326</v>
      </c>
      <c r="AB28" t="n">
        <v>0.0412321881861047</v>
      </c>
      <c r="AC28" t="n">
        <v>0.0756581311598594</v>
      </c>
      <c r="AD28" t="n">
        <v>0.0650238045327119</v>
      </c>
      <c r="AE28" t="n">
        <v>0.102491834052511</v>
      </c>
      <c r="AF28"/>
    </row>
    <row r="29">
      <c r="A29" t="s">
        <v>162</v>
      </c>
      <c r="B29" t="s">
        <v>283</v>
      </c>
      <c r="C29" t="s">
        <v>163</v>
      </c>
      <c r="D29" t="s">
        <v>284</v>
      </c>
      <c r="E29" t="s">
        <v>33</v>
      </c>
      <c r="F29" t="n">
        <v>0.178333978180828</v>
      </c>
      <c r="G29" t="n">
        <v>0.157268368701912</v>
      </c>
      <c r="H29" t="n">
        <v>0.210452273397048</v>
      </c>
      <c r="I29" t="n">
        <v>0.0664517336011321</v>
      </c>
      <c r="J29" t="n">
        <v>0.0101327987726807</v>
      </c>
      <c r="K29" t="n">
        <v>0.0770381350072051</v>
      </c>
      <c r="L29" t="n">
        <v>-0.0130045690332603</v>
      </c>
      <c r="M29" t="n">
        <v>-0.0158325967504228</v>
      </c>
      <c r="N29" t="n">
        <v>0.108284486520472</v>
      </c>
      <c r="O29" t="n">
        <v>0.148059211518173</v>
      </c>
      <c r="P29" t="n">
        <v>0.0958950821043774</v>
      </c>
      <c r="Q29" t="n">
        <v>0.00644702212932193</v>
      </c>
      <c r="R29" t="n">
        <v>0.00850994313866676</v>
      </c>
      <c r="S29" t="n">
        <v>0.331175443631871</v>
      </c>
      <c r="T29" t="n">
        <v>0.252549859322299</v>
      </c>
      <c r="U29" t="n">
        <v>0.259170650848349</v>
      </c>
      <c r="V29" t="n">
        <v>0.211838248742352</v>
      </c>
      <c r="W29" t="n">
        <v>0.161078417153762</v>
      </c>
      <c r="X29" t="n">
        <v>0.14075546658103</v>
      </c>
      <c r="Y29" t="n">
        <v>0.126570762041598</v>
      </c>
      <c r="Z29" t="n">
        <v>0.0283590190945241</v>
      </c>
      <c r="AA29" t="n">
        <v>0.0336391434037452</v>
      </c>
      <c r="AB29" t="n">
        <v>0.0584837466373162</v>
      </c>
      <c r="AC29" t="n">
        <v>0.117708216768512</v>
      </c>
      <c r="AD29" t="n">
        <v>0.120276724501732</v>
      </c>
      <c r="AE29" t="n">
        <v>0.14746305855009</v>
      </c>
      <c r="AF29"/>
    </row>
    <row r="30">
      <c r="A30" t="s">
        <v>164</v>
      </c>
      <c r="B30" t="s">
        <v>283</v>
      </c>
      <c r="C30" t="s">
        <v>165</v>
      </c>
      <c r="D30" t="s">
        <v>284</v>
      </c>
      <c r="E30" t="s">
        <v>33</v>
      </c>
      <c r="F30" t="n">
        <v>-0.0450815843917389</v>
      </c>
      <c r="G30" t="n">
        <v>-0.0133683003614358</v>
      </c>
      <c r="H30" t="n">
        <v>-0.0286773867084794</v>
      </c>
      <c r="I30" t="n">
        <v>-0.00493412198196075</v>
      </c>
      <c r="J30" t="n">
        <v>-0.0210662209903048</v>
      </c>
      <c r="K30" t="n">
        <v>-0.0152140711785145</v>
      </c>
      <c r="L30" t="n">
        <v>-0.00608567431723057</v>
      </c>
      <c r="M30" t="n">
        <v>0.00605401202913951</v>
      </c>
      <c r="N30" t="n">
        <v>0.0522082087645105</v>
      </c>
      <c r="O30" t="n">
        <v>0.0643653531902312</v>
      </c>
      <c r="P30" t="n">
        <v>-0.0129202562920088</v>
      </c>
      <c r="Q30" t="n">
        <v>-0.0214082194661126</v>
      </c>
      <c r="R30" t="n">
        <v>-0.0247363791770209</v>
      </c>
      <c r="S30" t="n">
        <v>0.0637738923231592</v>
      </c>
      <c r="T30" t="n">
        <v>0.0795022340248043</v>
      </c>
      <c r="U30" t="n">
        <v>0.00830138215239357</v>
      </c>
      <c r="V30" t="n">
        <v>0.0164694027908797</v>
      </c>
      <c r="W30" t="n">
        <v>0.00616252989326189</v>
      </c>
      <c r="X30" t="n">
        <v>0.00868730208960408</v>
      </c>
      <c r="Y30" t="n">
        <v>0.00559447891537943</v>
      </c>
      <c r="Z30" t="n">
        <v>-0.00107314387096587</v>
      </c>
      <c r="AA30" t="n">
        <v>0.0145393932005751</v>
      </c>
      <c r="AB30" t="n">
        <v>0.0261037569119985</v>
      </c>
      <c r="AC30" t="n">
        <v>0.0221722019942234</v>
      </c>
      <c r="AD30" t="n">
        <v>0.00215687647984579</v>
      </c>
      <c r="AE30" t="n">
        <v>0.0037265012062101</v>
      </c>
      <c r="AF30"/>
    </row>
    <row r="31">
      <c r="A31" t="s">
        <v>166</v>
      </c>
      <c r="B31" t="s">
        <v>283</v>
      </c>
      <c r="C31" t="s">
        <v>167</v>
      </c>
      <c r="D31" t="s">
        <v>284</v>
      </c>
      <c r="E31" t="s">
        <v>33</v>
      </c>
      <c r="F31" t="n">
        <v>0.00827952119203101</v>
      </c>
      <c r="G31" t="n">
        <v>0.0394866675163038</v>
      </c>
      <c r="H31" t="n">
        <v>0.202924797065555</v>
      </c>
      <c r="I31" t="n">
        <v>0.0449105577628664</v>
      </c>
      <c r="J31" t="n">
        <v>-0.0747314922517605</v>
      </c>
      <c r="K31" t="n">
        <v>0.00781077190253226</v>
      </c>
      <c r="L31" t="n">
        <v>-0.0442600483780483</v>
      </c>
      <c r="M31" t="n">
        <v>-0.057700830789764</v>
      </c>
      <c r="N31" t="n">
        <v>0.0586149871569694</v>
      </c>
      <c r="O31" t="n">
        <v>0.110832153555274</v>
      </c>
      <c r="P31" t="n">
        <v>0.0824988412370933</v>
      </c>
      <c r="Q31" t="n">
        <v>0.0319606975003944</v>
      </c>
      <c r="R31" t="n">
        <v>0.0847785294688548</v>
      </c>
      <c r="S31" t="n">
        <v>0.81900910613361</v>
      </c>
      <c r="T31" t="n">
        <v>0.515624380960981</v>
      </c>
      <c r="U31" t="n">
        <v>0.126739416089047</v>
      </c>
      <c r="V31" t="n">
        <v>-0.0674240242239845</v>
      </c>
      <c r="W31" t="n">
        <v>0.0426012271208274</v>
      </c>
      <c r="X31" t="n">
        <v>0.0673973424276209</v>
      </c>
      <c r="Y31" t="n">
        <v>0.0353060309597246</v>
      </c>
      <c r="Z31" t="n">
        <v>-0.0297467601566448</v>
      </c>
      <c r="AA31" t="n">
        <v>0.00617687765705182</v>
      </c>
      <c r="AB31" t="n">
        <v>0.0899258349507852</v>
      </c>
      <c r="AC31" t="n">
        <v>0.0694029042645054</v>
      </c>
      <c r="AD31" t="n">
        <v>0.020625432478925</v>
      </c>
      <c r="AE31" t="n">
        <v>0.274356750875845</v>
      </c>
      <c r="AF31"/>
    </row>
    <row r="32">
      <c r="A32" t="s">
        <v>168</v>
      </c>
      <c r="B32" t="s">
        <v>283</v>
      </c>
      <c r="C32" t="s">
        <v>169</v>
      </c>
      <c r="D32" t="s">
        <v>284</v>
      </c>
      <c r="E32" t="s">
        <v>33</v>
      </c>
      <c r="F32" t="n">
        <v>0.0192967075854267</v>
      </c>
      <c r="G32" t="n">
        <v>0.0675567786996103</v>
      </c>
      <c r="H32" t="n">
        <v>-0.0175474918223543</v>
      </c>
      <c r="I32" t="n">
        <v>0.0636776549504857</v>
      </c>
      <c r="J32" t="n">
        <v>0.0635027980528738</v>
      </c>
      <c r="K32" t="n">
        <v>0.0236225552808383</v>
      </c>
      <c r="L32" t="n">
        <v>-0.0613964165109381</v>
      </c>
      <c r="M32" t="n">
        <v>-0.128502541437346</v>
      </c>
      <c r="N32" t="n">
        <v>0.0748803705454022</v>
      </c>
      <c r="O32" t="n">
        <v>0.094401841341844</v>
      </c>
      <c r="P32" t="n">
        <v>0.0224108755339351</v>
      </c>
      <c r="Q32" t="n">
        <v>-0.051525761828314</v>
      </c>
      <c r="R32" t="n">
        <v>-0.00739660492756753</v>
      </c>
      <c r="S32" t="n">
        <v>0.305644492781464</v>
      </c>
      <c r="T32" t="n">
        <v>0.351742553244524</v>
      </c>
      <c r="U32" t="n">
        <v>0.25062870401491</v>
      </c>
      <c r="V32" t="n">
        <v>0.15050271709427</v>
      </c>
      <c r="W32" t="n">
        <v>0.139287624107206</v>
      </c>
      <c r="X32" t="n">
        <v>0.0247635410785932</v>
      </c>
      <c r="Y32" t="n">
        <v>0.126409081938771</v>
      </c>
      <c r="Z32" t="n">
        <v>-0.0107263514522723</v>
      </c>
      <c r="AA32" t="n">
        <v>-0.0335798123309431</v>
      </c>
      <c r="AB32" t="n">
        <v>0.0298592090627486</v>
      </c>
      <c r="AC32" t="n">
        <v>0.0884157506152867</v>
      </c>
      <c r="AD32" t="n">
        <v>0.0391889770722988</v>
      </c>
      <c r="AE32" t="n">
        <v>0.0548718142668601</v>
      </c>
      <c r="AF32"/>
    </row>
    <row r="33">
      <c r="A33" t="s">
        <v>170</v>
      </c>
      <c r="B33" t="s">
        <v>283</v>
      </c>
      <c r="C33" t="s">
        <v>171</v>
      </c>
      <c r="D33" t="s">
        <v>284</v>
      </c>
      <c r="E33" t="s">
        <v>33</v>
      </c>
      <c r="F33" t="n">
        <v>2.83127043827377</v>
      </c>
      <c r="G33" t="n">
        <v>2.01618373081518</v>
      </c>
      <c r="H33" t="n">
        <v>2.30861666978989</v>
      </c>
      <c r="I33" t="n">
        <v>0.943117811638954</v>
      </c>
      <c r="J33" t="n">
        <v>0.937356938272027</v>
      </c>
      <c r="K33" t="n">
        <v>0.067181608926325</v>
      </c>
      <c r="L33" t="n">
        <v>0.0726133745346426</v>
      </c>
      <c r="M33" t="n">
        <v>-0.41936224806282</v>
      </c>
      <c r="N33" t="n">
        <v>-0.355813207449086</v>
      </c>
      <c r="O33" t="n">
        <v>-0.290592855414924</v>
      </c>
      <c r="P33" t="n">
        <v>-0.0648101957003479</v>
      </c>
      <c r="Q33" t="n">
        <v>0.516242303311754</v>
      </c>
      <c r="R33" t="n">
        <v>2.43853275579545</v>
      </c>
      <c r="S33" t="n">
        <v>-0.64381393378228</v>
      </c>
      <c r="T33" t="n">
        <v>-0.538183967200349</v>
      </c>
      <c r="U33" t="n">
        <v>-0.391718878525831</v>
      </c>
      <c r="V33" t="n">
        <v>-0.636184003083269</v>
      </c>
      <c r="W33" t="n">
        <v>0.00824669215925863</v>
      </c>
      <c r="X33" t="n">
        <v>-0.401138796917709</v>
      </c>
      <c r="Y33" t="n">
        <v>-0.190456766591212</v>
      </c>
      <c r="Z33" t="n">
        <v>0.0639784095306752</v>
      </c>
      <c r="AA33" t="n">
        <v>-0.0930615715271957</v>
      </c>
      <c r="AB33" t="n">
        <v>-0.114924032814952</v>
      </c>
      <c r="AC33" t="n">
        <v>-0.268130326463035</v>
      </c>
      <c r="AD33" t="n">
        <v>-0.289327675509916</v>
      </c>
      <c r="AE33" t="n">
        <v>-0.290867117734024</v>
      </c>
      <c r="AF33"/>
    </row>
    <row r="34">
      <c r="A34" t="s">
        <v>172</v>
      </c>
      <c r="B34" t="s">
        <v>283</v>
      </c>
      <c r="C34" t="s">
        <v>173</v>
      </c>
      <c r="D34" t="s">
        <v>284</v>
      </c>
      <c r="E34" t="s">
        <v>33</v>
      </c>
      <c r="F34" t="n">
        <v>0.0853214308309043</v>
      </c>
      <c r="G34" t="n">
        <v>0.137829882517109</v>
      </c>
      <c r="H34" t="n">
        <v>0.119291198198849</v>
      </c>
      <c r="I34" t="n">
        <v>0.0664473268461456</v>
      </c>
      <c r="J34" t="n">
        <v>0.116731950653841</v>
      </c>
      <c r="K34" t="n">
        <v>0.119431084705203</v>
      </c>
      <c r="L34" t="n">
        <v>0.0884251247505605</v>
      </c>
      <c r="M34" t="n">
        <v>0.0355477106647239</v>
      </c>
      <c r="N34" t="n">
        <v>-0.0127203826436819</v>
      </c>
      <c r="O34" t="n">
        <v>0.0063053102361932</v>
      </c>
      <c r="P34" t="n">
        <v>-0.0112905779162896</v>
      </c>
      <c r="Q34" t="n">
        <v>0.0873750503497594</v>
      </c>
      <c r="R34" t="n">
        <v>0.136221560701911</v>
      </c>
      <c r="S34" t="n">
        <v>0.0858062150794458</v>
      </c>
      <c r="T34" t="n">
        <v>0.0205902692526326</v>
      </c>
      <c r="U34" t="n">
        <v>0.0596068196583366</v>
      </c>
      <c r="V34" t="n">
        <v>0.0117471843865338</v>
      </c>
      <c r="W34" t="n">
        <v>-0.0257380397362342</v>
      </c>
      <c r="X34" t="n">
        <v>-0.0342580304866032</v>
      </c>
      <c r="Y34" t="n">
        <v>0.00331236760355631</v>
      </c>
      <c r="Z34" t="n">
        <v>0.00176288776474155</v>
      </c>
      <c r="AA34" t="n">
        <v>-0.0221675242193498</v>
      </c>
      <c r="AB34" t="n">
        <v>-0.00825025523575736</v>
      </c>
      <c r="AC34" t="n">
        <v>-0.00761737106849029</v>
      </c>
      <c r="AD34" t="n">
        <v>-0.0101706547797425</v>
      </c>
      <c r="AE34" t="n">
        <v>-0.0140328045936231</v>
      </c>
      <c r="AF34"/>
    </row>
    <row r="35">
      <c r="A35" t="s">
        <v>174</v>
      </c>
      <c r="B35" t="s">
        <v>283</v>
      </c>
      <c r="C35" t="s">
        <v>175</v>
      </c>
      <c r="D35" t="s">
        <v>284</v>
      </c>
      <c r="E35" t="s">
        <v>33</v>
      </c>
      <c r="F35" t="n">
        <v>4.88004075357704</v>
      </c>
      <c r="G35" t="n">
        <v>5.65856193446036</v>
      </c>
      <c r="H35" t="n">
        <v>3.43610449540129</v>
      </c>
      <c r="I35" t="n">
        <v>2.35315071154202</v>
      </c>
      <c r="J35" t="n">
        <v>2.44156389021758</v>
      </c>
      <c r="K35" t="n">
        <v>1.48945743574281</v>
      </c>
      <c r="L35" t="n">
        <v>1.07220063926353</v>
      </c>
      <c r="M35" t="n">
        <v>0.602796382228639</v>
      </c>
      <c r="N35" t="n">
        <v>0.959982200821186</v>
      </c>
      <c r="O35" t="n">
        <v>0.724292710659849</v>
      </c>
      <c r="P35" t="n">
        <v>0.738761141369955</v>
      </c>
      <c r="Q35" t="n">
        <v>0.942471126916191</v>
      </c>
      <c r="R35" t="n">
        <v>0.508524244274846</v>
      </c>
      <c r="S35" t="n">
        <v>0.657979734532191</v>
      </c>
      <c r="T35" t="n">
        <v>0.468001112106475</v>
      </c>
      <c r="U35" t="n">
        <v>0.605445106195667</v>
      </c>
      <c r="V35" t="n">
        <v>0.699579927616217</v>
      </c>
      <c r="W35" t="n">
        <v>1.06914215123696</v>
      </c>
      <c r="X35" t="n">
        <v>0.815262880159334</v>
      </c>
      <c r="Y35" t="n">
        <v>0.615389469265953</v>
      </c>
      <c r="Z35" t="n">
        <v>0.46414776866918</v>
      </c>
      <c r="AA35" t="n">
        <v>0.122326832708673</v>
      </c>
      <c r="AB35" t="n">
        <v>0.232664358598907</v>
      </c>
      <c r="AC35" t="n">
        <v>0.424141092943295</v>
      </c>
      <c r="AD35" t="n">
        <v>0.372776829947742</v>
      </c>
      <c r="AE35" t="n">
        <v>0.37558485661714</v>
      </c>
      <c r="AF35"/>
    </row>
    <row r="36">
      <c r="A36" t="s">
        <v>176</v>
      </c>
      <c r="B36" t="s">
        <v>283</v>
      </c>
      <c r="C36" t="s">
        <v>177</v>
      </c>
      <c r="D36" t="s">
        <v>284</v>
      </c>
      <c r="E36" t="s">
        <v>33</v>
      </c>
      <c r="F36" t="n">
        <v>6.2612952664651</v>
      </c>
      <c r="G36" t="n">
        <v>8.5601801698156</v>
      </c>
      <c r="H36" t="n">
        <v>2.51108935714275</v>
      </c>
      <c r="I36" t="n">
        <v>0.413706936339323</v>
      </c>
      <c r="J36" t="n">
        <v>1.0270135776742</v>
      </c>
      <c r="K36" t="n">
        <v>-0.240847592777989</v>
      </c>
      <c r="L36" t="n">
        <v>0.0203134780408656</v>
      </c>
      <c r="M36" t="n">
        <v>-0.369551954437966</v>
      </c>
      <c r="N36" t="n">
        <v>0.962088791835939</v>
      </c>
      <c r="O36" t="n">
        <v>-0.190049742097555</v>
      </c>
      <c r="P36" t="n">
        <v>0.48556648120327</v>
      </c>
      <c r="Q36" t="n">
        <v>0.364916570758864</v>
      </c>
      <c r="R36" t="n">
        <v>0.147650279960916</v>
      </c>
      <c r="S36" t="n">
        <v>-0.117859656401206</v>
      </c>
      <c r="T36" t="n">
        <v>0.15321783183433</v>
      </c>
      <c r="U36" t="n">
        <v>0.352437547220141</v>
      </c>
      <c r="V36" t="n">
        <v>0.275520948476502</v>
      </c>
      <c r="W36" t="n">
        <v>0.370475960440834</v>
      </c>
      <c r="X36" t="n">
        <v>0.354126952378702</v>
      </c>
      <c r="Y36" t="n">
        <v>0.382692466078261</v>
      </c>
      <c r="Z36" t="n">
        <v>-0.0721457273990458</v>
      </c>
      <c r="AA36" t="n">
        <v>-0.192670968461542</v>
      </c>
      <c r="AB36" t="n">
        <v>-0.0747282513318118</v>
      </c>
      <c r="AC36" t="n">
        <v>-0.145036907986482</v>
      </c>
      <c r="AD36" t="n">
        <v>0.523201837285555</v>
      </c>
      <c r="AE36" t="n">
        <v>0.0255504784357982</v>
      </c>
      <c r="AF36"/>
    </row>
    <row r="37">
      <c r="A37" t="s">
        <v>178</v>
      </c>
      <c r="B37" t="s">
        <v>283</v>
      </c>
      <c r="C37" t="s">
        <v>179</v>
      </c>
      <c r="D37" t="s">
        <v>284</v>
      </c>
      <c r="E37" t="s">
        <v>33</v>
      </c>
      <c r="F37" t="n">
        <v>11.6545602616815</v>
      </c>
      <c r="G37" t="n">
        <v>10.2751064453063</v>
      </c>
      <c r="H37" t="n">
        <v>7.92828290408916</v>
      </c>
      <c r="I37" t="n">
        <v>6.56715478501441</v>
      </c>
      <c r="J37" t="n">
        <v>6.47035834545889</v>
      </c>
      <c r="K37" t="n">
        <v>3.89932597158038</v>
      </c>
      <c r="L37" t="n">
        <v>2.23023157495446</v>
      </c>
      <c r="M37" t="n">
        <v>0.514117669893225</v>
      </c>
      <c r="N37" t="n">
        <v>0.195320115131873</v>
      </c>
      <c r="O37" t="n">
        <v>-0.515115294318796</v>
      </c>
      <c r="P37" t="n">
        <v>0.453503112359228</v>
      </c>
      <c r="Q37" t="n">
        <v>1.96281614268211</v>
      </c>
      <c r="R37" t="n">
        <v>1.85488208137468</v>
      </c>
      <c r="S37" t="n">
        <v>1.87448964332204</v>
      </c>
      <c r="T37" t="n">
        <v>1.78020829634588</v>
      </c>
      <c r="U37" t="n">
        <v>1.07172403064659</v>
      </c>
      <c r="V37" t="n">
        <v>1.89843330053661</v>
      </c>
      <c r="W37" t="n">
        <v>3.62170620697784</v>
      </c>
      <c r="X37" t="n">
        <v>2.4617617895027</v>
      </c>
      <c r="Y37" t="n">
        <v>1.42851046098704</v>
      </c>
      <c r="Z37" t="n">
        <v>0.639956404428221</v>
      </c>
      <c r="AA37" t="n">
        <v>0.676309359013225</v>
      </c>
      <c r="AB37" t="n">
        <v>0.862335063446874</v>
      </c>
      <c r="AC37" t="n">
        <v>-0.0888192040839321</v>
      </c>
      <c r="AD37" t="n">
        <v>0.575619641526617</v>
      </c>
      <c r="AE37" t="n">
        <v>1.19441637743021</v>
      </c>
      <c r="AF37"/>
    </row>
    <row r="38">
      <c r="A38" t="s">
        <v>180</v>
      </c>
      <c r="B38" t="s">
        <v>283</v>
      </c>
      <c r="C38" t="s">
        <v>181</v>
      </c>
      <c r="D38" t="s">
        <v>284</v>
      </c>
      <c r="E38" t="s">
        <v>33</v>
      </c>
      <c r="F38" t="n">
        <v>-0.169912313454619</v>
      </c>
      <c r="G38" t="n">
        <v>-0.0116105475631788</v>
      </c>
      <c r="H38" t="n">
        <v>0.090218687347876</v>
      </c>
      <c r="I38" t="n">
        <v>0.12894855594817</v>
      </c>
      <c r="J38" t="n">
        <v>0.0549055770419522</v>
      </c>
      <c r="K38" t="n">
        <v>0.465452165725573</v>
      </c>
      <c r="L38" t="n">
        <v>0.686384576440313</v>
      </c>
      <c r="M38" t="n">
        <v>1.14417509804229</v>
      </c>
      <c r="N38" t="n">
        <v>1.49271503535961</v>
      </c>
      <c r="O38" t="n">
        <v>1.95302402333682</v>
      </c>
      <c r="P38" t="n">
        <v>1.03258559625253</v>
      </c>
      <c r="Q38" t="n">
        <v>0.52200660037798</v>
      </c>
      <c r="R38" t="n">
        <v>-0.223840439651043</v>
      </c>
      <c r="S38" t="n">
        <v>0.221151741591772</v>
      </c>
      <c r="T38" t="n">
        <v>-0.195894299068341</v>
      </c>
      <c r="U38" t="n">
        <v>0.43290311002559</v>
      </c>
      <c r="V38" t="n">
        <v>0.179830593349353</v>
      </c>
      <c r="W38" t="n">
        <v>-0.0792154268555214</v>
      </c>
      <c r="X38" t="n">
        <v>0.0813466643146889</v>
      </c>
      <c r="Y38" t="n">
        <v>0.272280307217337</v>
      </c>
      <c r="Z38" t="n">
        <v>0.572687107118603</v>
      </c>
      <c r="AA38" t="n">
        <v>-0.0278858224829205</v>
      </c>
      <c r="AB38" t="n">
        <v>0.0392127879552428</v>
      </c>
      <c r="AC38" t="n">
        <v>0.854853474434519</v>
      </c>
      <c r="AD38" t="n">
        <v>0.225751908460798</v>
      </c>
      <c r="AE38" t="n">
        <v>0.0841869821181353</v>
      </c>
      <c r="AF38"/>
    </row>
    <row r="39">
      <c r="A39" t="s">
        <v>182</v>
      </c>
      <c r="B39" t="s">
        <v>283</v>
      </c>
      <c r="C39" t="s">
        <v>183</v>
      </c>
      <c r="D39" t="s">
        <v>284</v>
      </c>
      <c r="E39" t="s">
        <v>33</v>
      </c>
      <c r="F39" t="n">
        <v>1.51546135415585</v>
      </c>
      <c r="G39" t="n">
        <v>1.47529310251825</v>
      </c>
      <c r="H39" t="n">
        <v>1.03466086969509</v>
      </c>
      <c r="I39" t="n">
        <v>0.872554871688908</v>
      </c>
      <c r="J39" t="n">
        <v>0.302962365275441</v>
      </c>
      <c r="K39" t="n">
        <v>0.202729141359206</v>
      </c>
      <c r="L39" t="n">
        <v>0.366067516784866</v>
      </c>
      <c r="M39" t="n">
        <v>0.185756355045686</v>
      </c>
      <c r="N39" t="n">
        <v>0.491625540323324</v>
      </c>
      <c r="O39" t="n">
        <v>0.841979124466085</v>
      </c>
      <c r="P39" t="n">
        <v>0.311998187016245</v>
      </c>
      <c r="Q39" t="n">
        <v>0.196895673458982</v>
      </c>
      <c r="R39" t="n">
        <v>0.492054217043725</v>
      </c>
      <c r="S39" t="n">
        <v>0.370045703412595</v>
      </c>
      <c r="T39" t="n">
        <v>0.407492210082926</v>
      </c>
      <c r="U39" t="n">
        <v>0.271250940470739</v>
      </c>
      <c r="V39" t="n">
        <v>0.0467419091011533</v>
      </c>
      <c r="W39" t="n">
        <v>-0.0413020304335275</v>
      </c>
      <c r="X39" t="n">
        <v>0.0925207047809101</v>
      </c>
      <c r="Y39" t="n">
        <v>0.336321276177312</v>
      </c>
      <c r="Z39" t="n">
        <v>0.0928807640755631</v>
      </c>
      <c r="AA39" t="n">
        <v>-0.171529651357125</v>
      </c>
      <c r="AB39" t="n">
        <v>0.0263953935804269</v>
      </c>
      <c r="AC39" t="n">
        <v>-0.0117149689555195</v>
      </c>
      <c r="AD39" t="n">
        <v>-0.0258338425531164</v>
      </c>
      <c r="AE39" t="n">
        <v>0.2009589701618</v>
      </c>
      <c r="AF39"/>
    </row>
    <row r="40">
      <c r="A40" t="s">
        <v>184</v>
      </c>
      <c r="B40" t="s">
        <v>283</v>
      </c>
      <c r="C40" t="s">
        <v>185</v>
      </c>
      <c r="D40" t="s">
        <v>284</v>
      </c>
      <c r="E40" t="s">
        <v>33</v>
      </c>
      <c r="F40" t="n">
        <v>0.0383385663909736</v>
      </c>
      <c r="G40" t="n">
        <v>0.0495886518426107</v>
      </c>
      <c r="H40" t="n">
        <v>0.0298541508963605</v>
      </c>
      <c r="I40" t="n">
        <v>0.0229640099963054</v>
      </c>
      <c r="J40" t="n">
        <v>0.0646254650656636</v>
      </c>
      <c r="K40" t="n">
        <v>0.0889255963470161</v>
      </c>
      <c r="L40" t="n">
        <v>0.0631316250935621</v>
      </c>
      <c r="M40" t="n">
        <v>0.0381815898315086</v>
      </c>
      <c r="N40" t="n">
        <v>0.010212441704674</v>
      </c>
      <c r="O40" t="n">
        <v>-0.0173542353452088</v>
      </c>
      <c r="P40" t="n">
        <v>0.0193831886756303</v>
      </c>
      <c r="Q40" t="n">
        <v>-0.0160986543907636</v>
      </c>
      <c r="R40" t="n">
        <v>0.00990021029187745</v>
      </c>
      <c r="S40" t="n">
        <v>0.0290455193309977</v>
      </c>
      <c r="T40" t="n">
        <v>0.0341689682698511</v>
      </c>
      <c r="U40" t="n">
        <v>0.0584252533405228</v>
      </c>
      <c r="V40" t="n">
        <v>0.00122227385430796</v>
      </c>
      <c r="W40" t="n">
        <v>-0.0329414043724114</v>
      </c>
      <c r="X40" t="n">
        <v>-0.0218956418988491</v>
      </c>
      <c r="Y40" t="n">
        <v>-0.00319800900932084</v>
      </c>
      <c r="Z40" t="n">
        <v>-0.00231503881821161</v>
      </c>
      <c r="AA40" t="n">
        <v>-0.0149029425770787</v>
      </c>
      <c r="AB40" t="n">
        <v>-0.00541265967011887</v>
      </c>
      <c r="AC40" t="n">
        <v>0.00705395546170046</v>
      </c>
      <c r="AD40" t="n">
        <v>0.0241966665325961</v>
      </c>
      <c r="AE40" t="n">
        <v>0.0333809506495255</v>
      </c>
      <c r="AF40"/>
    </row>
    <row r="41">
      <c r="A41" t="s">
        <v>186</v>
      </c>
      <c r="B41" t="s">
        <v>283</v>
      </c>
      <c r="C41" t="s">
        <v>187</v>
      </c>
      <c r="D41" t="s">
        <v>284</v>
      </c>
      <c r="E41" t="s">
        <v>33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283</v>
      </c>
      <c r="C42" t="s">
        <v>189</v>
      </c>
      <c r="D42" t="s">
        <v>284</v>
      </c>
      <c r="E42" t="s">
        <v>33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283</v>
      </c>
      <c r="C43" t="s">
        <v>191</v>
      </c>
      <c r="D43" t="s">
        <v>284</v>
      </c>
      <c r="E43" t="s">
        <v>33</v>
      </c>
      <c r="F43" t="n">
        <v>0.419575077940445</v>
      </c>
      <c r="G43" t="n">
        <v>0.801147168191273</v>
      </c>
      <c r="H43" t="n">
        <v>1.4885419190866</v>
      </c>
      <c r="I43" t="n">
        <v>0.263775362546053</v>
      </c>
      <c r="J43" t="n">
        <v>-0.31641195783636</v>
      </c>
      <c r="K43" t="n">
        <v>-0.298076624719268</v>
      </c>
      <c r="L43" t="n">
        <v>-0.0985499524090535</v>
      </c>
      <c r="M43" t="n">
        <v>0.634703416273029</v>
      </c>
      <c r="N43" t="n">
        <v>0.582097769757701</v>
      </c>
      <c r="O43" t="n">
        <v>0.596796903573283</v>
      </c>
      <c r="P43" t="n">
        <v>0.454992312227827</v>
      </c>
      <c r="Q43" t="n">
        <v>0.964247289337254</v>
      </c>
      <c r="R43" t="n">
        <v>0.314179022912787</v>
      </c>
      <c r="S43" t="n">
        <v>-0.0931697869003868</v>
      </c>
      <c r="T43" t="n">
        <v>-0.064191758548778</v>
      </c>
      <c r="U43" t="n">
        <v>0.13874223756685</v>
      </c>
      <c r="V43" t="n">
        <v>0.152085796317563</v>
      </c>
      <c r="W43" t="n">
        <v>-0.0493489291885625</v>
      </c>
      <c r="X43" t="n">
        <v>0.0753059905195633</v>
      </c>
      <c r="Y43" t="n">
        <v>0.03423996415116</v>
      </c>
      <c r="Z43" t="n">
        <v>0.0740221178012101</v>
      </c>
      <c r="AA43" t="n">
        <v>0.0595471760279419</v>
      </c>
      <c r="AB43" t="n">
        <v>0.150848555834061</v>
      </c>
      <c r="AC43" t="n">
        <v>0.0908263446583639</v>
      </c>
      <c r="AD43" t="n">
        <v>0.1553021048616</v>
      </c>
      <c r="AE43" t="n">
        <v>0.0846480781468611</v>
      </c>
      <c r="AF43"/>
    </row>
    <row r="44">
      <c r="A44" t="s">
        <v>192</v>
      </c>
      <c r="B44" t="s">
        <v>283</v>
      </c>
      <c r="C44" t="s">
        <v>193</v>
      </c>
      <c r="D44" t="s">
        <v>284</v>
      </c>
      <c r="E44" t="s">
        <v>33</v>
      </c>
      <c r="F44" t="n">
        <v>0.838386290093313</v>
      </c>
      <c r="G44" t="n">
        <v>0.860542856873866</v>
      </c>
      <c r="H44" t="n">
        <v>0.654721416036473</v>
      </c>
      <c r="I44" t="n">
        <v>0.353073570016982</v>
      </c>
      <c r="J44" t="n">
        <v>0.231616434635724</v>
      </c>
      <c r="K44" t="n">
        <v>0.192241261861916</v>
      </c>
      <c r="L44" t="n">
        <v>0.140317981227826</v>
      </c>
      <c r="M44" t="n">
        <v>0.0116065234818082</v>
      </c>
      <c r="N44" t="n">
        <v>0.0828881507230739</v>
      </c>
      <c r="O44" t="n">
        <v>0.159763398372077</v>
      </c>
      <c r="P44" t="n">
        <v>0.16732104935072</v>
      </c>
      <c r="Q44" t="n">
        <v>0.140872791081603</v>
      </c>
      <c r="R44" t="n">
        <v>0.206832046545798</v>
      </c>
      <c r="S44" t="n">
        <v>0.179974757247534</v>
      </c>
      <c r="T44" t="n">
        <v>0.0500941520263557</v>
      </c>
      <c r="U44" t="n">
        <v>0.116307774575046</v>
      </c>
      <c r="V44" t="n">
        <v>0.10382536401712</v>
      </c>
      <c r="W44" t="n">
        <v>0.0792170591058909</v>
      </c>
      <c r="X44" t="n">
        <v>0.0823985703528046</v>
      </c>
      <c r="Y44" t="n">
        <v>0.0936063454365861</v>
      </c>
      <c r="Z44" t="n">
        <v>0.0645268138989079</v>
      </c>
      <c r="AA44" t="n">
        <v>0.00198019872890504</v>
      </c>
      <c r="AB44" t="n">
        <v>0.0477069360357094</v>
      </c>
      <c r="AC44" t="n">
        <v>0.0593677830228116</v>
      </c>
      <c r="AD44" t="n">
        <v>0.0695026582804291</v>
      </c>
      <c r="AE44" t="n">
        <v>0.079914273386769</v>
      </c>
      <c r="AF44"/>
    </row>
    <row r="45">
      <c r="A45" t="s">
        <v>194</v>
      </c>
      <c r="B45" t="s">
        <v>283</v>
      </c>
      <c r="C45" t="s">
        <v>195</v>
      </c>
      <c r="D45" t="s">
        <v>284</v>
      </c>
      <c r="E45" t="s">
        <v>33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283</v>
      </c>
      <c r="C46" t="s">
        <v>197</v>
      </c>
      <c r="D46" t="s">
        <v>284</v>
      </c>
      <c r="E46" t="s">
        <v>33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283</v>
      </c>
      <c r="C47" t="s">
        <v>199</v>
      </c>
      <c r="D47" t="s">
        <v>284</v>
      </c>
      <c r="E47" t="s">
        <v>33</v>
      </c>
      <c r="F47" t="n">
        <v>0.665429221731694</v>
      </c>
      <c r="G47" t="n">
        <v>0.617986220933887</v>
      </c>
      <c r="H47" t="n">
        <v>0.448181188519238</v>
      </c>
      <c r="I47" t="n">
        <v>-0.0476049821246689</v>
      </c>
      <c r="J47" t="n">
        <v>0.234722283347006</v>
      </c>
      <c r="K47" t="n">
        <v>0.106714429630813</v>
      </c>
      <c r="L47" t="n">
        <v>-0.136011073119338</v>
      </c>
      <c r="M47" t="n">
        <v>-0.0952627426010488</v>
      </c>
      <c r="N47" t="n">
        <v>-0.109787793507001</v>
      </c>
      <c r="O47" t="n">
        <v>-0.128745984381864</v>
      </c>
      <c r="P47" t="n">
        <v>-0.0982709096043161</v>
      </c>
      <c r="Q47" t="n">
        <v>-0.108512750174976</v>
      </c>
      <c r="R47" t="n">
        <v>-0.0731234485338083</v>
      </c>
      <c r="S47" t="n">
        <v>-0.048217732671524</v>
      </c>
      <c r="T47" t="n">
        <v>0.0166530711584091</v>
      </c>
      <c r="U47" t="n">
        <v>0.0674066872853354</v>
      </c>
      <c r="V47" t="n">
        <v>0.000457731331443063</v>
      </c>
      <c r="W47" t="n">
        <v>-0.0494118708633886</v>
      </c>
      <c r="X47" t="n">
        <v>0.0502988228419633</v>
      </c>
      <c r="Y47" t="n">
        <v>0.16410770257977</v>
      </c>
      <c r="Z47" t="n">
        <v>0.166119732376795</v>
      </c>
      <c r="AA47" t="n">
        <v>0.138315550949712</v>
      </c>
      <c r="AB47" t="n">
        <v>0.109495844110409</v>
      </c>
      <c r="AC47" t="n">
        <v>0.0916739030876442</v>
      </c>
      <c r="AD47" t="n">
        <v>0.0999403904298932</v>
      </c>
      <c r="AE47" t="n">
        <v>0.129088324077361</v>
      </c>
      <c r="AF47"/>
    </row>
    <row r="48">
      <c r="A48" t="s">
        <v>200</v>
      </c>
      <c r="B48" t="s">
        <v>283</v>
      </c>
      <c r="C48" t="s">
        <v>201</v>
      </c>
      <c r="D48" t="s">
        <v>284</v>
      </c>
      <c r="E48" t="s">
        <v>33</v>
      </c>
      <c r="F48" t="n">
        <v>0.500709088889496</v>
      </c>
      <c r="G48" t="n">
        <v>0.488243628362342</v>
      </c>
      <c r="H48" t="n">
        <v>0.304557433466228</v>
      </c>
      <c r="I48" t="n">
        <v>0.0334583614786116</v>
      </c>
      <c r="J48" t="n">
        <v>0.149234910191583</v>
      </c>
      <c r="K48" t="n">
        <v>0.0657432609843849</v>
      </c>
      <c r="L48" t="n">
        <v>-0.0485200870315899</v>
      </c>
      <c r="M48" t="n">
        <v>-0.036079878040787</v>
      </c>
      <c r="N48" t="n">
        <v>-0.0489813147525917</v>
      </c>
      <c r="O48" t="n">
        <v>-0.0224910080170489</v>
      </c>
      <c r="P48" t="n">
        <v>-0.0209596099688071</v>
      </c>
      <c r="Q48" t="n">
        <v>-0.0558665752999252</v>
      </c>
      <c r="R48" t="n">
        <v>-0.0196511513835271</v>
      </c>
      <c r="S48" t="n">
        <v>-0.000999967554133423</v>
      </c>
      <c r="T48" t="n">
        <v>0.027057457791786</v>
      </c>
      <c r="U48" t="n">
        <v>0.0828208600378581</v>
      </c>
      <c r="V48" t="n">
        <v>0.0468710657677853</v>
      </c>
      <c r="W48" t="n">
        <v>-0.00167966350315172</v>
      </c>
      <c r="X48" t="n">
        <v>0.0431944269344478</v>
      </c>
      <c r="Y48" t="n">
        <v>0.0853134407334592</v>
      </c>
      <c r="Z48" t="n">
        <v>0.0616696626710671</v>
      </c>
      <c r="AA48" t="n">
        <v>0.0321391422384429</v>
      </c>
      <c r="AB48" t="n">
        <v>0.0353134347822745</v>
      </c>
      <c r="AC48" t="n">
        <v>0.0186174871742119</v>
      </c>
      <c r="AD48" t="n">
        <v>0.0331069159403852</v>
      </c>
      <c r="AE48" t="n">
        <v>0.0453538303535023</v>
      </c>
      <c r="AF48"/>
    </row>
    <row r="49">
      <c r="A49" t="s">
        <v>202</v>
      </c>
      <c r="B49" t="s">
        <v>283</v>
      </c>
      <c r="C49" t="s">
        <v>203</v>
      </c>
      <c r="D49" t="s">
        <v>284</v>
      </c>
      <c r="E49" t="s">
        <v>33</v>
      </c>
      <c r="F49" t="n">
        <v>0.257846074522698</v>
      </c>
      <c r="G49" t="n">
        <v>0.247082058661584</v>
      </c>
      <c r="H49" t="n">
        <v>0.122795149371234</v>
      </c>
      <c r="I49" t="n">
        <v>0.0439176852027351</v>
      </c>
      <c r="J49" t="n">
        <v>0.0393110889734269</v>
      </c>
      <c r="K49" t="n">
        <v>-0.00175903769679979</v>
      </c>
      <c r="L49" t="n">
        <v>0.00931721753601987</v>
      </c>
      <c r="M49" t="n">
        <v>-0.01345029715592</v>
      </c>
      <c r="N49" t="n">
        <v>-0.00447787416157692</v>
      </c>
      <c r="O49" t="n">
        <v>0.0271141652170208</v>
      </c>
      <c r="P49" t="n">
        <v>0.0437353605349979</v>
      </c>
      <c r="Q49" t="n">
        <v>0.0165997749922667</v>
      </c>
      <c r="R49" t="n">
        <v>0.0613897952393283</v>
      </c>
      <c r="S49" t="n">
        <v>0.0745896707851185</v>
      </c>
      <c r="T49" t="n">
        <v>0.0864266103199616</v>
      </c>
      <c r="U49" t="n">
        <v>0.124176434232572</v>
      </c>
      <c r="V49" t="n">
        <v>0.0927948171305163</v>
      </c>
      <c r="W49" t="n">
        <v>0.017364775023297</v>
      </c>
      <c r="X49" t="n">
        <v>0.0413867208294779</v>
      </c>
      <c r="Y49" t="n">
        <v>0.0397656042472493</v>
      </c>
      <c r="Z49" t="n">
        <v>0.00842142235043909</v>
      </c>
      <c r="AA49" t="n">
        <v>-0.0242864925859726</v>
      </c>
      <c r="AB49" t="n">
        <v>-0.011836892106848</v>
      </c>
      <c r="AC49" t="n">
        <v>-0.0185527707027751</v>
      </c>
      <c r="AD49" t="n">
        <v>0.00467585688320339</v>
      </c>
      <c r="AE49" t="n">
        <v>0.0243373937615879</v>
      </c>
      <c r="AF49"/>
    </row>
    <row r="50">
      <c r="A50" t="s">
        <v>204</v>
      </c>
      <c r="B50" t="s">
        <v>283</v>
      </c>
      <c r="C50" t="s">
        <v>205</v>
      </c>
      <c r="D50" t="s">
        <v>284</v>
      </c>
      <c r="E50" t="s">
        <v>33</v>
      </c>
      <c r="F50" t="n">
        <v>0.442995050709389</v>
      </c>
      <c r="G50" t="n">
        <v>0.492863678509161</v>
      </c>
      <c r="H50" t="n">
        <v>0.252199758427231</v>
      </c>
      <c r="I50" t="n">
        <v>0.12955502173217</v>
      </c>
      <c r="J50" t="n">
        <v>0.134973826847395</v>
      </c>
      <c r="K50" t="n">
        <v>0.0702718687245685</v>
      </c>
      <c r="L50" t="n">
        <v>0.0111137596532166</v>
      </c>
      <c r="M50" t="n">
        <v>0.0166375206298327</v>
      </c>
      <c r="N50" t="n">
        <v>-0.0112063377302999</v>
      </c>
      <c r="O50" t="n">
        <v>0.0626764059471941</v>
      </c>
      <c r="P50" t="n">
        <v>0.0214842217225205</v>
      </c>
      <c r="Q50" t="n">
        <v>-0.0478303550293892</v>
      </c>
      <c r="R50" t="n">
        <v>-0.0163645335988337</v>
      </c>
      <c r="S50" t="n">
        <v>-0.00278504211632393</v>
      </c>
      <c r="T50" t="n">
        <v>-0.00228555535508361</v>
      </c>
      <c r="U50" t="n">
        <v>0.0699129628794971</v>
      </c>
      <c r="V50" t="n">
        <v>0.0580551488429714</v>
      </c>
      <c r="W50" t="n">
        <v>0.0259741968558699</v>
      </c>
      <c r="X50" t="n">
        <v>0.0387514717495258</v>
      </c>
      <c r="Y50" t="n">
        <v>0.0527278252652068</v>
      </c>
      <c r="Z50" t="n">
        <v>0.0168482081149954</v>
      </c>
      <c r="AA50" t="n">
        <v>-0.00869988274645624</v>
      </c>
      <c r="AB50" t="n">
        <v>0.0116770292485997</v>
      </c>
      <c r="AC50" t="n">
        <v>-0.00900739189249767</v>
      </c>
      <c r="AD50" t="n">
        <v>0.00510802423667809</v>
      </c>
      <c r="AE50" t="n">
        <v>0.00298940989360892</v>
      </c>
      <c r="AF50"/>
    </row>
    <row r="51">
      <c r="A51" t="s">
        <v>206</v>
      </c>
      <c r="B51" t="s">
        <v>283</v>
      </c>
      <c r="C51" t="s">
        <v>207</v>
      </c>
      <c r="D51" t="s">
        <v>284</v>
      </c>
      <c r="E51" t="s">
        <v>33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283</v>
      </c>
      <c r="C52" t="s">
        <v>209</v>
      </c>
      <c r="D52" t="s">
        <v>284</v>
      </c>
      <c r="E52" t="s">
        <v>33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283</v>
      </c>
      <c r="C53" t="s">
        <v>211</v>
      </c>
      <c r="D53" t="s">
        <v>284</v>
      </c>
      <c r="E53" t="s">
        <v>33</v>
      </c>
      <c r="F53" t="n">
        <v>0.478041385308424</v>
      </c>
      <c r="G53" t="n">
        <v>0.771826466581407</v>
      </c>
      <c r="H53" t="n">
        <v>0.75845162459085</v>
      </c>
      <c r="I53" t="n">
        <v>0.235678691766958</v>
      </c>
      <c r="J53" t="n">
        <v>0.333587670635671</v>
      </c>
      <c r="K53" t="n">
        <v>0.369949683080128</v>
      </c>
      <c r="L53" t="n">
        <v>0.635968124644001</v>
      </c>
      <c r="M53" t="n">
        <v>-0.155390937785149</v>
      </c>
      <c r="N53" t="n">
        <v>0.156488506229162</v>
      </c>
      <c r="O53" t="n">
        <v>0.136757474283445</v>
      </c>
      <c r="P53" t="n">
        <v>-0.0828377962049749</v>
      </c>
      <c r="Q53" t="n">
        <v>-0.114077378265079</v>
      </c>
      <c r="R53" t="n">
        <v>-0.173002557443987</v>
      </c>
      <c r="S53" t="n">
        <v>0.0385216601616529</v>
      </c>
      <c r="T53" t="n">
        <v>-0.103811510200487</v>
      </c>
      <c r="U53" t="n">
        <v>-0.0508973601213199</v>
      </c>
      <c r="V53" t="n">
        <v>-0.0435172870377131</v>
      </c>
      <c r="W53" t="n">
        <v>-0.107600861261008</v>
      </c>
      <c r="X53" t="n">
        <v>-0.0369044945096121</v>
      </c>
      <c r="Y53" t="n">
        <v>-0.000923893262879914</v>
      </c>
      <c r="Z53" t="n">
        <v>0.0150963244662048</v>
      </c>
      <c r="AA53" t="n">
        <v>-0.0372768846248893</v>
      </c>
      <c r="AB53" t="n">
        <v>-0.0141555034110663</v>
      </c>
      <c r="AC53" t="n">
        <v>0.0636288995335336</v>
      </c>
      <c r="AD53" t="n">
        <v>0.0281097009082222</v>
      </c>
      <c r="AE53" t="n">
        <v>-0.069389427979417</v>
      </c>
      <c r="AF53"/>
    </row>
    <row r="54">
      <c r="A54" t="s">
        <v>212</v>
      </c>
      <c r="B54" t="s">
        <v>283</v>
      </c>
      <c r="C54" t="s">
        <v>213</v>
      </c>
      <c r="D54" t="s">
        <v>284</v>
      </c>
      <c r="E54" t="s">
        <v>33</v>
      </c>
      <c r="F54" t="n">
        <v>0.410840900920914</v>
      </c>
      <c r="G54" t="n">
        <v>0.545289054616538</v>
      </c>
      <c r="H54" t="n">
        <v>0.529961872249182</v>
      </c>
      <c r="I54" t="n">
        <v>0.139847087670042</v>
      </c>
      <c r="J54" t="n">
        <v>0.324162255288954</v>
      </c>
      <c r="K54" t="n">
        <v>0.313083698841381</v>
      </c>
      <c r="L54" t="n">
        <v>0.323429530793932</v>
      </c>
      <c r="M54" t="n">
        <v>-0.160326907049276</v>
      </c>
      <c r="N54" t="n">
        <v>0.0507120126154067</v>
      </c>
      <c r="O54" t="n">
        <v>0.115711451166432</v>
      </c>
      <c r="P54" t="n">
        <v>-0.0353716986314492</v>
      </c>
      <c r="Q54" t="n">
        <v>-0.0684092111906039</v>
      </c>
      <c r="R54" t="n">
        <v>-0.0391624161948882</v>
      </c>
      <c r="S54" t="n">
        <v>0.0812343697030893</v>
      </c>
      <c r="T54" t="n">
        <v>-0.0407785949906886</v>
      </c>
      <c r="U54" t="n">
        <v>0.022294505671198</v>
      </c>
      <c r="V54" t="n">
        <v>0.00298436586901263</v>
      </c>
      <c r="W54" t="n">
        <v>-0.075056431164437</v>
      </c>
      <c r="X54" t="n">
        <v>0.00294324489735106</v>
      </c>
      <c r="Y54" t="n">
        <v>0.0055462725458557</v>
      </c>
      <c r="Z54" t="n">
        <v>0.0196700540170055</v>
      </c>
      <c r="AA54" t="n">
        <v>-0.0261043189218159</v>
      </c>
      <c r="AB54" t="n">
        <v>0.00984266699353107</v>
      </c>
      <c r="AC54" t="n">
        <v>0.0674832690840503</v>
      </c>
      <c r="AD54" t="n">
        <v>0.0410309597271412</v>
      </c>
      <c r="AE54" t="n">
        <v>0.0244695974320161</v>
      </c>
      <c r="AF54"/>
    </row>
    <row r="55">
      <c r="A55" t="s">
        <v>214</v>
      </c>
      <c r="B55" t="s">
        <v>283</v>
      </c>
      <c r="C55" t="s">
        <v>215</v>
      </c>
      <c r="D55" t="s">
        <v>284</v>
      </c>
      <c r="E55" t="s">
        <v>33</v>
      </c>
      <c r="F55" t="n">
        <v>0.376102583174225</v>
      </c>
      <c r="G55" t="n">
        <v>0.421314014153507</v>
      </c>
      <c r="H55" t="n">
        <v>0.403870300837485</v>
      </c>
      <c r="I55" t="n">
        <v>0.0879433193322313</v>
      </c>
      <c r="J55" t="n">
        <v>0.319199614932285</v>
      </c>
      <c r="K55" t="n">
        <v>0.282429431166391</v>
      </c>
      <c r="L55" t="n">
        <v>0.158565001969177</v>
      </c>
      <c r="M55" t="n">
        <v>-0.162834141402306</v>
      </c>
      <c r="N55" t="n">
        <v>-0.00453967044063639</v>
      </c>
      <c r="O55" t="n">
        <v>0.104700093080404</v>
      </c>
      <c r="P55" t="n">
        <v>-0.0111547354904278</v>
      </c>
      <c r="Q55" t="n">
        <v>-0.0456997945163854</v>
      </c>
      <c r="R55" t="n">
        <v>0.0258862398071209</v>
      </c>
      <c r="S55" t="n">
        <v>0.101956847900288</v>
      </c>
      <c r="T55" t="n">
        <v>-0.00988187846049455</v>
      </c>
      <c r="U55" t="n">
        <v>0.0578347205746748</v>
      </c>
      <c r="V55" t="n">
        <v>0.0252264711335301</v>
      </c>
      <c r="W55" t="n">
        <v>-0.0593339277339845</v>
      </c>
      <c r="X55" t="n">
        <v>0.0227376817116067</v>
      </c>
      <c r="Y55" t="n">
        <v>0.00891126598337284</v>
      </c>
      <c r="Z55" t="n">
        <v>0.022184609236447</v>
      </c>
      <c r="AA55" t="n">
        <v>-0.0198094606068548</v>
      </c>
      <c r="AB55" t="n">
        <v>0.023303684676374</v>
      </c>
      <c r="AC55" t="n">
        <v>0.06960910640484</v>
      </c>
      <c r="AD55" t="n">
        <v>0.0480698100830613</v>
      </c>
      <c r="AE55" t="n">
        <v>0.0743529119629096</v>
      </c>
      <c r="AF55"/>
    </row>
    <row r="56">
      <c r="A56" t="s">
        <v>216</v>
      </c>
      <c r="B56" t="s">
        <v>283</v>
      </c>
      <c r="C56" t="s">
        <v>217</v>
      </c>
      <c r="D56" t="s">
        <v>284</v>
      </c>
      <c r="E56" t="s">
        <v>33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283</v>
      </c>
      <c r="C57" t="s">
        <v>219</v>
      </c>
      <c r="D57" t="s">
        <v>284</v>
      </c>
      <c r="E57" t="s">
        <v>33</v>
      </c>
      <c r="F57" t="n">
        <v>0.70126540819539</v>
      </c>
      <c r="G57" t="n">
        <v>0.716048649439072</v>
      </c>
      <c r="H57" t="n">
        <v>0.534137937349622</v>
      </c>
      <c r="I57" t="n">
        <v>0.266001341835029</v>
      </c>
      <c r="J57" t="n">
        <v>0.200180687970257</v>
      </c>
      <c r="K57" t="n">
        <v>0.158915459981518</v>
      </c>
      <c r="L57" t="n">
        <v>0.0985743908787878</v>
      </c>
      <c r="M57" t="n">
        <v>0.0052663778048468</v>
      </c>
      <c r="N57" t="n">
        <v>0.0509924683139575</v>
      </c>
      <c r="O57" t="n">
        <v>0.108601829843813</v>
      </c>
      <c r="P57" t="n">
        <v>0.117585794244514</v>
      </c>
      <c r="Q57" t="n">
        <v>0.0887051543923359</v>
      </c>
      <c r="R57" t="n">
        <v>0.144512035580674</v>
      </c>
      <c r="S57" t="n">
        <v>0.129986411323374</v>
      </c>
      <c r="T57" t="n">
        <v>0.0437762848014587</v>
      </c>
      <c r="U57" t="n">
        <v>0.103504584588783</v>
      </c>
      <c r="V57" t="n">
        <v>0.082030332229126</v>
      </c>
      <c r="W57" t="n">
        <v>0.0521061592236715</v>
      </c>
      <c r="X57" t="n">
        <v>0.0655942858860996</v>
      </c>
      <c r="Y57" t="n">
        <v>0.0847508664277913</v>
      </c>
      <c r="Z57" t="n">
        <v>0.059426656263264</v>
      </c>
      <c r="AA57" t="n">
        <v>0.00754411694323974</v>
      </c>
      <c r="AB57" t="n">
        <v>0.0412462299813882</v>
      </c>
      <c r="AC57" t="n">
        <v>0.0469508860203815</v>
      </c>
      <c r="AD57" t="n">
        <v>0.0588843173097331</v>
      </c>
      <c r="AE57" t="n">
        <v>0.0697218976346961</v>
      </c>
      <c r="AF57"/>
    </row>
    <row r="58">
      <c r="A58" t="s">
        <v>220</v>
      </c>
      <c r="B58" t="s">
        <v>283</v>
      </c>
      <c r="C58" t="s">
        <v>221</v>
      </c>
      <c r="D58" t="s">
        <v>284</v>
      </c>
      <c r="E58" t="s">
        <v>33</v>
      </c>
      <c r="F58" t="n">
        <v>0.701352222131279</v>
      </c>
      <c r="G58" t="n">
        <v>0.71613583736883</v>
      </c>
      <c r="H58" t="n">
        <v>0.534201064379662</v>
      </c>
      <c r="I58" t="n">
        <v>0.266032442887562</v>
      </c>
      <c r="J58" t="n">
        <v>0.200203333467057</v>
      </c>
      <c r="K58" t="n">
        <v>0.158932332749441</v>
      </c>
      <c r="L58" t="n">
        <v>0.0985845585770464</v>
      </c>
      <c r="M58" t="n">
        <v>0.00526690512919389</v>
      </c>
      <c r="N58" t="n">
        <v>0.0509972461608523</v>
      </c>
      <c r="O58" t="n">
        <v>0.108611400012155</v>
      </c>
      <c r="P58" t="n">
        <v>0.117595893861617</v>
      </c>
      <c r="Q58" t="n">
        <v>0.0887129289900421</v>
      </c>
      <c r="R58" t="n">
        <v>0.144524893052689</v>
      </c>
      <c r="S58" t="n">
        <v>0.129998105150696</v>
      </c>
      <c r="T58" t="n">
        <v>0.0437803819093554</v>
      </c>
      <c r="U58" t="n">
        <v>0.103514753639432</v>
      </c>
      <c r="V58" t="n">
        <v>0.0820388964728471</v>
      </c>
      <c r="W58" t="n">
        <v>0.0521120979691104</v>
      </c>
      <c r="X58" t="n">
        <v>0.0656026347831122</v>
      </c>
      <c r="Y58" t="n">
        <v>0.0847631174580652</v>
      </c>
      <c r="Z58" t="n">
        <v>0.0594358681684892</v>
      </c>
      <c r="AA58" t="n">
        <v>0.0075452535901005</v>
      </c>
      <c r="AB58" t="n">
        <v>0.041252167298228</v>
      </c>
      <c r="AC58" t="n">
        <v>0.0469575851950924</v>
      </c>
      <c r="AD58" t="n">
        <v>0.0588927174532801</v>
      </c>
      <c r="AE58" t="n">
        <v>0.069731713615093</v>
      </c>
      <c r="AF58"/>
    </row>
    <row r="59">
      <c r="A59" t="s">
        <v>222</v>
      </c>
      <c r="B59" t="s">
        <v>283</v>
      </c>
      <c r="C59" t="s">
        <v>223</v>
      </c>
      <c r="D59" t="s">
        <v>284</v>
      </c>
      <c r="E59" t="s">
        <v>33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283</v>
      </c>
      <c r="C2" t="s">
        <v>108</v>
      </c>
      <c r="D2" t="s">
        <v>284</v>
      </c>
      <c r="E2" t="s">
        <v>35</v>
      </c>
      <c r="F2" t="n">
        <v>-0.149480613350656</v>
      </c>
      <c r="G2" t="n">
        <v>-0.0957064433023589</v>
      </c>
      <c r="H2" t="n">
        <v>-0.0573773526673945</v>
      </c>
      <c r="I2" t="n">
        <v>-0.00105601158202409</v>
      </c>
      <c r="J2" t="n">
        <v>0.0124210112525563</v>
      </c>
      <c r="K2" t="n">
        <v>-0.0357624481942321</v>
      </c>
      <c r="L2" t="n">
        <v>-0.0173685823295333</v>
      </c>
      <c r="M2" t="n">
        <v>0.0150304452166657</v>
      </c>
      <c r="N2" t="n">
        <v>-0.0446099776914117</v>
      </c>
      <c r="O2" t="n">
        <v>-0.0764279996270285</v>
      </c>
      <c r="P2" t="n">
        <v>-0.0735733148312013</v>
      </c>
      <c r="Q2" t="n">
        <v>-0.111395217629803</v>
      </c>
      <c r="R2" t="n">
        <v>-0.0863248997913611</v>
      </c>
      <c r="S2" t="n">
        <v>-0.0866484937370755</v>
      </c>
      <c r="T2" t="n">
        <v>-0.0583447973157348</v>
      </c>
      <c r="U2" t="n">
        <v>-0.0512425527435902</v>
      </c>
      <c r="V2" t="n">
        <v>-0.0608252859359798</v>
      </c>
      <c r="W2" t="n">
        <v>-0.0220736210958937</v>
      </c>
      <c r="X2" t="n">
        <v>-0.0129574158061257</v>
      </c>
      <c r="Y2" t="n">
        <v>-0.0244429645287573</v>
      </c>
      <c r="Z2" t="n">
        <v>-0.00419173282879065</v>
      </c>
      <c r="AA2" t="n">
        <v>-0.00949613847969781</v>
      </c>
      <c r="AB2" t="n">
        <v>0.0179863986192143</v>
      </c>
      <c r="AC2" t="n">
        <v>-0.0159918676246001</v>
      </c>
      <c r="AD2" t="n">
        <v>0</v>
      </c>
      <c r="AE2" t="n">
        <v>-0.0133588973571481</v>
      </c>
      <c r="AF2" t="n">
        <v>0</v>
      </c>
    </row>
    <row r="3">
      <c r="A3" t="s">
        <v>110</v>
      </c>
      <c r="B3" t="s">
        <v>283</v>
      </c>
      <c r="C3" t="s">
        <v>111</v>
      </c>
      <c r="D3" t="s">
        <v>284</v>
      </c>
      <c r="E3" t="s">
        <v>35</v>
      </c>
      <c r="F3" t="n">
        <v>0.00190140526131651</v>
      </c>
      <c r="G3" t="n">
        <v>0.00331230574330307</v>
      </c>
      <c r="H3" t="n">
        <v>-0.000753066455540401</v>
      </c>
      <c r="I3" t="n">
        <v>0.0572202289633429</v>
      </c>
      <c r="J3" t="n">
        <v>0.091572981033712</v>
      </c>
      <c r="K3" t="n">
        <v>0.0498065425170124</v>
      </c>
      <c r="L3" t="n">
        <v>0.079648505617867</v>
      </c>
      <c r="M3" t="n">
        <v>-0.15664356676949</v>
      </c>
      <c r="N3" t="n">
        <v>-0.240328770193198</v>
      </c>
      <c r="O3" t="n">
        <v>-0.245962134183899</v>
      </c>
      <c r="P3" t="n">
        <v>-0.159326021253077</v>
      </c>
      <c r="Q3" t="n">
        <v>-0.296951811848927</v>
      </c>
      <c r="R3" t="n">
        <v>-0.259139595327021</v>
      </c>
      <c r="S3" t="n">
        <v>-0.32923084776974</v>
      </c>
      <c r="T3" t="n">
        <v>-0.34524267367733</v>
      </c>
      <c r="U3" t="n">
        <v>-0.326659903072501</v>
      </c>
      <c r="V3" t="n">
        <v>-0.280988264793696</v>
      </c>
      <c r="W3" t="n">
        <v>-0.250559765245389</v>
      </c>
      <c r="X3" t="n">
        <v>-0.17537869393216</v>
      </c>
      <c r="Y3" t="n">
        <v>-0.137905437491801</v>
      </c>
      <c r="Z3" t="n">
        <v>-0.192211151506076</v>
      </c>
      <c r="AA3" t="n">
        <v>-0.150052912797448</v>
      </c>
      <c r="AB3" t="n">
        <v>-0.145526581929203</v>
      </c>
      <c r="AC3" t="n">
        <v>-0.116306239420848</v>
      </c>
      <c r="AD3" t="n">
        <v>0</v>
      </c>
      <c r="AE3" t="n">
        <v>-0.125574076946323</v>
      </c>
      <c r="AF3" t="n">
        <v>0</v>
      </c>
    </row>
    <row r="4">
      <c r="A4" t="s">
        <v>112</v>
      </c>
      <c r="B4" t="s">
        <v>283</v>
      </c>
      <c r="C4" t="s">
        <v>113</v>
      </c>
      <c r="D4" t="s">
        <v>284</v>
      </c>
      <c r="E4" t="s">
        <v>35</v>
      </c>
      <c r="F4" t="n">
        <v>0.243530764506753</v>
      </c>
      <c r="G4" t="n">
        <v>0.37236599796154</v>
      </c>
      <c r="H4" t="n">
        <v>0.434887991152738</v>
      </c>
      <c r="I4" t="n">
        <v>0.464453442027987</v>
      </c>
      <c r="J4" t="n">
        <v>0.384842894781735</v>
      </c>
      <c r="K4" t="n">
        <v>0.410842875599381</v>
      </c>
      <c r="L4" t="n">
        <v>0.441543873267315</v>
      </c>
      <c r="M4" t="n">
        <v>0.418265056358046</v>
      </c>
      <c r="N4" t="n">
        <v>0.361651461309447</v>
      </c>
      <c r="O4" t="n">
        <v>0.302003734537653</v>
      </c>
      <c r="P4" t="n">
        <v>0.431884372324843</v>
      </c>
      <c r="Q4" t="n">
        <v>0.445589779374392</v>
      </c>
      <c r="R4" t="n">
        <v>0.475407767659113</v>
      </c>
      <c r="S4" t="n">
        <v>0.35196158388686</v>
      </c>
      <c r="T4" t="n">
        <v>0.0128095046695562</v>
      </c>
      <c r="U4" t="n">
        <v>-0.0837280766584251</v>
      </c>
      <c r="V4" t="n">
        <v>-0.0409682194034979</v>
      </c>
      <c r="W4" t="n">
        <v>0.0188906855053329</v>
      </c>
      <c r="X4" t="n">
        <v>0.138893332572561</v>
      </c>
      <c r="Y4" t="n">
        <v>0.226647908836508</v>
      </c>
      <c r="Z4" t="n">
        <v>0.255650047831135</v>
      </c>
      <c r="AA4" t="n">
        <v>0.186844119053779</v>
      </c>
      <c r="AB4" t="n">
        <v>0.146229050601903</v>
      </c>
      <c r="AC4" t="n">
        <v>0.162882862611484</v>
      </c>
      <c r="AD4" t="n">
        <v>0</v>
      </c>
      <c r="AE4" t="n">
        <v>0.0435911003318614</v>
      </c>
      <c r="AF4" t="n">
        <v>0</v>
      </c>
    </row>
    <row r="5">
      <c r="A5" t="s">
        <v>114</v>
      </c>
      <c r="B5" t="s">
        <v>283</v>
      </c>
      <c r="C5" t="s">
        <v>115</v>
      </c>
      <c r="D5" t="s">
        <v>284</v>
      </c>
      <c r="E5" t="s">
        <v>35</v>
      </c>
      <c r="F5" t="n">
        <v>0.0920678779105267</v>
      </c>
      <c r="G5" t="n">
        <v>0.133756950358116</v>
      </c>
      <c r="H5" t="n">
        <v>0.170384357498348</v>
      </c>
      <c r="I5" t="n">
        <v>0.182353746075077</v>
      </c>
      <c r="J5" t="n">
        <v>0.210702020742401</v>
      </c>
      <c r="K5" t="n">
        <v>0.19148429909668</v>
      </c>
      <c r="L5" t="n">
        <v>0.187145195766604</v>
      </c>
      <c r="M5" t="n">
        <v>0.13369612845729</v>
      </c>
      <c r="N5" t="n">
        <v>0.232628092703947</v>
      </c>
      <c r="O5" t="n">
        <v>0.139217210573252</v>
      </c>
      <c r="P5" t="n">
        <v>0.165857633382979</v>
      </c>
      <c r="Q5" t="n">
        <v>0.205684494798429</v>
      </c>
      <c r="R5" t="n">
        <v>0.12789980183513</v>
      </c>
      <c r="S5" t="n">
        <v>0.0360095785289737</v>
      </c>
      <c r="T5" t="n">
        <v>-0.0813909382298954</v>
      </c>
      <c r="U5" t="n">
        <v>-0.100619644808416</v>
      </c>
      <c r="V5" t="n">
        <v>-0.0855247586116125</v>
      </c>
      <c r="W5" t="n">
        <v>-0.070710996931061</v>
      </c>
      <c r="X5" t="n">
        <v>-0.05009253172894</v>
      </c>
      <c r="Y5" t="n">
        <v>-0.0484005573839715</v>
      </c>
      <c r="Z5" t="n">
        <v>-0.125480920270925</v>
      </c>
      <c r="AA5" t="n">
        <v>-0.087777416504629</v>
      </c>
      <c r="AB5" t="n">
        <v>-0.0223433248600327</v>
      </c>
      <c r="AC5" t="n">
        <v>0.00776777873691616</v>
      </c>
      <c r="AD5" t="n">
        <v>0</v>
      </c>
      <c r="AE5" t="n">
        <v>0.002378825962262</v>
      </c>
      <c r="AF5" t="n">
        <v>0</v>
      </c>
    </row>
    <row r="6">
      <c r="A6" t="s">
        <v>116</v>
      </c>
      <c r="B6" t="s">
        <v>283</v>
      </c>
      <c r="C6" t="s">
        <v>117</v>
      </c>
      <c r="D6" t="s">
        <v>284</v>
      </c>
      <c r="E6" t="s">
        <v>35</v>
      </c>
      <c r="F6" t="n">
        <v>-0.418231368452097</v>
      </c>
      <c r="G6" t="n">
        <v>-0.328125938358733</v>
      </c>
      <c r="H6" t="n">
        <v>-0.264210838270958</v>
      </c>
      <c r="I6" t="n">
        <v>-0.229162442754332</v>
      </c>
      <c r="J6" t="n">
        <v>-0.196615807598847</v>
      </c>
      <c r="K6" t="n">
        <v>-0.168943422962223</v>
      </c>
      <c r="L6" t="n">
        <v>-0.134983215083312</v>
      </c>
      <c r="M6" t="n">
        <v>-0.141855528895256</v>
      </c>
      <c r="N6" t="n">
        <v>-0.199219187231985</v>
      </c>
      <c r="O6" t="n">
        <v>-0.190105648966103</v>
      </c>
      <c r="P6" t="n">
        <v>-0.152031945435716</v>
      </c>
      <c r="Q6" t="n">
        <v>-0.151629206412618</v>
      </c>
      <c r="R6" t="n">
        <v>-0.0881888603453938</v>
      </c>
      <c r="S6" t="n">
        <v>-0.0549330916559286</v>
      </c>
      <c r="T6" t="n">
        <v>-0.181120264275652</v>
      </c>
      <c r="U6" t="n">
        <v>-0.192344773078686</v>
      </c>
      <c r="V6" t="n">
        <v>-0.0656976980327633</v>
      </c>
      <c r="W6" t="n">
        <v>-0.0639809258397664</v>
      </c>
      <c r="X6" t="n">
        <v>-0.0610454143637442</v>
      </c>
      <c r="Y6" t="n">
        <v>-0.0061419612821477</v>
      </c>
      <c r="Z6" t="n">
        <v>-0.166076046056841</v>
      </c>
      <c r="AA6" t="n">
        <v>-0.144444914512232</v>
      </c>
      <c r="AB6" t="n">
        <v>-0.0574260830794977</v>
      </c>
      <c r="AC6" t="n">
        <v>-0.00096837183698957</v>
      </c>
      <c r="AD6" t="n">
        <v>0</v>
      </c>
      <c r="AE6" t="n">
        <v>-0.147384680096509</v>
      </c>
      <c r="AF6" t="n">
        <v>0</v>
      </c>
    </row>
    <row r="7">
      <c r="A7" t="s">
        <v>118</v>
      </c>
      <c r="B7" t="s">
        <v>283</v>
      </c>
      <c r="C7" t="s">
        <v>119</v>
      </c>
      <c r="D7" t="s">
        <v>284</v>
      </c>
      <c r="E7" t="s">
        <v>35</v>
      </c>
      <c r="F7" t="n">
        <v>0.143009918785569</v>
      </c>
      <c r="G7" t="n">
        <v>0.15119877271747</v>
      </c>
      <c r="H7" t="n">
        <v>0.157211719072176</v>
      </c>
      <c r="I7" t="n">
        <v>0.160962191058719</v>
      </c>
      <c r="J7" t="n">
        <v>0.165912827451078</v>
      </c>
      <c r="K7" t="n">
        <v>0.156016148732247</v>
      </c>
      <c r="L7" t="n">
        <v>0.172165259047937</v>
      </c>
      <c r="M7" t="n">
        <v>0.167721396797159</v>
      </c>
      <c r="N7" t="n">
        <v>0.168922853337088</v>
      </c>
      <c r="O7" t="n">
        <v>0.13032741125034</v>
      </c>
      <c r="P7" t="n">
        <v>0.123628613862549</v>
      </c>
      <c r="Q7" t="n">
        <v>0.0911095527977629</v>
      </c>
      <c r="R7" t="n">
        <v>0.0354563099705989</v>
      </c>
      <c r="S7" t="n">
        <v>0.0258024549700892</v>
      </c>
      <c r="T7" t="n">
        <v>-0.0737153401059675</v>
      </c>
      <c r="U7" t="n">
        <v>-0.07967686949781</v>
      </c>
      <c r="V7" t="n">
        <v>-0.152107302364031</v>
      </c>
      <c r="W7" t="n">
        <v>-0.117799699717494</v>
      </c>
      <c r="X7" t="n">
        <v>-0.108701890724453</v>
      </c>
      <c r="Y7" t="n">
        <v>-0.0939031645643658</v>
      </c>
      <c r="Z7" t="n">
        <v>-0.329845056018386</v>
      </c>
      <c r="AA7" t="n">
        <v>-0.248125905733239</v>
      </c>
      <c r="AB7" t="n">
        <v>-0.178139773614117</v>
      </c>
      <c r="AC7" t="n">
        <v>-0.137121573415007</v>
      </c>
      <c r="AD7" t="n">
        <v>0</v>
      </c>
      <c r="AE7" t="n">
        <v>-0.0911442556814354</v>
      </c>
      <c r="AF7" t="n">
        <v>0</v>
      </c>
    </row>
    <row r="8">
      <c r="A8" t="s">
        <v>120</v>
      </c>
      <c r="B8" t="s">
        <v>283</v>
      </c>
      <c r="C8" t="s">
        <v>121</v>
      </c>
      <c r="D8" t="s">
        <v>284</v>
      </c>
      <c r="E8" t="s">
        <v>35</v>
      </c>
      <c r="F8" t="n">
        <v>-0.0576135119808518</v>
      </c>
      <c r="G8" t="n">
        <v>0.0155421077682603</v>
      </c>
      <c r="H8" t="n">
        <v>0.139650271656084</v>
      </c>
      <c r="I8" t="n">
        <v>0.0651772109126436</v>
      </c>
      <c r="J8" t="n">
        <v>-0.00588106741218597</v>
      </c>
      <c r="K8" t="n">
        <v>0.0993479300297081</v>
      </c>
      <c r="L8" t="n">
        <v>0.305432261615533</v>
      </c>
      <c r="M8" t="n">
        <v>0.211270264647134</v>
      </c>
      <c r="N8" t="n">
        <v>0.119768126470451</v>
      </c>
      <c r="O8" t="n">
        <v>0.108176801675981</v>
      </c>
      <c r="P8" t="n">
        <v>0.370232739562848</v>
      </c>
      <c r="Q8" t="n">
        <v>0.436330669622035</v>
      </c>
      <c r="R8" t="n">
        <v>0.31499563233139</v>
      </c>
      <c r="S8" t="n">
        <v>0.211616008476033</v>
      </c>
      <c r="T8" t="n">
        <v>-0.199929797944353</v>
      </c>
      <c r="U8" t="n">
        <v>-0.275168057176898</v>
      </c>
      <c r="V8" t="n">
        <v>-0.18608502414987</v>
      </c>
      <c r="W8" t="n">
        <v>-0.153775432632881</v>
      </c>
      <c r="X8" t="n">
        <v>-0.093023454483928</v>
      </c>
      <c r="Y8" t="n">
        <v>-0.0978482460051592</v>
      </c>
      <c r="Z8" t="n">
        <v>-1.82798214447857</v>
      </c>
      <c r="AA8" t="n">
        <v>-1.28120191944423</v>
      </c>
      <c r="AB8" t="n">
        <v>-0.928695300238278</v>
      </c>
      <c r="AC8" t="n">
        <v>-0.646510445217602</v>
      </c>
      <c r="AD8" t="n">
        <v>0</v>
      </c>
      <c r="AE8" t="n">
        <v>-0.405950113682743</v>
      </c>
      <c r="AF8" t="n">
        <v>0</v>
      </c>
    </row>
    <row r="9">
      <c r="A9" t="s">
        <v>122</v>
      </c>
      <c r="B9" t="s">
        <v>283</v>
      </c>
      <c r="C9" t="s">
        <v>123</v>
      </c>
      <c r="D9" t="s">
        <v>284</v>
      </c>
      <c r="E9" t="s">
        <v>35</v>
      </c>
      <c r="F9" t="n">
        <v>0.678953574791984</v>
      </c>
      <c r="G9" t="n">
        <v>0.756629232043697</v>
      </c>
      <c r="H9" t="n">
        <v>0.583938590679695</v>
      </c>
      <c r="I9" t="n">
        <v>0.372041758953443</v>
      </c>
      <c r="J9" t="n">
        <v>0.369342910165425</v>
      </c>
      <c r="K9" t="n">
        <v>-0.0648476686802782</v>
      </c>
      <c r="L9" t="n">
        <v>0.362382379758741</v>
      </c>
      <c r="M9" t="n">
        <v>0.349248705965864</v>
      </c>
      <c r="N9" t="n">
        <v>0.221621644251185</v>
      </c>
      <c r="O9" t="n">
        <v>0.124287412087383</v>
      </c>
      <c r="P9" t="n">
        <v>0.436126662281212</v>
      </c>
      <c r="Q9" t="n">
        <v>0.360337681841352</v>
      </c>
      <c r="R9" t="n">
        <v>0.82881506383418</v>
      </c>
      <c r="S9" t="n">
        <v>0.763289057410923</v>
      </c>
      <c r="T9" t="n">
        <v>0.114750375907765</v>
      </c>
      <c r="U9" t="n">
        <v>-0.234392501319778</v>
      </c>
      <c r="V9" t="n">
        <v>-0.0680369414331546</v>
      </c>
      <c r="W9" t="n">
        <v>0.0827657500890023</v>
      </c>
      <c r="X9" t="n">
        <v>0.326422612355165</v>
      </c>
      <c r="Y9" t="n">
        <v>0.547996745190762</v>
      </c>
      <c r="Z9" t="n">
        <v>0.0124155172694081</v>
      </c>
      <c r="AA9" t="n">
        <v>0.147108261251507</v>
      </c>
      <c r="AB9" t="n">
        <v>0.399643900199475</v>
      </c>
      <c r="AC9" t="n">
        <v>0.348954414882734</v>
      </c>
      <c r="AD9" t="n">
        <v>0</v>
      </c>
      <c r="AE9" t="n">
        <v>0.166496143390941</v>
      </c>
      <c r="AF9" t="n">
        <v>0</v>
      </c>
    </row>
    <row r="10">
      <c r="A10" t="s">
        <v>124</v>
      </c>
      <c r="B10" t="s">
        <v>283</v>
      </c>
      <c r="C10" t="s">
        <v>125</v>
      </c>
      <c r="D10" t="s">
        <v>284</v>
      </c>
      <c r="E10" t="s">
        <v>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126</v>
      </c>
      <c r="B11" t="s">
        <v>283</v>
      </c>
      <c r="C11" t="s">
        <v>127</v>
      </c>
      <c r="D11" t="s">
        <v>284</v>
      </c>
      <c r="E11" t="s">
        <v>35</v>
      </c>
      <c r="F11" t="n">
        <v>-1.75748910790025</v>
      </c>
      <c r="G11" t="n">
        <v>-1.23146351323764</v>
      </c>
      <c r="H11" t="n">
        <v>-0.477616934352414</v>
      </c>
      <c r="I11" t="n">
        <v>0.454159507734965</v>
      </c>
      <c r="J11" t="n">
        <v>0.132761726592502</v>
      </c>
      <c r="K11" t="n">
        <v>1.5983933795624</v>
      </c>
      <c r="L11" t="n">
        <v>1.08661276338035</v>
      </c>
      <c r="M11" t="n">
        <v>1.37844936044113</v>
      </c>
      <c r="N11" t="n">
        <v>1.07983332472361</v>
      </c>
      <c r="O11" t="n">
        <v>0.605680763816753</v>
      </c>
      <c r="P11" t="n">
        <v>0.911621749906658</v>
      </c>
      <c r="Q11" t="n">
        <v>1.61888339062182</v>
      </c>
      <c r="R11" t="n">
        <v>1.10911185715417</v>
      </c>
      <c r="S11" t="n">
        <v>1.04151689689251</v>
      </c>
      <c r="T11" t="n">
        <v>1.05977686437478</v>
      </c>
      <c r="U11" t="n">
        <v>1.31018416172656</v>
      </c>
      <c r="V11" t="n">
        <v>0.742588992061081</v>
      </c>
      <c r="W11" t="n">
        <v>0.773815993983396</v>
      </c>
      <c r="X11" t="n">
        <v>1.03963256451115</v>
      </c>
      <c r="Y11" t="n">
        <v>0.782332986306333</v>
      </c>
      <c r="Z11" t="n">
        <v>0.201550649335432</v>
      </c>
      <c r="AA11" t="n">
        <v>0.0799772833909054</v>
      </c>
      <c r="AB11" t="n">
        <v>0.186655440273301</v>
      </c>
      <c r="AC11" t="n">
        <v>-0.0238019626244878</v>
      </c>
      <c r="AD11" t="n">
        <v>0</v>
      </c>
      <c r="AE11" t="n">
        <v>-0.255831436574353</v>
      </c>
      <c r="AF11" t="n">
        <v>0</v>
      </c>
    </row>
    <row r="12">
      <c r="A12" t="s">
        <v>128</v>
      </c>
      <c r="B12" t="s">
        <v>283</v>
      </c>
      <c r="C12" t="s">
        <v>129</v>
      </c>
      <c r="D12" t="s">
        <v>284</v>
      </c>
      <c r="E12" t="s">
        <v>35</v>
      </c>
      <c r="F12" t="n">
        <v>0.0902979628250049</v>
      </c>
      <c r="G12" t="n">
        <v>0.164075735901137</v>
      </c>
      <c r="H12" t="n">
        <v>0.167645945568691</v>
      </c>
      <c r="I12" t="n">
        <v>0.18461360887572</v>
      </c>
      <c r="J12" t="n">
        <v>0.142444457514286</v>
      </c>
      <c r="K12" t="n">
        <v>0.122866216995479</v>
      </c>
      <c r="L12" t="n">
        <v>0.129241560315839</v>
      </c>
      <c r="M12" t="n">
        <v>-0.0018292674329762</v>
      </c>
      <c r="N12" t="n">
        <v>-0.00224616905496646</v>
      </c>
      <c r="O12" t="n">
        <v>0.0570285263537095</v>
      </c>
      <c r="P12" t="n">
        <v>0.0678187369661658</v>
      </c>
      <c r="Q12" t="n">
        <v>0.0712415163411417</v>
      </c>
      <c r="R12" t="n">
        <v>0.102462823168097</v>
      </c>
      <c r="S12" t="n">
        <v>0.0707926633269258</v>
      </c>
      <c r="T12" t="n">
        <v>-0.0280759018926102</v>
      </c>
      <c r="U12" t="n">
        <v>-0.0522289372716934</v>
      </c>
      <c r="V12" t="n">
        <v>-0.0385648878140172</v>
      </c>
      <c r="W12" t="n">
        <v>-0.00918262890601806</v>
      </c>
      <c r="X12" t="n">
        <v>0.0702859636799003</v>
      </c>
      <c r="Y12" t="n">
        <v>0.178115846896955</v>
      </c>
      <c r="Z12" t="n">
        <v>0.154542214641867</v>
      </c>
      <c r="AA12" t="n">
        <v>0.15542666182791</v>
      </c>
      <c r="AB12" t="n">
        <v>0.110217488623023</v>
      </c>
      <c r="AC12" t="n">
        <v>0.138896935720476</v>
      </c>
      <c r="AD12" t="n">
        <v>0</v>
      </c>
      <c r="AE12" t="n">
        <v>0.0266486679102001</v>
      </c>
      <c r="AF12" t="n">
        <v>0</v>
      </c>
    </row>
    <row r="13">
      <c r="A13" t="s">
        <v>130</v>
      </c>
      <c r="B13" t="s">
        <v>283</v>
      </c>
      <c r="C13" t="s">
        <v>131</v>
      </c>
      <c r="D13" t="s">
        <v>284</v>
      </c>
      <c r="E13" t="s">
        <v>35</v>
      </c>
      <c r="F13" t="n">
        <v>-0.14057356590299</v>
      </c>
      <c r="G13" t="n">
        <v>-0.0795432329617601</v>
      </c>
      <c r="H13" t="n">
        <v>-0.0564755214271947</v>
      </c>
      <c r="I13" t="n">
        <v>-0.0526895101646035</v>
      </c>
      <c r="J13" t="n">
        <v>-0.12522908987889</v>
      </c>
      <c r="K13" t="n">
        <v>-0.0790089254774085</v>
      </c>
      <c r="L13" t="n">
        <v>-0.139079019252585</v>
      </c>
      <c r="M13" t="n">
        <v>-0.0911117612124773</v>
      </c>
      <c r="N13" t="n">
        <v>-0.194820137686938</v>
      </c>
      <c r="O13" t="n">
        <v>-0.0744214947690648</v>
      </c>
      <c r="P13" t="n">
        <v>-0.00654981321581746</v>
      </c>
      <c r="Q13" t="n">
        <v>0.00971033545876734</v>
      </c>
      <c r="R13" t="n">
        <v>0.0224893121559975</v>
      </c>
      <c r="S13" t="n">
        <v>0.0382038178588807</v>
      </c>
      <c r="T13" t="n">
        <v>-0.00694887932882984</v>
      </c>
      <c r="U13" t="n">
        <v>-0.0637749969584691</v>
      </c>
      <c r="V13" t="n">
        <v>-0.0728683460244293</v>
      </c>
      <c r="W13" t="n">
        <v>-0.0491778261829401</v>
      </c>
      <c r="X13" t="n">
        <v>-0.0256950778519792</v>
      </c>
      <c r="Y13" t="n">
        <v>0.0204908172635974</v>
      </c>
      <c r="Z13" t="n">
        <v>0.277104404768996</v>
      </c>
      <c r="AA13" t="n">
        <v>0.181821383747274</v>
      </c>
      <c r="AB13" t="n">
        <v>0.0953387644013128</v>
      </c>
      <c r="AC13" t="n">
        <v>-0.0206385191233724</v>
      </c>
      <c r="AD13" t="n">
        <v>0</v>
      </c>
      <c r="AE13" t="n">
        <v>-0.0698434337417359</v>
      </c>
      <c r="AF13" t="n">
        <v>0</v>
      </c>
    </row>
    <row r="14">
      <c r="A14" t="s">
        <v>132</v>
      </c>
      <c r="B14" t="s">
        <v>283</v>
      </c>
      <c r="C14" t="s">
        <v>133</v>
      </c>
      <c r="D14" t="s">
        <v>284</v>
      </c>
      <c r="E14" t="s">
        <v>35</v>
      </c>
      <c r="F14" t="n">
        <v>0.811380870739458</v>
      </c>
      <c r="G14" t="n">
        <v>0.909297441769264</v>
      </c>
      <c r="H14" t="n">
        <v>0.915014002116212</v>
      </c>
      <c r="I14" t="n">
        <v>0.966173983400861</v>
      </c>
      <c r="J14" t="n">
        <v>0.68273159655135</v>
      </c>
      <c r="K14" t="n">
        <v>0.725212207667349</v>
      </c>
      <c r="L14" t="n">
        <v>0.653053604706587</v>
      </c>
      <c r="M14" t="n">
        <v>0.665336304463513</v>
      </c>
      <c r="N14" t="n">
        <v>0.50753167155691</v>
      </c>
      <c r="O14" t="n">
        <v>0.343598301522049</v>
      </c>
      <c r="P14" t="n">
        <v>0.460713736352215</v>
      </c>
      <c r="Q14" t="n">
        <v>0.553317930302943</v>
      </c>
      <c r="R14" t="n">
        <v>0.670447948812536</v>
      </c>
      <c r="S14" t="n">
        <v>0.514644038911173</v>
      </c>
      <c r="T14" t="n">
        <v>-0.0825615245435669</v>
      </c>
      <c r="U14" t="n">
        <v>-0.417891096382832</v>
      </c>
      <c r="V14" t="n">
        <v>-0.345271879097076</v>
      </c>
      <c r="W14" t="n">
        <v>-0.356042966906984</v>
      </c>
      <c r="X14" t="n">
        <v>-0.33164794314385</v>
      </c>
      <c r="Y14" t="n">
        <v>-0.359150907220042</v>
      </c>
      <c r="Z14" t="n">
        <v>-0.16372363597519</v>
      </c>
      <c r="AA14" t="n">
        <v>-0.267163391908042</v>
      </c>
      <c r="AB14" t="n">
        <v>-0.361084986221007</v>
      </c>
      <c r="AC14" t="n">
        <v>-0.235748524310186</v>
      </c>
      <c r="AD14" t="n">
        <v>0</v>
      </c>
      <c r="AE14" t="n">
        <v>-0.170480262948938</v>
      </c>
      <c r="AF14" t="n">
        <v>0</v>
      </c>
    </row>
    <row r="15">
      <c r="A15" t="s">
        <v>134</v>
      </c>
      <c r="B15" t="s">
        <v>283</v>
      </c>
      <c r="C15" t="s">
        <v>135</v>
      </c>
      <c r="D15" t="s">
        <v>284</v>
      </c>
      <c r="E15" t="s">
        <v>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136</v>
      </c>
      <c r="B16" t="s">
        <v>283</v>
      </c>
      <c r="C16" t="s">
        <v>137</v>
      </c>
      <c r="D16" t="s">
        <v>284</v>
      </c>
      <c r="E16" t="s">
        <v>35</v>
      </c>
      <c r="F16" t="n">
        <v>0.667568295853908</v>
      </c>
      <c r="G16" t="n">
        <v>1.13219434243855</v>
      </c>
      <c r="H16" t="n">
        <v>1.35578766476646</v>
      </c>
      <c r="I16" t="n">
        <v>1.41953789595812</v>
      </c>
      <c r="J16" t="n">
        <v>1.42586167112532</v>
      </c>
      <c r="K16" t="n">
        <v>1.58783013102207</v>
      </c>
      <c r="L16" t="n">
        <v>1.67260211550765</v>
      </c>
      <c r="M16" t="n">
        <v>1.37687006020693</v>
      </c>
      <c r="N16" t="n">
        <v>1.02365476565208</v>
      </c>
      <c r="O16" t="n">
        <v>0.861579217265815</v>
      </c>
      <c r="P16" t="n">
        <v>1.10126680600992</v>
      </c>
      <c r="Q16" t="n">
        <v>0.962735977263342</v>
      </c>
      <c r="R16" t="n">
        <v>0.675795774119602</v>
      </c>
      <c r="S16" t="n">
        <v>0.328070596573641</v>
      </c>
      <c r="T16" t="n">
        <v>-0.51041598507701</v>
      </c>
      <c r="U16" t="n">
        <v>-0.527095323817758</v>
      </c>
      <c r="V16" t="n">
        <v>-0.357638055829633</v>
      </c>
      <c r="W16" t="n">
        <v>-0.0300575876972018</v>
      </c>
      <c r="X16" t="n">
        <v>0.22094823707496</v>
      </c>
      <c r="Y16" t="n">
        <v>0.347883630623444</v>
      </c>
      <c r="Z16" t="n">
        <v>0.23378500947594</v>
      </c>
      <c r="AA16" t="n">
        <v>0.174360062893121</v>
      </c>
      <c r="AB16" t="n">
        <v>0.02291092124648</v>
      </c>
      <c r="AC16" t="n">
        <v>0.263978142793646</v>
      </c>
      <c r="AD16" t="n">
        <v>0</v>
      </c>
      <c r="AE16" t="n">
        <v>-0.666147620912856</v>
      </c>
      <c r="AF16" t="n">
        <v>0</v>
      </c>
    </row>
    <row r="17">
      <c r="A17" t="s">
        <v>138</v>
      </c>
      <c r="B17" t="s">
        <v>283</v>
      </c>
      <c r="C17" t="s">
        <v>139</v>
      </c>
      <c r="D17" t="s">
        <v>284</v>
      </c>
      <c r="E17" t="s">
        <v>35</v>
      </c>
      <c r="F17" t="n">
        <v>0.55054388516261</v>
      </c>
      <c r="G17" t="n">
        <v>0.569937326922952</v>
      </c>
      <c r="H17" t="n">
        <v>0.588868779008005</v>
      </c>
      <c r="I17" t="n">
        <v>0.56796098964385</v>
      </c>
      <c r="J17" t="n">
        <v>0.586442360792997</v>
      </c>
      <c r="K17" t="n">
        <v>0.517390388662601</v>
      </c>
      <c r="L17" t="n">
        <v>0.529346406594984</v>
      </c>
      <c r="M17" t="n">
        <v>0.516882370809951</v>
      </c>
      <c r="N17" t="n">
        <v>0.669425821988333</v>
      </c>
      <c r="O17" t="n">
        <v>0.637323749558752</v>
      </c>
      <c r="P17" t="n">
        <v>0.752320707527846</v>
      </c>
      <c r="Q17" t="n">
        <v>0.558778371686213</v>
      </c>
      <c r="R17" t="n">
        <v>0.601403805195335</v>
      </c>
      <c r="S17" t="n">
        <v>0.407727076458124</v>
      </c>
      <c r="T17" t="n">
        <v>0.183837933263128</v>
      </c>
      <c r="U17" t="n">
        <v>0.0870540732140137</v>
      </c>
      <c r="V17" t="n">
        <v>0.115759482934114</v>
      </c>
      <c r="W17" t="n">
        <v>0.133775185162437</v>
      </c>
      <c r="X17" t="n">
        <v>0.251931573832843</v>
      </c>
      <c r="Y17" t="n">
        <v>0.319623275309369</v>
      </c>
      <c r="Z17" t="n">
        <v>0.476497047820962</v>
      </c>
      <c r="AA17" t="n">
        <v>0.275150219509772</v>
      </c>
      <c r="AB17" t="n">
        <v>0.155942814567283</v>
      </c>
      <c r="AC17" t="n">
        <v>0.241003309666709</v>
      </c>
      <c r="AD17" t="n">
        <v>0</v>
      </c>
      <c r="AE17" t="n">
        <v>-0.141368084894149</v>
      </c>
      <c r="AF17" t="n">
        <v>0</v>
      </c>
    </row>
    <row r="18">
      <c r="A18" t="s">
        <v>140</v>
      </c>
      <c r="B18" t="s">
        <v>283</v>
      </c>
      <c r="C18" t="s">
        <v>141</v>
      </c>
      <c r="D18" t="s">
        <v>284</v>
      </c>
      <c r="E18" t="s">
        <v>35</v>
      </c>
      <c r="F18" t="n">
        <v>0.251584519954839</v>
      </c>
      <c r="G18" t="n">
        <v>0.487280879515753</v>
      </c>
      <c r="H18" t="n">
        <v>0.612308823287132</v>
      </c>
      <c r="I18" t="n">
        <v>0.590738066052036</v>
      </c>
      <c r="J18" t="n">
        <v>0.366620559406173</v>
      </c>
      <c r="K18" t="n">
        <v>0.319263552616776</v>
      </c>
      <c r="L18" t="n">
        <v>0.442177715107721</v>
      </c>
      <c r="M18" t="n">
        <v>0.480025670467099</v>
      </c>
      <c r="N18" t="n">
        <v>0.532158809208404</v>
      </c>
      <c r="O18" t="n">
        <v>0.507681098454672</v>
      </c>
      <c r="P18" t="n">
        <v>0.704184818438451</v>
      </c>
      <c r="Q18" t="n">
        <v>0.745513837903904</v>
      </c>
      <c r="R18" t="n">
        <v>0.881724964805433</v>
      </c>
      <c r="S18" t="n">
        <v>0.651742254580845</v>
      </c>
      <c r="T18" t="n">
        <v>0.225199369726285</v>
      </c>
      <c r="U18" t="n">
        <v>0.211717091335835</v>
      </c>
      <c r="V18" t="n">
        <v>0.300678933261005</v>
      </c>
      <c r="W18" t="n">
        <v>0.342410440837115</v>
      </c>
      <c r="X18" t="n">
        <v>0.574656513576089</v>
      </c>
      <c r="Y18" t="n">
        <v>0.893438774967237</v>
      </c>
      <c r="Z18" t="n">
        <v>1.27597753090722</v>
      </c>
      <c r="AA18" t="n">
        <v>1.03064727335976</v>
      </c>
      <c r="AB18" t="n">
        <v>0.85987886204258</v>
      </c>
      <c r="AC18" t="n">
        <v>0.708824064626737</v>
      </c>
      <c r="AD18" t="n">
        <v>0</v>
      </c>
      <c r="AE18" t="n">
        <v>0.874463064539279</v>
      </c>
      <c r="AF18" t="n">
        <v>0</v>
      </c>
    </row>
    <row r="19">
      <c r="A19" t="s">
        <v>142</v>
      </c>
      <c r="B19" t="s">
        <v>283</v>
      </c>
      <c r="C19" t="s">
        <v>143</v>
      </c>
      <c r="D19" t="s">
        <v>284</v>
      </c>
      <c r="E19" t="s">
        <v>35</v>
      </c>
      <c r="F19" t="n">
        <v>0.336393393057343</v>
      </c>
      <c r="G19" t="n">
        <v>0.413018736159699</v>
      </c>
      <c r="H19" t="n">
        <v>0.448590009874158</v>
      </c>
      <c r="I19" t="n">
        <v>0.494323328476364</v>
      </c>
      <c r="J19" t="n">
        <v>0.475097002370362</v>
      </c>
      <c r="K19" t="n">
        <v>0.47247070888013</v>
      </c>
      <c r="L19" t="n">
        <v>0.488394048425655</v>
      </c>
      <c r="M19" t="n">
        <v>0.283299272380771</v>
      </c>
      <c r="N19" t="n">
        <v>0.103097189377083</v>
      </c>
      <c r="O19" t="n">
        <v>-0.0872748159276026</v>
      </c>
      <c r="P19" t="n">
        <v>0.0331283748252476</v>
      </c>
      <c r="Q19" t="n">
        <v>0.080267972544228</v>
      </c>
      <c r="R19" t="n">
        <v>0.00794885886528562</v>
      </c>
      <c r="S19" t="n">
        <v>0.0412197583555906</v>
      </c>
      <c r="T19" t="n">
        <v>-0.232100555979296</v>
      </c>
      <c r="U19" t="n">
        <v>-0.413584129358988</v>
      </c>
      <c r="V19" t="n">
        <v>-0.294995437133064</v>
      </c>
      <c r="W19" t="n">
        <v>-0.178561426021337</v>
      </c>
      <c r="X19" t="n">
        <v>-0.0258272217904687</v>
      </c>
      <c r="Y19" t="n">
        <v>-0.134160686723717</v>
      </c>
      <c r="Z19" t="n">
        <v>-0.573453829976744</v>
      </c>
      <c r="AA19" t="n">
        <v>-0.520765251793253</v>
      </c>
      <c r="AB19" t="n">
        <v>-0.368745841666458</v>
      </c>
      <c r="AC19" t="n">
        <v>-0.0477841009919915</v>
      </c>
      <c r="AD19" t="n">
        <v>0</v>
      </c>
      <c r="AE19" t="n">
        <v>0.0231889648405374</v>
      </c>
      <c r="AF19" t="n">
        <v>0</v>
      </c>
    </row>
    <row r="20">
      <c r="A20" t="s">
        <v>144</v>
      </c>
      <c r="B20" t="s">
        <v>283</v>
      </c>
      <c r="C20" t="s">
        <v>145</v>
      </c>
      <c r="D20" t="s">
        <v>284</v>
      </c>
      <c r="E20" t="s">
        <v>35</v>
      </c>
      <c r="F20" t="n">
        <v>0.0742228653649234</v>
      </c>
      <c r="G20" t="n">
        <v>0.0716919872720211</v>
      </c>
      <c r="H20" t="n">
        <v>0.0683165523052574</v>
      </c>
      <c r="I20" t="n">
        <v>0.0519285324093372</v>
      </c>
      <c r="J20" t="n">
        <v>0.0631112845601487</v>
      </c>
      <c r="K20" t="n">
        <v>0.0394525312487685</v>
      </c>
      <c r="L20" t="n">
        <v>0.0246694135869527</v>
      </c>
      <c r="M20" t="n">
        <v>0.0316057183050985</v>
      </c>
      <c r="N20" t="n">
        <v>0.0229594189028704</v>
      </c>
      <c r="O20" t="n">
        <v>-0.000695912596242722</v>
      </c>
      <c r="P20" t="n">
        <v>0.0259641037674634</v>
      </c>
      <c r="Q20" t="n">
        <v>0.0195009174163952</v>
      </c>
      <c r="R20" t="n">
        <v>0.0163828259125145</v>
      </c>
      <c r="S20" t="n">
        <v>0.00960469021172865</v>
      </c>
      <c r="T20" t="n">
        <v>-0.0457082211653257</v>
      </c>
      <c r="U20" t="n">
        <v>-0.0413224223510792</v>
      </c>
      <c r="V20" t="n">
        <v>-0.0502359028505325</v>
      </c>
      <c r="W20" t="n">
        <v>-0.0239370353326728</v>
      </c>
      <c r="X20" t="n">
        <v>-0.0234553594258499</v>
      </c>
      <c r="Y20" t="n">
        <v>-0.0272543097071667</v>
      </c>
      <c r="Z20" t="n">
        <v>0.0245101899721587</v>
      </c>
      <c r="AA20" t="n">
        <v>-0.0119208610088998</v>
      </c>
      <c r="AB20" t="n">
        <v>0.00350346486616564</v>
      </c>
      <c r="AC20" t="n">
        <v>0.00673302418467272</v>
      </c>
      <c r="AD20" t="n">
        <v>0</v>
      </c>
      <c r="AE20" t="n">
        <v>-0.0345139533194032</v>
      </c>
      <c r="AF20" t="n">
        <v>0</v>
      </c>
    </row>
    <row r="21">
      <c r="A21" t="s">
        <v>146</v>
      </c>
      <c r="B21" t="s">
        <v>283</v>
      </c>
      <c r="C21" t="s">
        <v>147</v>
      </c>
      <c r="D21" t="s">
        <v>284</v>
      </c>
      <c r="E21" t="s">
        <v>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148</v>
      </c>
      <c r="B22" t="s">
        <v>283</v>
      </c>
      <c r="C22" t="s">
        <v>149</v>
      </c>
      <c r="D22" t="s">
        <v>284</v>
      </c>
      <c r="E22" t="s">
        <v>35</v>
      </c>
      <c r="F22" t="n">
        <v>-0.0462593089605014</v>
      </c>
      <c r="G22" t="n">
        <v>-0.0125083599429651</v>
      </c>
      <c r="H22" t="n">
        <v>0.00717353717866744</v>
      </c>
      <c r="I22" t="n">
        <v>0.0143268141748014</v>
      </c>
      <c r="J22" t="n">
        <v>0.0249108443090865</v>
      </c>
      <c r="K22" t="n">
        <v>0.0244699390289149</v>
      </c>
      <c r="L22" t="n">
        <v>0.0445615940472455</v>
      </c>
      <c r="M22" t="n">
        <v>0.0299042653964478</v>
      </c>
      <c r="N22" t="n">
        <v>0.0183308083022899</v>
      </c>
      <c r="O22" t="n">
        <v>0.00326018124855698</v>
      </c>
      <c r="P22" t="n">
        <v>0.00686747055063193</v>
      </c>
      <c r="Q22" t="n">
        <v>0.0297482279904053</v>
      </c>
      <c r="R22" t="n">
        <v>0.0339061689036003</v>
      </c>
      <c r="S22" t="n">
        <v>0.0316557775193536</v>
      </c>
      <c r="T22" t="n">
        <v>0.00964891929674715</v>
      </c>
      <c r="U22" t="n">
        <v>-0.00639054241573585</v>
      </c>
      <c r="V22" t="n">
        <v>0.01314741415992</v>
      </c>
      <c r="W22" t="n">
        <v>0.0070428982896124</v>
      </c>
      <c r="X22" t="n">
        <v>0.0134731931571897</v>
      </c>
      <c r="Y22" t="n">
        <v>0.00752609760566888</v>
      </c>
      <c r="Z22" t="n">
        <v>0.0217427262196843</v>
      </c>
      <c r="AA22" t="n">
        <v>0.0124109512333662</v>
      </c>
      <c r="AB22" t="n">
        <v>0.00954243790775906</v>
      </c>
      <c r="AC22" t="n">
        <v>0.0219288178050617</v>
      </c>
      <c r="AD22" t="n">
        <v>0</v>
      </c>
      <c r="AE22" t="n">
        <v>0.0160575559725479</v>
      </c>
      <c r="AF22" t="n">
        <v>0</v>
      </c>
    </row>
    <row r="23">
      <c r="A23" t="s">
        <v>150</v>
      </c>
      <c r="B23" t="s">
        <v>283</v>
      </c>
      <c r="C23" t="s">
        <v>151</v>
      </c>
      <c r="D23" t="s">
        <v>284</v>
      </c>
      <c r="E23" t="s">
        <v>35</v>
      </c>
      <c r="F23" t="n">
        <v>0.0170456574282804</v>
      </c>
      <c r="G23" t="n">
        <v>0.0286454189888649</v>
      </c>
      <c r="H23" t="n">
        <v>0.0309663460723001</v>
      </c>
      <c r="I23" t="n">
        <v>0.0179026879092428</v>
      </c>
      <c r="J23" t="n">
        <v>0.0210511575812954</v>
      </c>
      <c r="K23" t="n">
        <v>0.0217179350352003</v>
      </c>
      <c r="L23" t="n">
        <v>0.0100908090782466</v>
      </c>
      <c r="M23" t="n">
        <v>0.0135120688369918</v>
      </c>
      <c r="N23" t="n">
        <v>0.0185013423468013</v>
      </c>
      <c r="O23" t="n">
        <v>0.0108188857171062</v>
      </c>
      <c r="P23" t="n">
        <v>0.0163537199634748</v>
      </c>
      <c r="Q23" t="n">
        <v>0.00522326915948636</v>
      </c>
      <c r="R23" t="n">
        <v>0.000240790264855819</v>
      </c>
      <c r="S23" t="n">
        <v>-0.000528023689436431</v>
      </c>
      <c r="T23" t="n">
        <v>-0.0304135353427142</v>
      </c>
      <c r="U23" t="n">
        <v>-0.0204972168766464</v>
      </c>
      <c r="V23" t="n">
        <v>-0.0204150506140798</v>
      </c>
      <c r="W23" t="n">
        <v>-0.00178011264960453</v>
      </c>
      <c r="X23" t="n">
        <v>0.000375303755180908</v>
      </c>
      <c r="Y23" t="n">
        <v>-0.0149812400479766</v>
      </c>
      <c r="Z23" t="n">
        <v>0.0240622017800188</v>
      </c>
      <c r="AA23" t="n">
        <v>0.0222780065352701</v>
      </c>
      <c r="AB23" t="n">
        <v>0.0125442235682469</v>
      </c>
      <c r="AC23" t="n">
        <v>0.00973685646498924</v>
      </c>
      <c r="AD23" t="n">
        <v>0</v>
      </c>
      <c r="AE23" t="n">
        <v>0.00631463442281646</v>
      </c>
      <c r="AF23" t="n">
        <v>0</v>
      </c>
    </row>
    <row r="24">
      <c r="A24" t="s">
        <v>152</v>
      </c>
      <c r="B24" t="s">
        <v>283</v>
      </c>
      <c r="C24" t="s">
        <v>153</v>
      </c>
      <c r="D24" t="s">
        <v>284</v>
      </c>
      <c r="E24" t="s">
        <v>35</v>
      </c>
      <c r="F24" t="n">
        <v>-0.00690979151742186</v>
      </c>
      <c r="G24" t="n">
        <v>0.026891148813387</v>
      </c>
      <c r="H24" t="n">
        <v>0.0438010057218869</v>
      </c>
      <c r="I24" t="n">
        <v>0.049541404058539</v>
      </c>
      <c r="J24" t="n">
        <v>0.052071431910045</v>
      </c>
      <c r="K24" t="n">
        <v>0.0444593342170368</v>
      </c>
      <c r="L24" t="n">
        <v>0.102380022487399</v>
      </c>
      <c r="M24" t="n">
        <v>0.13336578864172</v>
      </c>
      <c r="N24" t="n">
        <v>0.138885070972407</v>
      </c>
      <c r="O24" t="n">
        <v>0.0947124749146214</v>
      </c>
      <c r="P24" t="n">
        <v>0.140709617064156</v>
      </c>
      <c r="Q24" t="n">
        <v>0.149557723695219</v>
      </c>
      <c r="R24" t="n">
        <v>0.14496496013581</v>
      </c>
      <c r="S24" t="n">
        <v>0.131307852097272</v>
      </c>
      <c r="T24" t="n">
        <v>0.0236644741925026</v>
      </c>
      <c r="U24" t="n">
        <v>0.0712101184581808</v>
      </c>
      <c r="V24" t="n">
        <v>0.0959161636640908</v>
      </c>
      <c r="W24" t="n">
        <v>0.099051872267169</v>
      </c>
      <c r="X24" t="n">
        <v>0.0929016265161869</v>
      </c>
      <c r="Y24" t="n">
        <v>0.0654013554085497</v>
      </c>
      <c r="Z24" t="n">
        <v>-0.0396833483227077</v>
      </c>
      <c r="AA24" t="n">
        <v>-0.0317390424229973</v>
      </c>
      <c r="AB24" t="n">
        <v>-0.0302578921004336</v>
      </c>
      <c r="AC24" t="n">
        <v>-0.0279942814337194</v>
      </c>
      <c r="AD24" t="n">
        <v>0</v>
      </c>
      <c r="AE24" t="n">
        <v>-0.0218910374572984</v>
      </c>
      <c r="AF24" t="n">
        <v>0</v>
      </c>
    </row>
    <row r="25">
      <c r="A25" t="s">
        <v>154</v>
      </c>
      <c r="B25" t="s">
        <v>283</v>
      </c>
      <c r="C25" t="s">
        <v>155</v>
      </c>
      <c r="D25" t="s">
        <v>284</v>
      </c>
      <c r="E25" t="s">
        <v>35</v>
      </c>
      <c r="F25" t="n">
        <v>0.483756847239606</v>
      </c>
      <c r="G25" t="n">
        <v>0.333598001415405</v>
      </c>
      <c r="H25" t="n">
        <v>0.177626302411936</v>
      </c>
      <c r="I25" t="n">
        <v>0.0624707417972696</v>
      </c>
      <c r="J25" t="n">
        <v>-0.0119033864137314</v>
      </c>
      <c r="K25" t="n">
        <v>-0.171437165557195</v>
      </c>
      <c r="L25" t="n">
        <v>-0.107411322740727</v>
      </c>
      <c r="M25" t="n">
        <v>-0.0348732440723365</v>
      </c>
      <c r="N25" t="n">
        <v>-0.0752151687382021</v>
      </c>
      <c r="O25" t="n">
        <v>-0.22388989845932</v>
      </c>
      <c r="P25" t="n">
        <v>-0.130067227084825</v>
      </c>
      <c r="Q25" t="n">
        <v>-0.086493523706677</v>
      </c>
      <c r="R25" t="n">
        <v>-0.0573888495500348</v>
      </c>
      <c r="S25" t="n">
        <v>-0.047051962057485</v>
      </c>
      <c r="T25" t="n">
        <v>-0.0479759351324067</v>
      </c>
      <c r="U25" t="n">
        <v>-0.039781362960494</v>
      </c>
      <c r="V25" t="n">
        <v>-0.036926587063768</v>
      </c>
      <c r="W25" t="n">
        <v>-0.021443191102056</v>
      </c>
      <c r="X25" t="n">
        <v>0.00226539571253061</v>
      </c>
      <c r="Y25" t="n">
        <v>0.00317436363073404</v>
      </c>
      <c r="Z25" t="n">
        <v>0.0369591359769811</v>
      </c>
      <c r="AA25" t="n">
        <v>0.121748057722286</v>
      </c>
      <c r="AB25" t="n">
        <v>0.0802352235854774</v>
      </c>
      <c r="AC25" t="n">
        <v>0.0878022903738698</v>
      </c>
      <c r="AD25" t="n">
        <v>0</v>
      </c>
      <c r="AE25" t="n">
        <v>0.107185147514599</v>
      </c>
      <c r="AF25" t="n">
        <v>0</v>
      </c>
    </row>
    <row r="26">
      <c r="A26" t="s">
        <v>156</v>
      </c>
      <c r="B26" t="s">
        <v>283</v>
      </c>
      <c r="C26" t="s">
        <v>157</v>
      </c>
      <c r="D26" t="s">
        <v>284</v>
      </c>
      <c r="E26" t="s">
        <v>35</v>
      </c>
      <c r="F26" t="n">
        <v>0.225340398601743</v>
      </c>
      <c r="G26" t="n">
        <v>0.159826444753422</v>
      </c>
      <c r="H26" t="n">
        <v>0.114651966239067</v>
      </c>
      <c r="I26" t="n">
        <v>0.0768367175313085</v>
      </c>
      <c r="J26" t="n">
        <v>0.0635888597826099</v>
      </c>
      <c r="K26" t="n">
        <v>0.0394329939087806</v>
      </c>
      <c r="L26" t="n">
        <v>0.0901766091231722</v>
      </c>
      <c r="M26" t="n">
        <v>0.1937332637723</v>
      </c>
      <c r="N26" t="n">
        <v>0.25104570490265</v>
      </c>
      <c r="O26" t="n">
        <v>0.197407231718984</v>
      </c>
      <c r="P26" t="n">
        <v>0.321550497967676</v>
      </c>
      <c r="Q26" t="n">
        <v>0.213547841334364</v>
      </c>
      <c r="R26" t="n">
        <v>0.167134995109389</v>
      </c>
      <c r="S26" t="n">
        <v>0.168206370537861</v>
      </c>
      <c r="T26" t="n">
        <v>-0.0815432007552273</v>
      </c>
      <c r="U26" t="n">
        <v>0.0492338712897251</v>
      </c>
      <c r="V26" t="n">
        <v>0.0850292122114712</v>
      </c>
      <c r="W26" t="n">
        <v>0.0993535637806888</v>
      </c>
      <c r="X26" t="n">
        <v>0.0577299086721443</v>
      </c>
      <c r="Y26" t="n">
        <v>-0.0236383262694091</v>
      </c>
      <c r="Z26" t="n">
        <v>-0.129211369700596</v>
      </c>
      <c r="AA26" t="n">
        <v>-0.0831261899218614</v>
      </c>
      <c r="AB26" t="n">
        <v>-0.0736228015809687</v>
      </c>
      <c r="AC26" t="n">
        <v>-0.085513508975244</v>
      </c>
      <c r="AD26" t="n">
        <v>0</v>
      </c>
      <c r="AE26" t="n">
        <v>-0.0861811576701614</v>
      </c>
      <c r="AF26" t="n">
        <v>0</v>
      </c>
    </row>
    <row r="27">
      <c r="A27" t="s">
        <v>158</v>
      </c>
      <c r="B27" t="s">
        <v>283</v>
      </c>
      <c r="C27" t="s">
        <v>159</v>
      </c>
      <c r="D27" t="s">
        <v>284</v>
      </c>
      <c r="E27" t="s">
        <v>35</v>
      </c>
      <c r="F27" t="n">
        <v>-0.37241037359053</v>
      </c>
      <c r="G27" t="n">
        <v>-0.186410319075186</v>
      </c>
      <c r="H27" t="n">
        <v>-0.0669973889438102</v>
      </c>
      <c r="I27" t="n">
        <v>0.011727072726925</v>
      </c>
      <c r="J27" t="n">
        <v>0.0463131107424777</v>
      </c>
      <c r="K27" t="n">
        <v>0.0812090082406934</v>
      </c>
      <c r="L27" t="n">
        <v>0.146901131686279</v>
      </c>
      <c r="M27" t="n">
        <v>0.0885954412254045</v>
      </c>
      <c r="N27" t="n">
        <v>0.0482324126202397</v>
      </c>
      <c r="O27" t="n">
        <v>0.032769250765838</v>
      </c>
      <c r="P27" t="n">
        <v>-0.0164716607505821</v>
      </c>
      <c r="Q27" t="n">
        <v>0.114670953900571</v>
      </c>
      <c r="R27" t="n">
        <v>0.150624700254706</v>
      </c>
      <c r="S27" t="n">
        <v>0.117395550608474</v>
      </c>
      <c r="T27" t="n">
        <v>0.142461724769248</v>
      </c>
      <c r="U27" t="n">
        <v>0.107058601657206</v>
      </c>
      <c r="V27" t="n">
        <v>0.121700933497536</v>
      </c>
      <c r="W27" t="n">
        <v>0.111912830216542</v>
      </c>
      <c r="X27" t="n">
        <v>0.136331460936157</v>
      </c>
      <c r="Y27" t="n">
        <v>0.160572354661138</v>
      </c>
      <c r="Z27" t="n">
        <v>0.043264967794654</v>
      </c>
      <c r="AA27" t="n">
        <v>0.00911802143187498</v>
      </c>
      <c r="AB27" t="n">
        <v>0.00237908955674881</v>
      </c>
      <c r="AC27" t="n">
        <v>0.0191450879171813</v>
      </c>
      <c r="AD27" t="n">
        <v>0</v>
      </c>
      <c r="AE27" t="n">
        <v>0.0311249642917301</v>
      </c>
      <c r="AF27" t="n">
        <v>0</v>
      </c>
    </row>
    <row r="28">
      <c r="A28" t="s">
        <v>160</v>
      </c>
      <c r="B28" t="s">
        <v>283</v>
      </c>
      <c r="C28" t="s">
        <v>161</v>
      </c>
      <c r="D28" t="s">
        <v>284</v>
      </c>
      <c r="E28" t="s">
        <v>35</v>
      </c>
      <c r="F28" t="n">
        <v>-0.0135879610880725</v>
      </c>
      <c r="G28" t="n">
        <v>0.022402390306587</v>
      </c>
      <c r="H28" t="n">
        <v>0.043424127772077</v>
      </c>
      <c r="I28" t="n">
        <v>0.0552962076657965</v>
      </c>
      <c r="J28" t="n">
        <v>0.0766495508234317</v>
      </c>
      <c r="K28" t="n">
        <v>0.0983642583958571</v>
      </c>
      <c r="L28" t="n">
        <v>0.100869970423783</v>
      </c>
      <c r="M28" t="n">
        <v>0.0808221938641314</v>
      </c>
      <c r="N28" t="n">
        <v>0.0536944553199847</v>
      </c>
      <c r="O28" t="n">
        <v>0.0402121193359799</v>
      </c>
      <c r="P28" t="n">
        <v>0.0414644985389752</v>
      </c>
      <c r="Q28" t="n">
        <v>0.0634652116622245</v>
      </c>
      <c r="R28" t="n">
        <v>0.0850625169550013</v>
      </c>
      <c r="S28" t="n">
        <v>0.114499654681788</v>
      </c>
      <c r="T28" t="n">
        <v>0.0389067979065547</v>
      </c>
      <c r="U28" t="n">
        <v>0.0117185490299993</v>
      </c>
      <c r="V28" t="n">
        <v>-0.0379234057873774</v>
      </c>
      <c r="W28" t="n">
        <v>-0.0481563451644456</v>
      </c>
      <c r="X28" t="n">
        <v>-0.0373525024492472</v>
      </c>
      <c r="Y28" t="n">
        <v>-0.0246715530221114</v>
      </c>
      <c r="Z28" t="n">
        <v>0.0337295181556116</v>
      </c>
      <c r="AA28" t="n">
        <v>0.00484423385251899</v>
      </c>
      <c r="AB28" t="n">
        <v>0.0115939925804338</v>
      </c>
      <c r="AC28" t="n">
        <v>0.0643444849247795</v>
      </c>
      <c r="AD28" t="n">
        <v>0</v>
      </c>
      <c r="AE28" t="n">
        <v>0.0252153893609775</v>
      </c>
      <c r="AF28" t="n">
        <v>0</v>
      </c>
    </row>
    <row r="29">
      <c r="A29" t="s">
        <v>162</v>
      </c>
      <c r="B29" t="s">
        <v>283</v>
      </c>
      <c r="C29" t="s">
        <v>163</v>
      </c>
      <c r="D29" t="s">
        <v>284</v>
      </c>
      <c r="E29" t="s">
        <v>35</v>
      </c>
      <c r="F29" t="n">
        <v>0.0380369071470889</v>
      </c>
      <c r="G29" t="n">
        <v>0.0375592376166572</v>
      </c>
      <c r="H29" t="n">
        <v>0.0383409566329756</v>
      </c>
      <c r="I29" t="n">
        <v>0.035250006152442</v>
      </c>
      <c r="J29" t="n">
        <v>0.0305544730690666</v>
      </c>
      <c r="K29" t="n">
        <v>0.0564667963642591</v>
      </c>
      <c r="L29" t="n">
        <v>0.0631947564737533</v>
      </c>
      <c r="M29" t="n">
        <v>0.0841032480626428</v>
      </c>
      <c r="N29" t="n">
        <v>0.0648570738787352</v>
      </c>
      <c r="O29" t="n">
        <v>0.0751182996328476</v>
      </c>
      <c r="P29" t="n">
        <v>0.0373496876677903</v>
      </c>
      <c r="Q29" t="n">
        <v>0.0692162769380797</v>
      </c>
      <c r="R29" t="n">
        <v>0.0581231528081422</v>
      </c>
      <c r="S29" t="n">
        <v>0.119593778811678</v>
      </c>
      <c r="T29" t="n">
        <v>0.0650748477119241</v>
      </c>
      <c r="U29" t="n">
        <v>-0.00678323044116754</v>
      </c>
      <c r="V29" t="n">
        <v>-0.0247330972285608</v>
      </c>
      <c r="W29" t="n">
        <v>-0.0514198819843102</v>
      </c>
      <c r="X29" t="n">
        <v>-0.0251692305332375</v>
      </c>
      <c r="Y29" t="n">
        <v>-0.0203828569272881</v>
      </c>
      <c r="Z29" t="n">
        <v>0.00042180315134735</v>
      </c>
      <c r="AA29" t="n">
        <v>0.0107055639881275</v>
      </c>
      <c r="AB29" t="n">
        <v>0.0244636031046413</v>
      </c>
      <c r="AC29" t="n">
        <v>0.0503419999955281</v>
      </c>
      <c r="AD29" t="n">
        <v>0</v>
      </c>
      <c r="AE29" t="n">
        <v>0.0532452733310798</v>
      </c>
      <c r="AF29" t="n">
        <v>0</v>
      </c>
    </row>
    <row r="30">
      <c r="A30" t="s">
        <v>164</v>
      </c>
      <c r="B30" t="s">
        <v>283</v>
      </c>
      <c r="C30" t="s">
        <v>165</v>
      </c>
      <c r="D30" t="s">
        <v>284</v>
      </c>
      <c r="E30" t="s">
        <v>35</v>
      </c>
      <c r="F30" t="n">
        <v>0.0365800314025081</v>
      </c>
      <c r="G30" t="n">
        <v>0.025249333009318</v>
      </c>
      <c r="H30" t="n">
        <v>0.0650784144212802</v>
      </c>
      <c r="I30" t="n">
        <v>0.0910512798354906</v>
      </c>
      <c r="J30" t="n">
        <v>0.103834113062614</v>
      </c>
      <c r="K30" t="n">
        <v>0.154294095043268</v>
      </c>
      <c r="L30" t="n">
        <v>0.148717653115119</v>
      </c>
      <c r="M30" t="n">
        <v>0.0694102237081502</v>
      </c>
      <c r="N30" t="n">
        <v>0.0367658815861882</v>
      </c>
      <c r="O30" t="n">
        <v>0.00996739829129479</v>
      </c>
      <c r="P30" t="n">
        <v>0.0216707979510174</v>
      </c>
      <c r="Q30" t="n">
        <v>0.0858984932200022</v>
      </c>
      <c r="R30" t="n">
        <v>0.153161936061085</v>
      </c>
      <c r="S30" t="n">
        <v>0.205835875079243</v>
      </c>
      <c r="T30" t="n">
        <v>0.0252429134926601</v>
      </c>
      <c r="U30" t="n">
        <v>0.0311293045447769</v>
      </c>
      <c r="V30" t="n">
        <v>-0.0426663091099299</v>
      </c>
      <c r="W30" t="n">
        <v>-0.138032102761465</v>
      </c>
      <c r="X30" t="n">
        <v>-0.0759467010014621</v>
      </c>
      <c r="Y30" t="n">
        <v>-0.0450852556183467</v>
      </c>
      <c r="Z30" t="n">
        <v>0.039534135611715</v>
      </c>
      <c r="AA30" t="n">
        <v>-0.0249844673719376</v>
      </c>
      <c r="AB30" t="n">
        <v>0.0190335558798595</v>
      </c>
      <c r="AC30" t="n">
        <v>0.0463732496427172</v>
      </c>
      <c r="AD30" t="n">
        <v>0</v>
      </c>
      <c r="AE30" t="n">
        <v>-0.0191670053680061</v>
      </c>
      <c r="AF30" t="n">
        <v>0</v>
      </c>
    </row>
    <row r="31">
      <c r="A31" t="s">
        <v>166</v>
      </c>
      <c r="B31" t="s">
        <v>283</v>
      </c>
      <c r="C31" t="s">
        <v>167</v>
      </c>
      <c r="D31" t="s">
        <v>284</v>
      </c>
      <c r="E31" t="s">
        <v>35</v>
      </c>
      <c r="F31" t="n">
        <v>0.287635377489034</v>
      </c>
      <c r="G31" t="n">
        <v>0.26205952995451</v>
      </c>
      <c r="H31" t="n">
        <v>0.199332634078912</v>
      </c>
      <c r="I31" t="n">
        <v>0.164348704775153</v>
      </c>
      <c r="J31" t="n">
        <v>0.053781456128938</v>
      </c>
      <c r="K31" t="n">
        <v>0.13597371085275</v>
      </c>
      <c r="L31" t="n">
        <v>0.0120906745920764</v>
      </c>
      <c r="M31" t="n">
        <v>-0.0784995607933756</v>
      </c>
      <c r="N31" t="n">
        <v>-0.24879672848162</v>
      </c>
      <c r="O31" t="n">
        <v>-0.326829822485806</v>
      </c>
      <c r="P31" t="n">
        <v>-0.446090466129072</v>
      </c>
      <c r="Q31" t="n">
        <v>-0.14175980562894</v>
      </c>
      <c r="R31" t="n">
        <v>0.0163790196802318</v>
      </c>
      <c r="S31" t="n">
        <v>0.205853359886945</v>
      </c>
      <c r="T31" t="n">
        <v>0.211282200194552</v>
      </c>
      <c r="U31" t="n">
        <v>0.130969274942034</v>
      </c>
      <c r="V31" t="n">
        <v>0.0287410712895567</v>
      </c>
      <c r="W31" t="n">
        <v>0.0135707979758141</v>
      </c>
      <c r="X31" t="n">
        <v>0.0159629122698835</v>
      </c>
      <c r="Y31" t="n">
        <v>-0.0138820209505338</v>
      </c>
      <c r="Z31" t="n">
        <v>0.0531031989361694</v>
      </c>
      <c r="AA31" t="n">
        <v>0.0670350605075992</v>
      </c>
      <c r="AB31" t="n">
        <v>0.0699901916956423</v>
      </c>
      <c r="AC31" t="n">
        <v>0.118617331072075</v>
      </c>
      <c r="AD31" t="n">
        <v>0</v>
      </c>
      <c r="AE31" t="n">
        <v>0.0951346544758585</v>
      </c>
      <c r="AF31" t="n">
        <v>0</v>
      </c>
    </row>
    <row r="32">
      <c r="A32" t="s">
        <v>168</v>
      </c>
      <c r="B32" t="s">
        <v>283</v>
      </c>
      <c r="C32" t="s">
        <v>169</v>
      </c>
      <c r="D32" t="s">
        <v>284</v>
      </c>
      <c r="E32" t="s">
        <v>35</v>
      </c>
      <c r="F32" t="n">
        <v>0.316719926444149</v>
      </c>
      <c r="G32" t="n">
        <v>0.36101259517061</v>
      </c>
      <c r="H32" t="n">
        <v>0.365720456390194</v>
      </c>
      <c r="I32" t="n">
        <v>0.383721925107005</v>
      </c>
      <c r="J32" t="n">
        <v>0.523197149479205</v>
      </c>
      <c r="K32" t="n">
        <v>0.444391312930023</v>
      </c>
      <c r="L32" t="n">
        <v>0.410796848135436</v>
      </c>
      <c r="M32" t="n">
        <v>0.207402719110467</v>
      </c>
      <c r="N32" t="n">
        <v>0.14163970899498</v>
      </c>
      <c r="O32" t="n">
        <v>0.0262839057426778</v>
      </c>
      <c r="P32" t="n">
        <v>0.178347099172371</v>
      </c>
      <c r="Q32" t="n">
        <v>0.0883316997026886</v>
      </c>
      <c r="R32" t="n">
        <v>0.226409439057088</v>
      </c>
      <c r="S32" t="n">
        <v>0.147699341514965</v>
      </c>
      <c r="T32" t="n">
        <v>-0.0501743111366382</v>
      </c>
      <c r="U32" t="n">
        <v>0.103428012435017</v>
      </c>
      <c r="V32" t="n">
        <v>-0.0890962891099124</v>
      </c>
      <c r="W32" t="n">
        <v>0.00122082610373528</v>
      </c>
      <c r="X32" t="n">
        <v>-0.0771372195660095</v>
      </c>
      <c r="Y32" t="n">
        <v>-0.0209738068747933</v>
      </c>
      <c r="Z32" t="n">
        <v>0.20697428435322</v>
      </c>
      <c r="AA32" t="n">
        <v>-0.0167633876659497</v>
      </c>
      <c r="AB32" t="n">
        <v>-0.0585115871786842</v>
      </c>
      <c r="AC32" t="n">
        <v>0.148184353288708</v>
      </c>
      <c r="AD32" t="n">
        <v>0</v>
      </c>
      <c r="AE32" t="n">
        <v>-0.093224218081076</v>
      </c>
      <c r="AF32" t="n">
        <v>0</v>
      </c>
    </row>
    <row r="33">
      <c r="A33" t="s">
        <v>170</v>
      </c>
      <c r="B33" t="s">
        <v>283</v>
      </c>
      <c r="C33" t="s">
        <v>171</v>
      </c>
      <c r="D33" t="s">
        <v>284</v>
      </c>
      <c r="E33" t="s">
        <v>35</v>
      </c>
      <c r="F33" t="n">
        <v>-1.19949553609634</v>
      </c>
      <c r="G33" t="n">
        <v>-0.779808969119071</v>
      </c>
      <c r="H33" t="n">
        <v>-0.529354352004393</v>
      </c>
      <c r="I33" t="n">
        <v>-0.358212149650383</v>
      </c>
      <c r="J33" t="n">
        <v>-0.241555892702612</v>
      </c>
      <c r="K33" t="n">
        <v>-0.172982448433982</v>
      </c>
      <c r="L33" t="n">
        <v>-0.0783902732297295</v>
      </c>
      <c r="M33" t="n">
        <v>-0.0441125786273417</v>
      </c>
      <c r="N33" t="n">
        <v>0.00449156154566259</v>
      </c>
      <c r="O33" t="n">
        <v>0.0122272652514868</v>
      </c>
      <c r="P33" t="n">
        <v>0.105759664463097</v>
      </c>
      <c r="Q33" t="n">
        <v>0.0699570258001464</v>
      </c>
      <c r="R33" t="n">
        <v>0.0346156437080474</v>
      </c>
      <c r="S33" t="n">
        <v>-0.103714959128671</v>
      </c>
      <c r="T33" t="n">
        <v>-0.112036956473974</v>
      </c>
      <c r="U33" t="n">
        <v>-0.121362847697721</v>
      </c>
      <c r="V33" t="n">
        <v>-0.0923144153801292</v>
      </c>
      <c r="W33" t="n">
        <v>-0.0931647703970341</v>
      </c>
      <c r="X33" t="n">
        <v>-0.0763071806961895</v>
      </c>
      <c r="Y33" t="n">
        <v>-0.0624272009298687</v>
      </c>
      <c r="Z33" t="n">
        <v>-0.043682013162444</v>
      </c>
      <c r="AA33" t="n">
        <v>-0.0331664007436704</v>
      </c>
      <c r="AB33" t="n">
        <v>-0.0213423149891047</v>
      </c>
      <c r="AC33" t="n">
        <v>-0.00698524219762767</v>
      </c>
      <c r="AD33" t="n">
        <v>0</v>
      </c>
      <c r="AE33" t="n">
        <v>-0.00568649460660246</v>
      </c>
      <c r="AF33" t="n">
        <v>0</v>
      </c>
    </row>
    <row r="34">
      <c r="A34" t="s">
        <v>172</v>
      </c>
      <c r="B34" t="s">
        <v>283</v>
      </c>
      <c r="C34" t="s">
        <v>173</v>
      </c>
      <c r="D34" t="s">
        <v>284</v>
      </c>
      <c r="E34" t="s">
        <v>35</v>
      </c>
      <c r="F34" t="n">
        <v>-0.032304870114949</v>
      </c>
      <c r="G34" t="n">
        <v>0.0243160354794876</v>
      </c>
      <c r="H34" t="n">
        <v>0.0662933337073686</v>
      </c>
      <c r="I34" t="n">
        <v>0.0977127089397145</v>
      </c>
      <c r="J34" t="n">
        <v>0.13305071120951</v>
      </c>
      <c r="K34" t="n">
        <v>0.1568403087762</v>
      </c>
      <c r="L34" t="n">
        <v>0.174775228061235</v>
      </c>
      <c r="M34" t="n">
        <v>0.147656581389868</v>
      </c>
      <c r="N34" t="n">
        <v>0.100705261386107</v>
      </c>
      <c r="O34" t="n">
        <v>0.0798599160252351</v>
      </c>
      <c r="P34" t="n">
        <v>0.104981574448411</v>
      </c>
      <c r="Q34" t="n">
        <v>0.0844167789156652</v>
      </c>
      <c r="R34" t="n">
        <v>0.0589154880377071</v>
      </c>
      <c r="S34" t="n">
        <v>0.0309833380461261</v>
      </c>
      <c r="T34" t="n">
        <v>-0.0516333563254322</v>
      </c>
      <c r="U34" t="n">
        <v>-0.0644254866283921</v>
      </c>
      <c r="V34" t="n">
        <v>-0.0388321868964876</v>
      </c>
      <c r="W34" t="n">
        <v>-0.0106463272652806</v>
      </c>
      <c r="X34" t="n">
        <v>0.00184742103780976</v>
      </c>
      <c r="Y34" t="n">
        <v>0.00313291593091579</v>
      </c>
      <c r="Z34" t="n">
        <v>-0.074286481582354</v>
      </c>
      <c r="AA34" t="n">
        <v>-0.0598518014779771</v>
      </c>
      <c r="AB34" t="n">
        <v>-0.041992049835364</v>
      </c>
      <c r="AC34" t="n">
        <v>-0.0371048544283228</v>
      </c>
      <c r="AD34" t="n">
        <v>0</v>
      </c>
      <c r="AE34" t="n">
        <v>-0.0380090707723768</v>
      </c>
      <c r="AF34" t="n">
        <v>0</v>
      </c>
    </row>
    <row r="35">
      <c r="A35" t="s">
        <v>174</v>
      </c>
      <c r="B35" t="s">
        <v>283</v>
      </c>
      <c r="C35" t="s">
        <v>175</v>
      </c>
      <c r="D35" t="s">
        <v>284</v>
      </c>
      <c r="E35" t="s">
        <v>35</v>
      </c>
      <c r="F35" t="n">
        <v>0.159152185532192</v>
      </c>
      <c r="G35" t="n">
        <v>0.388224097477559</v>
      </c>
      <c r="H35" t="n">
        <v>0.55053650160884</v>
      </c>
      <c r="I35" t="n">
        <v>0.81391461640006</v>
      </c>
      <c r="J35" t="n">
        <v>0.776187142150267</v>
      </c>
      <c r="K35" t="n">
        <v>0.845194610422734</v>
      </c>
      <c r="L35" t="n">
        <v>0.84782709599551</v>
      </c>
      <c r="M35" t="n">
        <v>0.98001248516157</v>
      </c>
      <c r="N35" t="n">
        <v>0.819104570876237</v>
      </c>
      <c r="O35" t="n">
        <v>0.779050860759257</v>
      </c>
      <c r="P35" t="n">
        <v>0.675465248078524</v>
      </c>
      <c r="Q35" t="n">
        <v>0.355623033668836</v>
      </c>
      <c r="R35" t="n">
        <v>0.18043952923509</v>
      </c>
      <c r="S35" t="n">
        <v>0.226652430648535</v>
      </c>
      <c r="T35" t="n">
        <v>-0.188127808519854</v>
      </c>
      <c r="U35" t="n">
        <v>0.0632015244357584</v>
      </c>
      <c r="V35" t="n">
        <v>-0.0955828131425561</v>
      </c>
      <c r="W35" t="n">
        <v>0.237441170084444</v>
      </c>
      <c r="X35" t="n">
        <v>0.29270693036736</v>
      </c>
      <c r="Y35" t="n">
        <v>0.264425197297014</v>
      </c>
      <c r="Z35" t="n">
        <v>0.450652389011663</v>
      </c>
      <c r="AA35" t="n">
        <v>0.217778235982593</v>
      </c>
      <c r="AB35" t="n">
        <v>0.0200774480599672</v>
      </c>
      <c r="AC35" t="n">
        <v>-0.191816082810914</v>
      </c>
      <c r="AD35" t="n">
        <v>0</v>
      </c>
      <c r="AE35" t="n">
        <v>-0.397122242473418</v>
      </c>
      <c r="AF35" t="n">
        <v>0</v>
      </c>
    </row>
    <row r="36">
      <c r="A36" t="s">
        <v>176</v>
      </c>
      <c r="B36" t="s">
        <v>283</v>
      </c>
      <c r="C36" t="s">
        <v>177</v>
      </c>
      <c r="D36" t="s">
        <v>284</v>
      </c>
      <c r="E36" t="s">
        <v>35</v>
      </c>
      <c r="F36" t="n">
        <v>1.00811596480557</v>
      </c>
      <c r="G36" t="n">
        <v>0.65381805389211</v>
      </c>
      <c r="H36" t="n">
        <v>0.551797846415187</v>
      </c>
      <c r="I36" t="n">
        <v>0.393924707488113</v>
      </c>
      <c r="J36" t="n">
        <v>0.280060893853377</v>
      </c>
      <c r="K36" t="n">
        <v>0.530686783194592</v>
      </c>
      <c r="L36" t="n">
        <v>0.358211007410244</v>
      </c>
      <c r="M36" t="n">
        <v>0.43827928544197</v>
      </c>
      <c r="N36" t="n">
        <v>0.340821331631532</v>
      </c>
      <c r="O36" t="n">
        <v>0.274268877867348</v>
      </c>
      <c r="P36" t="n">
        <v>0.343220235770291</v>
      </c>
      <c r="Q36" t="n">
        <v>0.255661473365641</v>
      </c>
      <c r="R36" t="n">
        <v>0.148496650920617</v>
      </c>
      <c r="S36" t="n">
        <v>0.140135476967031</v>
      </c>
      <c r="T36" t="n">
        <v>-0.00945541509298498</v>
      </c>
      <c r="U36" t="n">
        <v>0.135544365942376</v>
      </c>
      <c r="V36" t="n">
        <v>0.0257706651196721</v>
      </c>
      <c r="W36" t="n">
        <v>0.10422030209196</v>
      </c>
      <c r="X36" t="n">
        <v>0.0708908065933219</v>
      </c>
      <c r="Y36" t="n">
        <v>0.236635244650713</v>
      </c>
      <c r="Z36" t="n">
        <v>0.186095750157561</v>
      </c>
      <c r="AA36" t="n">
        <v>0.142895234688689</v>
      </c>
      <c r="AB36" t="n">
        <v>-0.110338092221907</v>
      </c>
      <c r="AC36" t="n">
        <v>-0.164096005161327</v>
      </c>
      <c r="AD36" t="n">
        <v>0</v>
      </c>
      <c r="AE36" t="n">
        <v>-0.477252808501039</v>
      </c>
      <c r="AF36" t="n">
        <v>0</v>
      </c>
    </row>
    <row r="37">
      <c r="A37" t="s">
        <v>178</v>
      </c>
      <c r="B37" t="s">
        <v>283</v>
      </c>
      <c r="C37" t="s">
        <v>179</v>
      </c>
      <c r="D37" t="s">
        <v>284</v>
      </c>
      <c r="E37" t="s">
        <v>35</v>
      </c>
      <c r="F37" t="n">
        <v>-0.586015719805511</v>
      </c>
      <c r="G37" t="n">
        <v>-0.40488452320685</v>
      </c>
      <c r="H37" t="n">
        <v>-0.176095517480662</v>
      </c>
      <c r="I37" t="n">
        <v>0.0630983577330517</v>
      </c>
      <c r="J37" t="n">
        <v>0.481572794543448</v>
      </c>
      <c r="K37" t="n">
        <v>0.623460449884221</v>
      </c>
      <c r="L37" t="n">
        <v>0.427658326235822</v>
      </c>
      <c r="M37" t="n">
        <v>0.34448594747482</v>
      </c>
      <c r="N37" t="n">
        <v>0.31158267322024</v>
      </c>
      <c r="O37" t="n">
        <v>0.0540278239964412</v>
      </c>
      <c r="P37" t="n">
        <v>-0.0905620547857096</v>
      </c>
      <c r="Q37" t="n">
        <v>-0.0718031565734877</v>
      </c>
      <c r="R37" t="n">
        <v>-0.111880625975918</v>
      </c>
      <c r="S37" t="n">
        <v>-0.0114654644953447</v>
      </c>
      <c r="T37" t="n">
        <v>-0.14325822306138</v>
      </c>
      <c r="U37" t="n">
        <v>-0.163233171821348</v>
      </c>
      <c r="V37" t="n">
        <v>-0.0763456401333908</v>
      </c>
      <c r="W37" t="n">
        <v>0.212315924419925</v>
      </c>
      <c r="X37" t="n">
        <v>0.202479818570913</v>
      </c>
      <c r="Y37" t="n">
        <v>0.387396650489191</v>
      </c>
      <c r="Z37" t="n">
        <v>0.602146762733267</v>
      </c>
      <c r="AA37" t="n">
        <v>0.375698792122647</v>
      </c>
      <c r="AB37" t="n">
        <v>0.0972452343744698</v>
      </c>
      <c r="AC37" t="n">
        <v>-0.170435055625129</v>
      </c>
      <c r="AD37" t="n">
        <v>0</v>
      </c>
      <c r="AE37" t="n">
        <v>-0.276866057050397</v>
      </c>
      <c r="AF37" t="n">
        <v>0</v>
      </c>
    </row>
    <row r="38">
      <c r="A38" t="s">
        <v>180</v>
      </c>
      <c r="B38" t="s">
        <v>283</v>
      </c>
      <c r="C38" t="s">
        <v>181</v>
      </c>
      <c r="D38" t="s">
        <v>284</v>
      </c>
      <c r="E38" t="s">
        <v>35</v>
      </c>
      <c r="F38" t="n">
        <v>-0.459437252733074</v>
      </c>
      <c r="G38" t="n">
        <v>0.910874772852105</v>
      </c>
      <c r="H38" t="n">
        <v>1.19250801714246</v>
      </c>
      <c r="I38" t="n">
        <v>1.70223144087713</v>
      </c>
      <c r="J38" t="n">
        <v>1.31517457111415</v>
      </c>
      <c r="K38" t="n">
        <v>1.20792925139436</v>
      </c>
      <c r="L38" t="n">
        <v>1.44415634850488</v>
      </c>
      <c r="M38" t="n">
        <v>1.7296329733045</v>
      </c>
      <c r="N38" t="n">
        <v>1.4016900319351</v>
      </c>
      <c r="O38" t="n">
        <v>1.49057329615116</v>
      </c>
      <c r="P38" t="n">
        <v>1.31306014595512</v>
      </c>
      <c r="Q38" t="n">
        <v>0.674477899846292</v>
      </c>
      <c r="R38" t="n">
        <v>0.386777492325422</v>
      </c>
      <c r="S38" t="n">
        <v>0.416579001430717</v>
      </c>
      <c r="T38" t="n">
        <v>-0.292425326324986</v>
      </c>
      <c r="U38" t="n">
        <v>0.168883584195681</v>
      </c>
      <c r="V38" t="n">
        <v>-0.159837641938525</v>
      </c>
      <c r="W38" t="n">
        <v>0.303668498140024</v>
      </c>
      <c r="X38" t="n">
        <v>0.422459047169639</v>
      </c>
      <c r="Y38" t="n">
        <v>0.210259724828451</v>
      </c>
      <c r="Z38" t="n">
        <v>0.473227517151523</v>
      </c>
      <c r="AA38" t="n">
        <v>0.170236207842061</v>
      </c>
      <c r="AB38" t="n">
        <v>0.026327683173449</v>
      </c>
      <c r="AC38" t="n">
        <v>-0.211179596554729</v>
      </c>
      <c r="AD38" t="n">
        <v>0</v>
      </c>
      <c r="AE38" t="n">
        <v>-0.43094680364774</v>
      </c>
      <c r="AF38" t="n">
        <v>0</v>
      </c>
    </row>
    <row r="39">
      <c r="A39" t="s">
        <v>182</v>
      </c>
      <c r="B39" t="s">
        <v>283</v>
      </c>
      <c r="C39" t="s">
        <v>183</v>
      </c>
      <c r="D39" t="s">
        <v>284</v>
      </c>
      <c r="E39" t="s">
        <v>35</v>
      </c>
      <c r="F39" t="n">
        <v>-0.089332481951373</v>
      </c>
      <c r="G39" t="n">
        <v>0.362401512544301</v>
      </c>
      <c r="H39" t="n">
        <v>0.368280275737812</v>
      </c>
      <c r="I39" t="n">
        <v>0.669314580075819</v>
      </c>
      <c r="J39" t="n">
        <v>0.470977127092967</v>
      </c>
      <c r="K39" t="n">
        <v>0.486548209968682</v>
      </c>
      <c r="L39" t="n">
        <v>1.13534176095075</v>
      </c>
      <c r="M39" t="n">
        <v>1.02314889219837</v>
      </c>
      <c r="N39" t="n">
        <v>1.09043490186328</v>
      </c>
      <c r="O39" t="n">
        <v>0.814574797209475</v>
      </c>
      <c r="P39" t="n">
        <v>-0.0746047075058593</v>
      </c>
      <c r="Q39" t="n">
        <v>-0.123459736121009</v>
      </c>
      <c r="R39" t="n">
        <v>-0.211808383945657</v>
      </c>
      <c r="S39" t="n">
        <v>0.0146505434602358</v>
      </c>
      <c r="T39" t="n">
        <v>0.883717869999293</v>
      </c>
      <c r="U39" t="n">
        <v>0.303692731093783</v>
      </c>
      <c r="V39" t="n">
        <v>-0.38851432816938</v>
      </c>
      <c r="W39" t="n">
        <v>-0.15998605231619</v>
      </c>
      <c r="X39" t="n">
        <v>-0.0347241455388183</v>
      </c>
      <c r="Y39" t="n">
        <v>0.032264037299541</v>
      </c>
      <c r="Z39" t="n">
        <v>0.215071113169997</v>
      </c>
      <c r="AA39" t="n">
        <v>0.0741075743647095</v>
      </c>
      <c r="AB39" t="n">
        <v>0.00406194971370265</v>
      </c>
      <c r="AC39" t="n">
        <v>-0.0416800763914881</v>
      </c>
      <c r="AD39" t="n">
        <v>0</v>
      </c>
      <c r="AE39" t="n">
        <v>-0.142048080144619</v>
      </c>
      <c r="AF39" t="n">
        <v>0</v>
      </c>
    </row>
    <row r="40">
      <c r="A40" t="s">
        <v>184</v>
      </c>
      <c r="B40" t="s">
        <v>283</v>
      </c>
      <c r="C40" t="s">
        <v>185</v>
      </c>
      <c r="D40" t="s">
        <v>284</v>
      </c>
      <c r="E40" t="s">
        <v>35</v>
      </c>
      <c r="F40" t="n">
        <v>-0.00542158216471198</v>
      </c>
      <c r="G40" t="n">
        <v>0.00501347238755338</v>
      </c>
      <c r="H40" t="n">
        <v>0.00389596723950078</v>
      </c>
      <c r="I40" t="n">
        <v>0.00413298334215737</v>
      </c>
      <c r="J40" t="n">
        <v>0.00350575950658578</v>
      </c>
      <c r="K40" t="n">
        <v>0.0113773609784499</v>
      </c>
      <c r="L40" t="n">
        <v>0.00860577885553068</v>
      </c>
      <c r="M40" t="n">
        <v>0.00634231255964856</v>
      </c>
      <c r="N40" t="n">
        <v>0.00928258326974772</v>
      </c>
      <c r="O40" t="n">
        <v>0.00881629836940607</v>
      </c>
      <c r="P40" t="n">
        <v>0.0128198411886614</v>
      </c>
      <c r="Q40" t="n">
        <v>0.0151780184685762</v>
      </c>
      <c r="R40" t="n">
        <v>0.0193387611560416</v>
      </c>
      <c r="S40" t="n">
        <v>0.0101220273683153</v>
      </c>
      <c r="T40" t="n">
        <v>-0.010180023545373</v>
      </c>
      <c r="U40" t="n">
        <v>-0.012816943521675</v>
      </c>
      <c r="V40" t="n">
        <v>-0.00701545420273984</v>
      </c>
      <c r="W40" t="n">
        <v>-0.0044188351909388</v>
      </c>
      <c r="X40" t="n">
        <v>-0.00594897865272829</v>
      </c>
      <c r="Y40" t="n">
        <v>-0.0238084006821299</v>
      </c>
      <c r="Z40" t="n">
        <v>-0.00196810803866705</v>
      </c>
      <c r="AA40" t="n">
        <v>-0.00276323850374301</v>
      </c>
      <c r="AB40" t="n">
        <v>-0.000574543258891489</v>
      </c>
      <c r="AC40" t="n">
        <v>0.016211412059583</v>
      </c>
      <c r="AD40" t="n">
        <v>0</v>
      </c>
      <c r="AE40" t="n">
        <v>-0.000336324301259934</v>
      </c>
      <c r="AF40" t="n">
        <v>0</v>
      </c>
    </row>
    <row r="41">
      <c r="A41" t="s">
        <v>186</v>
      </c>
      <c r="B41" t="s">
        <v>283</v>
      </c>
      <c r="C41" t="s">
        <v>187</v>
      </c>
      <c r="D41" t="s">
        <v>284</v>
      </c>
      <c r="E41" t="s">
        <v>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188</v>
      </c>
      <c r="B42" t="s">
        <v>283</v>
      </c>
      <c r="C42" t="s">
        <v>189</v>
      </c>
      <c r="D42" t="s">
        <v>284</v>
      </c>
      <c r="E42" t="s">
        <v>35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190</v>
      </c>
      <c r="B43" t="s">
        <v>283</v>
      </c>
      <c r="C43" t="s">
        <v>191</v>
      </c>
      <c r="D43" t="s">
        <v>284</v>
      </c>
      <c r="E43" t="s">
        <v>35</v>
      </c>
      <c r="F43" t="n">
        <v>0.13489716702852</v>
      </c>
      <c r="G43" t="n">
        <v>0.231576574740998</v>
      </c>
      <c r="H43" t="n">
        <v>0.255374087541417</v>
      </c>
      <c r="I43" t="n">
        <v>0.289871108801123</v>
      </c>
      <c r="J43" t="n">
        <v>0.311020076832207</v>
      </c>
      <c r="K43" t="n">
        <v>0.281683485807095</v>
      </c>
      <c r="L43" t="n">
        <v>0.337230404013415</v>
      </c>
      <c r="M43" t="n">
        <v>0.356170467554113</v>
      </c>
      <c r="N43" t="n">
        <v>0.228936111615229</v>
      </c>
      <c r="O43" t="n">
        <v>0.221784926261047</v>
      </c>
      <c r="P43" t="n">
        <v>0.147100986545089</v>
      </c>
      <c r="Q43" t="n">
        <v>0.0705102747454755</v>
      </c>
      <c r="R43" t="n">
        <v>0.0255076007492747</v>
      </c>
      <c r="S43" t="n">
        <v>0.0154791246147518</v>
      </c>
      <c r="T43" t="n">
        <v>-0.00634687100779668</v>
      </c>
      <c r="U43" t="n">
        <v>-0.0713963107044851</v>
      </c>
      <c r="V43" t="n">
        <v>-0.0730288663719644</v>
      </c>
      <c r="W43" t="n">
        <v>0.0401897658849907</v>
      </c>
      <c r="X43" t="n">
        <v>0.117477302385159</v>
      </c>
      <c r="Y43" t="n">
        <v>0.0784828969759939</v>
      </c>
      <c r="Z43" t="n">
        <v>0.274439643417121</v>
      </c>
      <c r="AA43" t="n">
        <v>0.0899648648104398</v>
      </c>
      <c r="AB43" t="n">
        <v>0.0130292601973471</v>
      </c>
      <c r="AC43" t="n">
        <v>-0.00203388272605081</v>
      </c>
      <c r="AD43" t="n">
        <v>0</v>
      </c>
      <c r="AE43" t="n">
        <v>-0.0456090180307281</v>
      </c>
      <c r="AF43" t="n">
        <v>0</v>
      </c>
    </row>
    <row r="44">
      <c r="A44" t="s">
        <v>192</v>
      </c>
      <c r="B44" t="s">
        <v>283</v>
      </c>
      <c r="C44" t="s">
        <v>193</v>
      </c>
      <c r="D44" t="s">
        <v>284</v>
      </c>
      <c r="E44" t="s">
        <v>35</v>
      </c>
      <c r="F44" t="n">
        <v>0.0846634512738631</v>
      </c>
      <c r="G44" t="n">
        <v>0.17691978496891</v>
      </c>
      <c r="H44" t="n">
        <v>0.216363543747044</v>
      </c>
      <c r="I44" t="n">
        <v>0.261275220255042</v>
      </c>
      <c r="J44" t="n">
        <v>0.234485372695074</v>
      </c>
      <c r="K44" t="n">
        <v>0.246037875193152</v>
      </c>
      <c r="L44" t="n">
        <v>0.300929615030848</v>
      </c>
      <c r="M44" t="n">
        <v>0.302678582678067</v>
      </c>
      <c r="N44" t="n">
        <v>0.266203612976063</v>
      </c>
      <c r="O44" t="n">
        <v>0.222229696054033</v>
      </c>
      <c r="P44" t="n">
        <v>0.218005828913886</v>
      </c>
      <c r="Q44" t="n">
        <v>0.193764499912089</v>
      </c>
      <c r="R44" t="n">
        <v>0.184742493203355</v>
      </c>
      <c r="S44" t="n">
        <v>0.159485436067685</v>
      </c>
      <c r="T44" t="n">
        <v>0.0313806143670719</v>
      </c>
      <c r="U44" t="n">
        <v>-0.00935271503873859</v>
      </c>
      <c r="V44" t="n">
        <v>-0.0383373612477654</v>
      </c>
      <c r="W44" t="n">
        <v>0.0290523912392297</v>
      </c>
      <c r="X44" t="n">
        <v>0.0826430101322975</v>
      </c>
      <c r="Y44" t="n">
        <v>0.0986612787799944</v>
      </c>
      <c r="Z44" t="n">
        <v>0.140774225931433</v>
      </c>
      <c r="AA44" t="n">
        <v>0.0771470183401594</v>
      </c>
      <c r="AB44" t="n">
        <v>0.0426274139353044</v>
      </c>
      <c r="AC44" t="n">
        <v>0.0375135215813196</v>
      </c>
      <c r="AD44" t="n">
        <v>0</v>
      </c>
      <c r="AE44" t="n">
        <v>-0.0238655897256916</v>
      </c>
      <c r="AF44" t="n">
        <v>0</v>
      </c>
    </row>
    <row r="45">
      <c r="A45" t="s">
        <v>194</v>
      </c>
      <c r="B45" t="s">
        <v>283</v>
      </c>
      <c r="C45" t="s">
        <v>195</v>
      </c>
      <c r="D45" t="s">
        <v>284</v>
      </c>
      <c r="E45" t="s">
        <v>35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196</v>
      </c>
      <c r="B46" t="s">
        <v>283</v>
      </c>
      <c r="C46" t="s">
        <v>197</v>
      </c>
      <c r="D46" t="s">
        <v>284</v>
      </c>
      <c r="E46" t="s">
        <v>35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198</v>
      </c>
      <c r="B47" t="s">
        <v>283</v>
      </c>
      <c r="C47" t="s">
        <v>199</v>
      </c>
      <c r="D47" t="s">
        <v>284</v>
      </c>
      <c r="E47" t="s">
        <v>35</v>
      </c>
      <c r="F47" t="n">
        <v>0.0425452340083906</v>
      </c>
      <c r="G47" t="n">
        <v>0.0932526360251776</v>
      </c>
      <c r="H47" t="n">
        <v>0.10410158092286</v>
      </c>
      <c r="I47" t="n">
        <v>0.119707347049264</v>
      </c>
      <c r="J47" t="n">
        <v>0.0725573672180962</v>
      </c>
      <c r="K47" t="n">
        <v>0.13441531552824</v>
      </c>
      <c r="L47" t="n">
        <v>0.164207331593555</v>
      </c>
      <c r="M47" t="n">
        <v>0.0528962080876648</v>
      </c>
      <c r="N47" t="n">
        <v>0.0964435419464265</v>
      </c>
      <c r="O47" t="n">
        <v>0.0684386547691892</v>
      </c>
      <c r="P47" t="n">
        <v>-0.0187490358476409</v>
      </c>
      <c r="Q47" t="n">
        <v>-0.0245924071159779</v>
      </c>
      <c r="R47" t="n">
        <v>-0.0472432527887869</v>
      </c>
      <c r="S47" t="n">
        <v>-0.0654814265558063</v>
      </c>
      <c r="T47" t="n">
        <v>-0.0666334038618098</v>
      </c>
      <c r="U47" t="n">
        <v>0.0149775577246911</v>
      </c>
      <c r="V47" t="n">
        <v>-0.0176921356678294</v>
      </c>
      <c r="W47" t="n">
        <v>-0.108443126376229</v>
      </c>
      <c r="X47" t="n">
        <v>-0.151064286344932</v>
      </c>
      <c r="Y47" t="n">
        <v>0.0529325677045876</v>
      </c>
      <c r="Z47" t="n">
        <v>0.147740747305905</v>
      </c>
      <c r="AA47" t="n">
        <v>0.180793491095703</v>
      </c>
      <c r="AB47" t="n">
        <v>0.186049533513672</v>
      </c>
      <c r="AC47" t="n">
        <v>-0.121465707710553</v>
      </c>
      <c r="AD47" t="n">
        <v>0</v>
      </c>
      <c r="AE47" t="n">
        <v>-0.0484541622889008</v>
      </c>
      <c r="AF47" t="n">
        <v>0</v>
      </c>
    </row>
    <row r="48">
      <c r="A48" t="s">
        <v>200</v>
      </c>
      <c r="B48" t="s">
        <v>283</v>
      </c>
      <c r="C48" t="s">
        <v>201</v>
      </c>
      <c r="D48" t="s">
        <v>284</v>
      </c>
      <c r="E48" t="s">
        <v>35</v>
      </c>
      <c r="F48" t="n">
        <v>0.0487216066770103</v>
      </c>
      <c r="G48" t="n">
        <v>0.100020184812771</v>
      </c>
      <c r="H48" t="n">
        <v>0.119568674889568</v>
      </c>
      <c r="I48" t="n">
        <v>0.137561495417672</v>
      </c>
      <c r="J48" t="n">
        <v>0.153296015504537</v>
      </c>
      <c r="K48" t="n">
        <v>0.13079957833214</v>
      </c>
      <c r="L48" t="n">
        <v>0.166222657692643</v>
      </c>
      <c r="M48" t="n">
        <v>0.136899475288125</v>
      </c>
      <c r="N48" t="n">
        <v>0.109662991180539</v>
      </c>
      <c r="O48" t="n">
        <v>0.0712220663938031</v>
      </c>
      <c r="P48" t="n">
        <v>0.046633263022446</v>
      </c>
      <c r="Q48" t="n">
        <v>0.0199373177205889</v>
      </c>
      <c r="R48" t="n">
        <v>-0.00192606307186006</v>
      </c>
      <c r="S48" t="n">
        <v>-0.0185991175454831</v>
      </c>
      <c r="T48" t="n">
        <v>0.00127475843398181</v>
      </c>
      <c r="U48" t="n">
        <v>0.00103349793738228</v>
      </c>
      <c r="V48" t="n">
        <v>-0.000252907377702114</v>
      </c>
      <c r="W48" t="n">
        <v>0.00882338283824525</v>
      </c>
      <c r="X48" t="n">
        <v>0.0139758730149618</v>
      </c>
      <c r="Y48" t="n">
        <v>0.0450927986539837</v>
      </c>
      <c r="Z48" t="n">
        <v>0.0838127606540174</v>
      </c>
      <c r="AA48" t="n">
        <v>0.0688419123693692</v>
      </c>
      <c r="AB48" t="n">
        <v>0.0459032828290946</v>
      </c>
      <c r="AC48" t="n">
        <v>-0.0211194740945704</v>
      </c>
      <c r="AD48" t="n">
        <v>0</v>
      </c>
      <c r="AE48" t="n">
        <v>-0.0209352772397763</v>
      </c>
      <c r="AF48" t="n">
        <v>0</v>
      </c>
    </row>
    <row r="49">
      <c r="A49" t="s">
        <v>202</v>
      </c>
      <c r="B49" t="s">
        <v>283</v>
      </c>
      <c r="C49" t="s">
        <v>203</v>
      </c>
      <c r="D49" t="s">
        <v>284</v>
      </c>
      <c r="E49" t="s">
        <v>35</v>
      </c>
      <c r="F49" t="n">
        <v>0.228512844865653</v>
      </c>
      <c r="G49" t="n">
        <v>0.247082165250419</v>
      </c>
      <c r="H49" t="n">
        <v>0.236457820296225</v>
      </c>
      <c r="I49" t="n">
        <v>0.248477092358136</v>
      </c>
      <c r="J49" t="n">
        <v>0.263082544174385</v>
      </c>
      <c r="K49" t="n">
        <v>0.209764802936138</v>
      </c>
      <c r="L49" t="n">
        <v>0.236383412576707</v>
      </c>
      <c r="M49" t="n">
        <v>0.285210368821892</v>
      </c>
      <c r="N49" t="n">
        <v>0.188848738747927</v>
      </c>
      <c r="O49" t="n">
        <v>0.142347517816301</v>
      </c>
      <c r="P49" t="n">
        <v>0.162250503600265</v>
      </c>
      <c r="Q49" t="n">
        <v>0.145985159566562</v>
      </c>
      <c r="R49" t="n">
        <v>0.125966982127026</v>
      </c>
      <c r="S49" t="n">
        <v>0.0967702298504785</v>
      </c>
      <c r="T49" t="n">
        <v>0.165204544575412</v>
      </c>
      <c r="U49" t="n">
        <v>0.069063838555071</v>
      </c>
      <c r="V49" t="n">
        <v>0.0535025388069342</v>
      </c>
      <c r="W49" t="n">
        <v>0.0957824081756841</v>
      </c>
      <c r="X49" t="n">
        <v>0.121558130261588</v>
      </c>
      <c r="Y49" t="n">
        <v>0.066485050607551</v>
      </c>
      <c r="Z49" t="n">
        <v>-0.0266742749678666</v>
      </c>
      <c r="AA49" t="n">
        <v>-0.0486409924593878</v>
      </c>
      <c r="AB49" t="n">
        <v>-0.0908741486560568</v>
      </c>
      <c r="AC49" t="n">
        <v>0.0993231624150006</v>
      </c>
      <c r="AD49" t="n">
        <v>0</v>
      </c>
      <c r="AE49" t="n">
        <v>0.0848709421339835</v>
      </c>
      <c r="AF49" t="n">
        <v>0</v>
      </c>
    </row>
    <row r="50">
      <c r="A50" t="s">
        <v>204</v>
      </c>
      <c r="B50" t="s">
        <v>283</v>
      </c>
      <c r="C50" t="s">
        <v>205</v>
      </c>
      <c r="D50" t="s">
        <v>284</v>
      </c>
      <c r="E50" t="s">
        <v>35</v>
      </c>
      <c r="F50" t="n">
        <v>-0.110959995962231</v>
      </c>
      <c r="G50" t="n">
        <v>-0.0162247621725545</v>
      </c>
      <c r="H50" t="n">
        <v>0.043522769053883</v>
      </c>
      <c r="I50" t="n">
        <v>0.0682434346603784</v>
      </c>
      <c r="J50" t="n">
        <v>0.161776156754093</v>
      </c>
      <c r="K50" t="n">
        <v>0.0618605117947511</v>
      </c>
      <c r="L50" t="n">
        <v>0.113445415550082</v>
      </c>
      <c r="M50" t="n">
        <v>0.122728603256006</v>
      </c>
      <c r="N50" t="n">
        <v>0.065118278989239</v>
      </c>
      <c r="O50" t="n">
        <v>0.0211004718008172</v>
      </c>
      <c r="P50" t="n">
        <v>0.0378275269959517</v>
      </c>
      <c r="Q50" t="n">
        <v>-0.0189034850148762</v>
      </c>
      <c r="R50" t="n">
        <v>-0.0400083277854259</v>
      </c>
      <c r="S50" t="n">
        <v>-0.0475740108391312</v>
      </c>
      <c r="T50" t="n">
        <v>-0.0412518836621966</v>
      </c>
      <c r="U50" t="n">
        <v>-0.0565342688569536</v>
      </c>
      <c r="V50" t="n">
        <v>-0.0190203695597238</v>
      </c>
      <c r="W50" t="n">
        <v>0.0533448240334052</v>
      </c>
      <c r="X50" t="n">
        <v>0.0807146150895382</v>
      </c>
      <c r="Y50" t="n">
        <v>0.0281648409195152</v>
      </c>
      <c r="Z50" t="n">
        <v>0.0957518501432571</v>
      </c>
      <c r="AA50" t="n">
        <v>0.0540727090952985</v>
      </c>
      <c r="AB50" t="n">
        <v>0.0234561062149556</v>
      </c>
      <c r="AC50" t="n">
        <v>-0.0151069827486672</v>
      </c>
      <c r="AD50" t="n">
        <v>0</v>
      </c>
      <c r="AE50" t="n">
        <v>-0.0481712327912176</v>
      </c>
      <c r="AF50" t="n">
        <v>0</v>
      </c>
    </row>
    <row r="51">
      <c r="A51" t="s">
        <v>206</v>
      </c>
      <c r="B51" t="s">
        <v>283</v>
      </c>
      <c r="C51" t="s">
        <v>207</v>
      </c>
      <c r="D51" t="s">
        <v>284</v>
      </c>
      <c r="E51" t="s">
        <v>35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208</v>
      </c>
      <c r="B52" t="s">
        <v>283</v>
      </c>
      <c r="C52" t="s">
        <v>209</v>
      </c>
      <c r="D52" t="s">
        <v>284</v>
      </c>
      <c r="E52" t="s">
        <v>35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210</v>
      </c>
      <c r="B53" t="s">
        <v>283</v>
      </c>
      <c r="C53" t="s">
        <v>211</v>
      </c>
      <c r="D53" t="s">
        <v>284</v>
      </c>
      <c r="E53" t="s">
        <v>35</v>
      </c>
      <c r="F53" t="n">
        <v>-0.414154720879998</v>
      </c>
      <c r="G53" t="n">
        <v>0.196820464059725</v>
      </c>
      <c r="H53" t="n">
        <v>0.234413801816078</v>
      </c>
      <c r="I53" t="n">
        <v>0.253693112589605</v>
      </c>
      <c r="J53" t="n">
        <v>0.254078392752696</v>
      </c>
      <c r="K53" t="n">
        <v>0.243361348257478</v>
      </c>
      <c r="L53" t="n">
        <v>0.282301629435551</v>
      </c>
      <c r="M53" t="n">
        <v>0.282139513468631</v>
      </c>
      <c r="N53" t="n">
        <v>0.236054294546657</v>
      </c>
      <c r="O53" t="n">
        <v>0.275450545044213</v>
      </c>
      <c r="P53" t="n">
        <v>0.196578233276513</v>
      </c>
      <c r="Q53" t="n">
        <v>0.164754002716201</v>
      </c>
      <c r="R53" t="n">
        <v>0.0873406129089988</v>
      </c>
      <c r="S53" t="n">
        <v>0.0955723452474994</v>
      </c>
      <c r="T53" t="n">
        <v>-0.0108528809092535</v>
      </c>
      <c r="U53" t="n">
        <v>-0.096594961826222</v>
      </c>
      <c r="V53" t="n">
        <v>-0.137932817859653</v>
      </c>
      <c r="W53" t="n">
        <v>-0.0725950594516716</v>
      </c>
      <c r="X53" t="n">
        <v>0.0103529842542943</v>
      </c>
      <c r="Y53" t="n">
        <v>-0.0280952755332856</v>
      </c>
      <c r="Z53" t="n">
        <v>0.149109141565442</v>
      </c>
      <c r="AA53" t="n">
        <v>0.116486215164289</v>
      </c>
      <c r="AB53" t="n">
        <v>0.0789054565807271</v>
      </c>
      <c r="AC53" t="n">
        <v>0.154737309539354</v>
      </c>
      <c r="AD53" t="n">
        <v>0</v>
      </c>
      <c r="AE53" t="n">
        <v>0.0596363958056096</v>
      </c>
      <c r="AF53" t="n">
        <v>0</v>
      </c>
    </row>
    <row r="54">
      <c r="A54" t="s">
        <v>212</v>
      </c>
      <c r="B54" t="s">
        <v>283</v>
      </c>
      <c r="C54" t="s">
        <v>213</v>
      </c>
      <c r="D54" t="s">
        <v>284</v>
      </c>
      <c r="E54" t="s">
        <v>35</v>
      </c>
      <c r="F54" t="n">
        <v>-0.143265761563658</v>
      </c>
      <c r="G54" t="n">
        <v>0.0701543073951433</v>
      </c>
      <c r="H54" t="n">
        <v>0.0957691967210224</v>
      </c>
      <c r="I54" t="n">
        <v>0.117303076208156</v>
      </c>
      <c r="J54" t="n">
        <v>0.118786747013248</v>
      </c>
      <c r="K54" t="n">
        <v>0.106521391257685</v>
      </c>
      <c r="L54" t="n">
        <v>0.102688436372671</v>
      </c>
      <c r="M54" t="n">
        <v>0.109430719991034</v>
      </c>
      <c r="N54" t="n">
        <v>0.0921280245793099</v>
      </c>
      <c r="O54" t="n">
        <v>0.108216379453963</v>
      </c>
      <c r="P54" t="n">
        <v>0.095195854045637</v>
      </c>
      <c r="Q54" t="n">
        <v>0.0624579042821104</v>
      </c>
      <c r="R54" t="n">
        <v>0.0513956028767386</v>
      </c>
      <c r="S54" t="n">
        <v>0.0466032649313523</v>
      </c>
      <c r="T54" t="n">
        <v>-0.00276107979156033</v>
      </c>
      <c r="U54" t="n">
        <v>-0.0277351591249731</v>
      </c>
      <c r="V54" t="n">
        <v>-0.0274124686381244</v>
      </c>
      <c r="W54" t="n">
        <v>0.00562088263310405</v>
      </c>
      <c r="X54" t="n">
        <v>0.00980248059364151</v>
      </c>
      <c r="Y54" t="n">
        <v>-0.00823356930940886</v>
      </c>
      <c r="Z54" t="n">
        <v>0.0764003326303442</v>
      </c>
      <c r="AA54" t="n">
        <v>0.0459736431916797</v>
      </c>
      <c r="AB54" t="n">
        <v>0.0353383509232337</v>
      </c>
      <c r="AC54" t="n">
        <v>0.0826463760655044</v>
      </c>
      <c r="AD54" t="n">
        <v>0</v>
      </c>
      <c r="AE54" t="n">
        <v>0.062360412502096</v>
      </c>
      <c r="AF54" t="n">
        <v>0</v>
      </c>
    </row>
    <row r="55">
      <c r="A55" t="s">
        <v>214</v>
      </c>
      <c r="B55" t="s">
        <v>283</v>
      </c>
      <c r="C55" t="s">
        <v>215</v>
      </c>
      <c r="D55" t="s">
        <v>284</v>
      </c>
      <c r="E55" t="s">
        <v>35</v>
      </c>
      <c r="F55" t="n">
        <v>0.00112340111770304</v>
      </c>
      <c r="G55" t="n">
        <v>0.00108602008826589</v>
      </c>
      <c r="H55" t="n">
        <v>0.0191780761140727</v>
      </c>
      <c r="I55" t="n">
        <v>0.0436382974177836</v>
      </c>
      <c r="J55" t="n">
        <v>0.0459092046220712</v>
      </c>
      <c r="K55" t="n">
        <v>0.0328272589271404</v>
      </c>
      <c r="L55" t="n">
        <v>0.00785679066460784</v>
      </c>
      <c r="M55" t="n">
        <v>0.0195771795185848</v>
      </c>
      <c r="N55" t="n">
        <v>0.0168988108526689</v>
      </c>
      <c r="O55" t="n">
        <v>0.0208277898708593</v>
      </c>
      <c r="P55" t="n">
        <v>0.0434257486456471</v>
      </c>
      <c r="Q55" t="n">
        <v>0.0116170946708297</v>
      </c>
      <c r="R55" t="n">
        <v>0.033899756789963</v>
      </c>
      <c r="S55" t="n">
        <v>0.0228240898241274</v>
      </c>
      <c r="T55" t="n">
        <v>0.00121084699691592</v>
      </c>
      <c r="U55" t="n">
        <v>0.00580482926023614</v>
      </c>
      <c r="V55" t="n">
        <v>0.0254847081844007</v>
      </c>
      <c r="W55" t="n">
        <v>0.0434746013608095</v>
      </c>
      <c r="X55" t="n">
        <v>0.00953095967762714</v>
      </c>
      <c r="Y55" t="n">
        <v>0.00210499008787241</v>
      </c>
      <c r="Z55" t="n">
        <v>0.0365341698129751</v>
      </c>
      <c r="AA55" t="n">
        <v>0.00627165572817889</v>
      </c>
      <c r="AB55" t="n">
        <v>0.0109025936352716</v>
      </c>
      <c r="AC55" t="n">
        <v>0.0425316031558804</v>
      </c>
      <c r="AD55" t="n">
        <v>0</v>
      </c>
      <c r="AE55" t="n">
        <v>0.0638167749835182</v>
      </c>
      <c r="AF55" t="n">
        <v>0</v>
      </c>
    </row>
    <row r="56">
      <c r="A56" t="s">
        <v>216</v>
      </c>
      <c r="B56" t="s">
        <v>283</v>
      </c>
      <c r="C56" t="s">
        <v>217</v>
      </c>
      <c r="D56" t="s">
        <v>284</v>
      </c>
      <c r="E56" t="s">
        <v>35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218</v>
      </c>
      <c r="B57" t="s">
        <v>283</v>
      </c>
      <c r="C57" t="s">
        <v>219</v>
      </c>
      <c r="D57" t="s">
        <v>284</v>
      </c>
      <c r="E57" t="s">
        <v>35</v>
      </c>
      <c r="F57" t="n">
        <v>0.0697419003064181</v>
      </c>
      <c r="G57" t="n">
        <v>0.146635353638554</v>
      </c>
      <c r="H57" t="n">
        <v>0.17905145377158</v>
      </c>
      <c r="I57" t="n">
        <v>0.214940857991341</v>
      </c>
      <c r="J57" t="n">
        <v>0.196851935082382</v>
      </c>
      <c r="K57" t="n">
        <v>0.20184905134933</v>
      </c>
      <c r="L57" t="n">
        <v>0.248585320794109</v>
      </c>
      <c r="M57" t="n">
        <v>0.2438328564101</v>
      </c>
      <c r="N57" t="n">
        <v>0.21260562157557</v>
      </c>
      <c r="O57" t="n">
        <v>0.174155468720713</v>
      </c>
      <c r="P57" t="n">
        <v>0.167269927870137</v>
      </c>
      <c r="Q57" t="n">
        <v>0.144446030070517</v>
      </c>
      <c r="R57" t="n">
        <v>0.133112979910257</v>
      </c>
      <c r="S57" t="n">
        <v>0.110225362606589</v>
      </c>
      <c r="T57" t="n">
        <v>0.0212398596850899</v>
      </c>
      <c r="U57" t="n">
        <v>-0.0074257645570036</v>
      </c>
      <c r="V57" t="n">
        <v>-0.0270743892912197</v>
      </c>
      <c r="W57" t="n">
        <v>0.0218796175994285</v>
      </c>
      <c r="X57" t="n">
        <v>0.0604907128024836</v>
      </c>
      <c r="Y57" t="n">
        <v>0.0778384310410221</v>
      </c>
      <c r="Z57" t="n">
        <v>0.118403268767497</v>
      </c>
      <c r="AA57" t="n">
        <v>0.0698507678434093</v>
      </c>
      <c r="AB57" t="n">
        <v>0.0405474499386704</v>
      </c>
      <c r="AC57" t="n">
        <v>0.0230581881020578</v>
      </c>
      <c r="AD57" t="n">
        <v>0</v>
      </c>
      <c r="AE57" t="n">
        <v>-0.0221007178920075</v>
      </c>
      <c r="AF57" t="n">
        <v>0</v>
      </c>
    </row>
    <row r="58">
      <c r="A58" t="s">
        <v>220</v>
      </c>
      <c r="B58" t="s">
        <v>283</v>
      </c>
      <c r="C58" t="s">
        <v>221</v>
      </c>
      <c r="D58" t="s">
        <v>284</v>
      </c>
      <c r="E58" t="s">
        <v>35</v>
      </c>
      <c r="F58" t="n">
        <v>0.0697505340830042</v>
      </c>
      <c r="G58" t="n">
        <v>0.146653208337286</v>
      </c>
      <c r="H58" t="n">
        <v>0.179072614946832</v>
      </c>
      <c r="I58" t="n">
        <v>0.214965989018386</v>
      </c>
      <c r="J58" t="n">
        <v>0.196874204013072</v>
      </c>
      <c r="K58" t="n">
        <v>0.201870482569421</v>
      </c>
      <c r="L58" t="n">
        <v>0.248610961739093</v>
      </c>
      <c r="M58" t="n">
        <v>0.243857271483718</v>
      </c>
      <c r="N58" t="n">
        <v>0.212625542107807</v>
      </c>
      <c r="O58" t="n">
        <v>0.174170815581403</v>
      </c>
      <c r="P58" t="n">
        <v>0.167284294930676</v>
      </c>
      <c r="Q58" t="n">
        <v>0.14445869009892</v>
      </c>
      <c r="R58" t="n">
        <v>0.133124823189658</v>
      </c>
      <c r="S58" t="n">
        <v>0.110235278691999</v>
      </c>
      <c r="T58" t="n">
        <v>0.0212418475649941</v>
      </c>
      <c r="U58" t="n">
        <v>-0.00742649411865725</v>
      </c>
      <c r="V58" t="n">
        <v>-0.0270772159488985</v>
      </c>
      <c r="W58" t="n">
        <v>0.0218821113061449</v>
      </c>
      <c r="X58" t="n">
        <v>0.0604984121123333</v>
      </c>
      <c r="Y58" t="n">
        <v>0.0778496828549014</v>
      </c>
      <c r="Z58" t="n">
        <v>0.118421622815307</v>
      </c>
      <c r="AA58" t="n">
        <v>0.0698612920249124</v>
      </c>
      <c r="AB58" t="n">
        <v>0.0405532866674439</v>
      </c>
      <c r="AC58" t="n">
        <v>0.0230614781535074</v>
      </c>
      <c r="AD58" t="n">
        <v>0</v>
      </c>
      <c r="AE58" t="n">
        <v>-0.0221038293995961</v>
      </c>
      <c r="AF58" t="n">
        <v>0</v>
      </c>
    </row>
    <row r="59">
      <c r="A59" t="s">
        <v>222</v>
      </c>
      <c r="B59" t="s">
        <v>283</v>
      </c>
      <c r="C59" t="s">
        <v>223</v>
      </c>
      <c r="D59" t="s">
        <v>284</v>
      </c>
      <c r="E59" t="s">
        <v>35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283</v>
      </c>
      <c r="C2" t="s">
        <v>108</v>
      </c>
      <c r="D2" t="s">
        <v>284</v>
      </c>
      <c r="E2" t="s">
        <v>37</v>
      </c>
      <c r="F2" t="n">
        <v>-5.67918853785815</v>
      </c>
      <c r="G2" t="n">
        <v>8.72724535524848</v>
      </c>
      <c r="H2" t="n">
        <v>1.45566311578045</v>
      </c>
      <c r="I2" t="n">
        <v>3.98029990683173</v>
      </c>
      <c r="J2" t="n">
        <v>2.4360759700991</v>
      </c>
      <c r="K2" t="n">
        <v>10.6031401061295</v>
      </c>
      <c r="L2" t="n">
        <v>-3.75486691747378</v>
      </c>
      <c r="M2" t="n">
        <v>11.1280823028883</v>
      </c>
      <c r="N2" t="n">
        <v>-6.69125485355931</v>
      </c>
      <c r="O2" t="n">
        <v>-7.64941451272448</v>
      </c>
      <c r="P2" t="n">
        <v>2.49379103494211</v>
      </c>
      <c r="Q2" t="n">
        <v>3.94333408261236</v>
      </c>
      <c r="R2" t="n">
        <v>9.21726671099819</v>
      </c>
      <c r="S2" t="n">
        <v>11.1046776779912</v>
      </c>
      <c r="T2" t="n">
        <v>-3.81495776795174</v>
      </c>
      <c r="U2" t="n">
        <v>-0.457124312390717</v>
      </c>
      <c r="V2" t="n">
        <v>4.47074952044275</v>
      </c>
      <c r="W2" t="n">
        <v>2.16880618657766</v>
      </c>
      <c r="X2" t="n">
        <v>1.74700891758685</v>
      </c>
      <c r="Y2" t="n">
        <v>-3.72962048782866</v>
      </c>
      <c r="Z2" t="n">
        <v>-3.29174458636008</v>
      </c>
      <c r="AA2" t="n">
        <v>-3.96799840688166</v>
      </c>
      <c r="AB2" t="n">
        <v>-0.977070942240551</v>
      </c>
      <c r="AC2" t="n">
        <v>-6.39607668833871</v>
      </c>
      <c r="AD2" t="n">
        <v>7.81962075201135</v>
      </c>
      <c r="AE2" t="n">
        <v>-2.20443031267932</v>
      </c>
      <c r="AF2"/>
    </row>
    <row r="3">
      <c r="A3" t="s">
        <v>110</v>
      </c>
      <c r="B3" t="s">
        <v>283</v>
      </c>
      <c r="C3" t="s">
        <v>111</v>
      </c>
      <c r="D3" t="s">
        <v>284</v>
      </c>
      <c r="E3" t="s">
        <v>37</v>
      </c>
      <c r="F3" t="n">
        <v>-3.88721796205395</v>
      </c>
      <c r="G3" t="n">
        <v>8.01520172474562</v>
      </c>
      <c r="H3" t="n">
        <v>-8.82306359502026</v>
      </c>
      <c r="I3" t="n">
        <v>2.05808999674014</v>
      </c>
      <c r="J3" t="n">
        <v>2.2501972133045</v>
      </c>
      <c r="K3" t="n">
        <v>12.2310759170655</v>
      </c>
      <c r="L3" t="n">
        <v>8.04679627293554</v>
      </c>
      <c r="M3" t="n">
        <v>1.84121254821615</v>
      </c>
      <c r="N3" t="n">
        <v>-0.287694707893327</v>
      </c>
      <c r="O3" t="n">
        <v>-3.06997341799351</v>
      </c>
      <c r="P3" t="n">
        <v>4.34194991385672</v>
      </c>
      <c r="Q3" t="n">
        <v>-2.03830220723325</v>
      </c>
      <c r="R3" t="n">
        <v>-9.40684304355482</v>
      </c>
      <c r="S3" t="n">
        <v>-1.3234896559071</v>
      </c>
      <c r="T3" t="n">
        <v>-66.8157460567647</v>
      </c>
      <c r="U3" t="n">
        <v>7.30871807099922</v>
      </c>
      <c r="V3" t="n">
        <v>10.3220910093863</v>
      </c>
      <c r="W3" t="n">
        <v>-7.94075579127742</v>
      </c>
      <c r="X3" t="n">
        <v>11.8866560037153</v>
      </c>
      <c r="Y3" t="n">
        <v>-14.2653033855804</v>
      </c>
      <c r="Z3" t="n">
        <v>-4.6791631752223</v>
      </c>
      <c r="AA3" t="n">
        <v>3.77635434861034</v>
      </c>
      <c r="AB3" t="n">
        <v>-5.08780941963603</v>
      </c>
      <c r="AC3" t="n">
        <v>11.5753125882382</v>
      </c>
      <c r="AD3" t="n">
        <v>-4.56934638758196</v>
      </c>
      <c r="AE3" t="n">
        <v>-0.573121126581701</v>
      </c>
      <c r="AF3"/>
    </row>
    <row r="4">
      <c r="A4" t="s">
        <v>112</v>
      </c>
      <c r="B4" t="s">
        <v>283</v>
      </c>
      <c r="C4" t="s">
        <v>113</v>
      </c>
      <c r="D4" t="s">
        <v>284</v>
      </c>
      <c r="E4" t="s">
        <v>37</v>
      </c>
      <c r="F4" t="n">
        <v>4.52204483652316</v>
      </c>
      <c r="G4" t="n">
        <v>2.67305571300726</v>
      </c>
      <c r="H4" t="n">
        <v>1.49427211970395</v>
      </c>
      <c r="I4" t="n">
        <v>-2.07513874791165</v>
      </c>
      <c r="J4" t="n">
        <v>-0.059039163289833</v>
      </c>
      <c r="K4" t="n">
        <v>3.6994511298389</v>
      </c>
      <c r="L4" t="n">
        <v>-3.9197714714191</v>
      </c>
      <c r="M4" t="n">
        <v>1.23555519154132</v>
      </c>
      <c r="N4" t="n">
        <v>5.0395384587031</v>
      </c>
      <c r="O4" t="n">
        <v>5.4086030121585</v>
      </c>
      <c r="P4" t="n">
        <v>3.65340972523105</v>
      </c>
      <c r="Q4" t="n">
        <v>0.529723734172139</v>
      </c>
      <c r="R4" t="n">
        <v>3.14379126403138</v>
      </c>
      <c r="S4" t="n">
        <v>0.488641676448638</v>
      </c>
      <c r="T4" t="n">
        <v>-11.7208800269357</v>
      </c>
      <c r="U4" t="n">
        <v>13.6516912111924</v>
      </c>
      <c r="V4" t="n">
        <v>-2.34822987520586</v>
      </c>
      <c r="W4" t="n">
        <v>1.54645157084956</v>
      </c>
      <c r="X4" t="n">
        <v>1.87639015016175</v>
      </c>
      <c r="Y4" t="n">
        <v>2.20960478183982</v>
      </c>
      <c r="Z4" t="n">
        <v>2.15731257156219</v>
      </c>
      <c r="AA4" t="n">
        <v>-0.970161005769479</v>
      </c>
      <c r="AB4" t="n">
        <v>2.39466033727735</v>
      </c>
      <c r="AC4" t="n">
        <v>2.53150650620525</v>
      </c>
      <c r="AD4" t="n">
        <v>-0.875805366262191</v>
      </c>
      <c r="AE4" t="n">
        <v>-1.77838813159523</v>
      </c>
      <c r="AF4"/>
    </row>
    <row r="5">
      <c r="A5" t="s">
        <v>114</v>
      </c>
      <c r="B5" t="s">
        <v>283</v>
      </c>
      <c r="C5" t="s">
        <v>115</v>
      </c>
      <c r="D5" t="s">
        <v>284</v>
      </c>
      <c r="E5" t="s">
        <v>37</v>
      </c>
      <c r="F5" t="n">
        <v>4.15025464714722</v>
      </c>
      <c r="G5" t="n">
        <v>0.195885311479989</v>
      </c>
      <c r="H5" t="n">
        <v>-0.280858543579344</v>
      </c>
      <c r="I5" t="n">
        <v>0.929739688888068</v>
      </c>
      <c r="J5" t="n">
        <v>-1.6412596645144</v>
      </c>
      <c r="K5" t="n">
        <v>-2.82655191110268</v>
      </c>
      <c r="L5" t="n">
        <v>0.3904828739786</v>
      </c>
      <c r="M5" t="n">
        <v>-2.12591802765178</v>
      </c>
      <c r="N5" t="n">
        <v>1.45096146858507</v>
      </c>
      <c r="O5" t="n">
        <v>-0.164108336557674</v>
      </c>
      <c r="P5" t="n">
        <v>-3.52761527634027</v>
      </c>
      <c r="Q5" t="n">
        <v>-2.1218030630667</v>
      </c>
      <c r="R5" t="n">
        <v>2.21401144949052</v>
      </c>
      <c r="S5" t="n">
        <v>-4.27158739593022</v>
      </c>
      <c r="T5" t="n">
        <v>-4.8670516013584</v>
      </c>
      <c r="U5" t="n">
        <v>1.34942741452018</v>
      </c>
      <c r="V5" t="n">
        <v>-2.90876052468468</v>
      </c>
      <c r="W5" t="n">
        <v>-2.50361290766746</v>
      </c>
      <c r="X5" t="n">
        <v>2.72546299998842</v>
      </c>
      <c r="Y5" t="n">
        <v>1.00097958579039</v>
      </c>
      <c r="Z5" t="n">
        <v>4.62189089495453</v>
      </c>
      <c r="AA5" t="n">
        <v>1.28751095202105</v>
      </c>
      <c r="AB5" t="n">
        <v>-0.755158421923185</v>
      </c>
      <c r="AC5" t="n">
        <v>0.310961968835864</v>
      </c>
      <c r="AD5" t="n">
        <v>0.65683776823978</v>
      </c>
      <c r="AE5" t="n">
        <v>-2.25697001851483</v>
      </c>
      <c r="AF5"/>
    </row>
    <row r="6">
      <c r="A6" t="s">
        <v>116</v>
      </c>
      <c r="B6" t="s">
        <v>283</v>
      </c>
      <c r="C6" t="s">
        <v>117</v>
      </c>
      <c r="D6" t="s">
        <v>284</v>
      </c>
      <c r="E6" t="s">
        <v>37</v>
      </c>
      <c r="F6" t="n">
        <v>2.96076822008719</v>
      </c>
      <c r="G6" t="n">
        <v>-2.52315920777884</v>
      </c>
      <c r="H6" t="n">
        <v>-1.94332472406486</v>
      </c>
      <c r="I6" t="n">
        <v>1.08061061737496</v>
      </c>
      <c r="J6" t="n">
        <v>-10.4691812913393</v>
      </c>
      <c r="K6" t="n">
        <v>-1.16154607316171</v>
      </c>
      <c r="L6" t="n">
        <v>-7.47644683190657</v>
      </c>
      <c r="M6" t="n">
        <v>-2.22613639384164</v>
      </c>
      <c r="N6" t="n">
        <v>2.18038171752794</v>
      </c>
      <c r="O6" t="n">
        <v>1.71229542533804</v>
      </c>
      <c r="P6" t="n">
        <v>-4.41272952877886</v>
      </c>
      <c r="Q6" t="n">
        <v>-0.942732339163513</v>
      </c>
      <c r="R6" t="n">
        <v>5.75108979771858</v>
      </c>
      <c r="S6" t="n">
        <v>1.7624521963072</v>
      </c>
      <c r="T6" t="n">
        <v>-12.8646386611781</v>
      </c>
      <c r="U6" t="n">
        <v>-1.6141795567508</v>
      </c>
      <c r="V6" t="n">
        <v>7.08812250479887</v>
      </c>
      <c r="W6" t="n">
        <v>-0.626739030809324</v>
      </c>
      <c r="X6" t="n">
        <v>1.51876513232377</v>
      </c>
      <c r="Y6" t="n">
        <v>4.25728213898724</v>
      </c>
      <c r="Z6" t="n">
        <v>16.8871790593719</v>
      </c>
      <c r="AA6" t="n">
        <v>-19.1030957666932</v>
      </c>
      <c r="AB6" t="n">
        <v>-0.186621462918606</v>
      </c>
      <c r="AC6" t="n">
        <v>10.0655854047641</v>
      </c>
      <c r="AD6" t="n">
        <v>2.95890562191497</v>
      </c>
      <c r="AE6" t="n">
        <v>4.54947809438754</v>
      </c>
      <c r="AF6"/>
    </row>
    <row r="7">
      <c r="A7" t="s">
        <v>118</v>
      </c>
      <c r="B7" t="s">
        <v>283</v>
      </c>
      <c r="C7" t="s">
        <v>119</v>
      </c>
      <c r="D7" t="s">
        <v>284</v>
      </c>
      <c r="E7" t="s">
        <v>37</v>
      </c>
      <c r="F7" t="n">
        <v>4.8028316607953</v>
      </c>
      <c r="G7" t="n">
        <v>-0.556397478718301</v>
      </c>
      <c r="H7" t="n">
        <v>-0.471544081982844</v>
      </c>
      <c r="I7" t="n">
        <v>1.02478103305813</v>
      </c>
      <c r="J7" t="n">
        <v>-5.73585177296049</v>
      </c>
      <c r="K7" t="n">
        <v>1.73352462059723</v>
      </c>
      <c r="L7" t="n">
        <v>-3.52715505565718</v>
      </c>
      <c r="M7" t="n">
        <v>-2.5920912094249</v>
      </c>
      <c r="N7" t="n">
        <v>-0.88217056737605</v>
      </c>
      <c r="O7" t="n">
        <v>2.41812715560677</v>
      </c>
      <c r="P7" t="n">
        <v>5.46278689062904</v>
      </c>
      <c r="Q7" t="n">
        <v>-4.61944709926531</v>
      </c>
      <c r="R7" t="n">
        <v>-1.15581877136703</v>
      </c>
      <c r="S7" t="n">
        <v>-0.156445142227666</v>
      </c>
      <c r="T7" t="n">
        <v>-5.81287842150378</v>
      </c>
      <c r="U7" t="n">
        <v>7.07248762611424</v>
      </c>
      <c r="V7" t="n">
        <v>-1.00192753029614</v>
      </c>
      <c r="W7" t="n">
        <v>-5.13391141868146</v>
      </c>
      <c r="X7" t="n">
        <v>8.89521942467623</v>
      </c>
      <c r="Y7" t="n">
        <v>2.38837105140395</v>
      </c>
      <c r="Z7" t="n">
        <v>10.217828103447</v>
      </c>
      <c r="AA7" t="n">
        <v>-2.15998752501323</v>
      </c>
      <c r="AB7" t="n">
        <v>1.7101851206677</v>
      </c>
      <c r="AC7" t="n">
        <v>1.55486869349785</v>
      </c>
      <c r="AD7" t="n">
        <v>1.03785243554168</v>
      </c>
      <c r="AE7" t="n">
        <v>-4.81144394565347</v>
      </c>
      <c r="AF7"/>
    </row>
    <row r="8">
      <c r="A8" t="s">
        <v>120</v>
      </c>
      <c r="B8" t="s">
        <v>283</v>
      </c>
      <c r="C8" t="s">
        <v>121</v>
      </c>
      <c r="D8" t="s">
        <v>284</v>
      </c>
      <c r="E8" t="s">
        <v>37</v>
      </c>
      <c r="F8" t="n">
        <v>-4.07663757530549</v>
      </c>
      <c r="G8" t="n">
        <v>13.4727338024819</v>
      </c>
      <c r="H8" t="n">
        <v>4.8759182517102</v>
      </c>
      <c r="I8" t="n">
        <v>-12.9720856609053</v>
      </c>
      <c r="J8" t="n">
        <v>-7.09294317052487</v>
      </c>
      <c r="K8" t="n">
        <v>4.5319272368564</v>
      </c>
      <c r="L8" t="n">
        <v>-4.73797830586304</v>
      </c>
      <c r="M8" t="n">
        <v>-9.16609058323698</v>
      </c>
      <c r="N8" t="n">
        <v>-12.4267459435861</v>
      </c>
      <c r="O8" t="n">
        <v>-7.17953056959237</v>
      </c>
      <c r="P8" t="n">
        <v>-3.04968844579257</v>
      </c>
      <c r="Q8" t="n">
        <v>0.970339773743525</v>
      </c>
      <c r="R8" t="n">
        <v>-7.27291451698343</v>
      </c>
      <c r="S8" t="n">
        <v>-3.11140921438392</v>
      </c>
      <c r="T8" t="n">
        <v>6.09075621797875</v>
      </c>
      <c r="U8" t="n">
        <v>3.53091648226507</v>
      </c>
      <c r="V8" t="n">
        <v>-7.21690130540851</v>
      </c>
      <c r="W8" t="n">
        <v>11.4318487513993</v>
      </c>
      <c r="X8" t="n">
        <v>29.6123703384245</v>
      </c>
      <c r="Y8" t="n">
        <v>-13.7631412091632</v>
      </c>
      <c r="Z8" t="n">
        <v>-16.1476046594252</v>
      </c>
      <c r="AA8" t="n">
        <v>-0.0709373862844402</v>
      </c>
      <c r="AB8" t="n">
        <v>2.41685104281288</v>
      </c>
      <c r="AC8" t="n">
        <v>1.29771811565353</v>
      </c>
      <c r="AD8" t="n">
        <v>-1.84406158103052</v>
      </c>
      <c r="AE8" t="n">
        <v>-5.40266243872014</v>
      </c>
      <c r="AF8"/>
    </row>
    <row r="9">
      <c r="A9" t="s">
        <v>122</v>
      </c>
      <c r="B9" t="s">
        <v>283</v>
      </c>
      <c r="C9" t="s">
        <v>123</v>
      </c>
      <c r="D9" t="s">
        <v>284</v>
      </c>
      <c r="E9" t="s">
        <v>37</v>
      </c>
      <c r="F9" t="n">
        <v>-2.58496100179764</v>
      </c>
      <c r="G9" t="n">
        <v>2.59348288033335</v>
      </c>
      <c r="H9" t="n">
        <v>1.90970912718598</v>
      </c>
      <c r="I9" t="n">
        <v>-6.27441987718413</v>
      </c>
      <c r="J9" t="n">
        <v>4.20381653066648</v>
      </c>
      <c r="K9" t="n">
        <v>-9.69870355938285</v>
      </c>
      <c r="L9" t="n">
        <v>-1.97113015775957</v>
      </c>
      <c r="M9" t="n">
        <v>2.29498812171542</v>
      </c>
      <c r="N9" t="n">
        <v>0.271545449608835</v>
      </c>
      <c r="O9" t="n">
        <v>-4.47607992849649</v>
      </c>
      <c r="P9" t="n">
        <v>-2.80271783483948</v>
      </c>
      <c r="Q9" t="n">
        <v>-4.32732402836225</v>
      </c>
      <c r="R9" t="n">
        <v>-0.128563099231875</v>
      </c>
      <c r="S9" t="n">
        <v>-5.65308398916854</v>
      </c>
      <c r="T9" t="n">
        <v>-4.11909517208644</v>
      </c>
      <c r="U9" t="n">
        <v>8.53230453608415</v>
      </c>
      <c r="V9" t="n">
        <v>-5.42786390923692</v>
      </c>
      <c r="W9" t="n">
        <v>5.3062612207529</v>
      </c>
      <c r="X9" t="n">
        <v>5.18506457806689</v>
      </c>
      <c r="Y9" t="n">
        <v>1.04620343017416</v>
      </c>
      <c r="Z9" t="n">
        <v>12.1033401933122</v>
      </c>
      <c r="AA9" t="n">
        <v>5.57305842488716</v>
      </c>
      <c r="AB9" t="n">
        <v>-3.42984638549851</v>
      </c>
      <c r="AC9" t="n">
        <v>1.9709331304787</v>
      </c>
      <c r="AD9" t="n">
        <v>8.44400859695372</v>
      </c>
      <c r="AE9" t="n">
        <v>-2.20793136340234</v>
      </c>
      <c r="AF9"/>
    </row>
    <row r="10">
      <c r="A10" t="s">
        <v>124</v>
      </c>
      <c r="B10" t="s">
        <v>283</v>
      </c>
      <c r="C10" t="s">
        <v>125</v>
      </c>
      <c r="D10" t="s">
        <v>284</v>
      </c>
      <c r="E10" t="s">
        <v>37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283</v>
      </c>
      <c r="C11" t="s">
        <v>127</v>
      </c>
      <c r="D11" t="s">
        <v>284</v>
      </c>
      <c r="E11" t="s">
        <v>37</v>
      </c>
      <c r="F11" t="n">
        <v>10.6815820250228</v>
      </c>
      <c r="G11" t="n">
        <v>2.94425887441906</v>
      </c>
      <c r="H11" t="n">
        <v>0.217218480637582</v>
      </c>
      <c r="I11" t="n">
        <v>0.75760167058297</v>
      </c>
      <c r="J11" t="n">
        <v>2.04549632029454</v>
      </c>
      <c r="K11" t="n">
        <v>9.60411992196274</v>
      </c>
      <c r="L11" t="n">
        <v>-3.67153331163611</v>
      </c>
      <c r="M11" t="n">
        <v>4.08279590055667</v>
      </c>
      <c r="N11" t="n">
        <v>6.48557948856599</v>
      </c>
      <c r="O11" t="n">
        <v>1.85594440230433</v>
      </c>
      <c r="P11" t="n">
        <v>-2.75521142717164</v>
      </c>
      <c r="Q11" t="n">
        <v>5.96727970744616</v>
      </c>
      <c r="R11" t="n">
        <v>1.39157757587374</v>
      </c>
      <c r="S11" t="n">
        <v>7.01692957443538</v>
      </c>
      <c r="T11" t="n">
        <v>1.24012316246069</v>
      </c>
      <c r="U11" t="n">
        <v>10.0162605302983</v>
      </c>
      <c r="V11" t="n">
        <v>0.372665236524065</v>
      </c>
      <c r="W11" t="n">
        <v>-6.1784452616268</v>
      </c>
      <c r="X11" t="n">
        <v>0.619237844252076</v>
      </c>
      <c r="Y11" t="n">
        <v>-5.13512506652237</v>
      </c>
      <c r="Z11" t="n">
        <v>4.34060529848162</v>
      </c>
      <c r="AA11" t="n">
        <v>6.08185264755135</v>
      </c>
      <c r="AB11" t="n">
        <v>1.31454296849152</v>
      </c>
      <c r="AC11" t="n">
        <v>7.45430470347062</v>
      </c>
      <c r="AD11" t="n">
        <v>-0.182569896791888</v>
      </c>
      <c r="AE11" t="n">
        <v>11.6846943831035</v>
      </c>
      <c r="AF11"/>
    </row>
    <row r="12">
      <c r="A12" t="s">
        <v>128</v>
      </c>
      <c r="B12" t="s">
        <v>283</v>
      </c>
      <c r="C12" t="s">
        <v>129</v>
      </c>
      <c r="D12" t="s">
        <v>284</v>
      </c>
      <c r="E12" t="s">
        <v>37</v>
      </c>
      <c r="F12" t="n">
        <v>0.307981494090362</v>
      </c>
      <c r="G12" t="n">
        <v>-0.802103271892696</v>
      </c>
      <c r="H12" t="n">
        <v>-1.77323554662437</v>
      </c>
      <c r="I12" t="n">
        <v>-4.56766120002674</v>
      </c>
      <c r="J12" t="n">
        <v>-5.19847318329395</v>
      </c>
      <c r="K12" t="n">
        <v>3.71015484260134</v>
      </c>
      <c r="L12" t="n">
        <v>-4.88371315715833</v>
      </c>
      <c r="M12" t="n">
        <v>-0.821183191289121</v>
      </c>
      <c r="N12" t="n">
        <v>4.12935747712223</v>
      </c>
      <c r="O12" t="n">
        <v>9.52453300471833</v>
      </c>
      <c r="P12" t="n">
        <v>0.327344534370206</v>
      </c>
      <c r="Q12" t="n">
        <v>-3.89595323085189</v>
      </c>
      <c r="R12" t="n">
        <v>5.01179477190418</v>
      </c>
      <c r="S12" t="n">
        <v>-0.987405604005636</v>
      </c>
      <c r="T12" t="n">
        <v>-23.6992794293291</v>
      </c>
      <c r="U12" t="n">
        <v>13.4886117567544</v>
      </c>
      <c r="V12" t="n">
        <v>3.1938096843192</v>
      </c>
      <c r="W12" t="n">
        <v>-2.77989932280169</v>
      </c>
      <c r="X12" t="n">
        <v>4.80085178396348</v>
      </c>
      <c r="Y12" t="n">
        <v>3.77521996115322</v>
      </c>
      <c r="Z12" t="n">
        <v>3.62209355865571</v>
      </c>
      <c r="AA12" t="n">
        <v>-3.02174378561915</v>
      </c>
      <c r="AB12" t="n">
        <v>6.86505878370247</v>
      </c>
      <c r="AC12" t="n">
        <v>2.38415995272143</v>
      </c>
      <c r="AD12" t="n">
        <v>-1.8153841192263</v>
      </c>
      <c r="AE12" t="n">
        <v>1.9750338643615</v>
      </c>
      <c r="AF12"/>
    </row>
    <row r="13">
      <c r="A13" t="s">
        <v>130</v>
      </c>
      <c r="B13" t="s">
        <v>283</v>
      </c>
      <c r="C13" t="s">
        <v>131</v>
      </c>
      <c r="D13" t="s">
        <v>284</v>
      </c>
      <c r="E13" t="s">
        <v>37</v>
      </c>
      <c r="F13" t="n">
        <v>4.66186997637825</v>
      </c>
      <c r="G13" t="n">
        <v>1.80647287832158</v>
      </c>
      <c r="H13" t="n">
        <v>2.56055451065533</v>
      </c>
      <c r="I13" t="n">
        <v>-4.72229862328062</v>
      </c>
      <c r="J13" t="n">
        <v>2.46999136695907</v>
      </c>
      <c r="K13" t="n">
        <v>4.95570319509455</v>
      </c>
      <c r="L13" t="n">
        <v>-3.81330322464773</v>
      </c>
      <c r="M13" t="n">
        <v>-4.49811083690251</v>
      </c>
      <c r="N13" t="n">
        <v>4.08611946968413</v>
      </c>
      <c r="O13" t="n">
        <v>5.11539162641006</v>
      </c>
      <c r="P13" t="n">
        <v>6.46627142490326</v>
      </c>
      <c r="Q13" t="n">
        <v>0.160650607715151</v>
      </c>
      <c r="R13" t="n">
        <v>0.607058720845672</v>
      </c>
      <c r="S13" t="n">
        <v>-0.871730024454303</v>
      </c>
      <c r="T13" t="n">
        <v>-16.2499545135169</v>
      </c>
      <c r="U13" t="n">
        <v>21.7850832444707</v>
      </c>
      <c r="V13" t="n">
        <v>-14.4406514864247</v>
      </c>
      <c r="W13" t="n">
        <v>5.21866744910563</v>
      </c>
      <c r="X13" t="n">
        <v>4.52140958337461</v>
      </c>
      <c r="Y13" t="n">
        <v>1.04131714530851</v>
      </c>
      <c r="Z13" t="n">
        <v>0.999372353408292</v>
      </c>
      <c r="AA13" t="n">
        <v>-2.58201709103529</v>
      </c>
      <c r="AB13" t="n">
        <v>-0.880923198042748</v>
      </c>
      <c r="AC13" t="n">
        <v>-4.68250098584894</v>
      </c>
      <c r="AD13" t="n">
        <v>-4.2117414233059</v>
      </c>
      <c r="AE13" t="n">
        <v>-4.8659696330305</v>
      </c>
      <c r="AF13"/>
    </row>
    <row r="14">
      <c r="A14" t="s">
        <v>132</v>
      </c>
      <c r="B14" t="s">
        <v>283</v>
      </c>
      <c r="C14" t="s">
        <v>133</v>
      </c>
      <c r="D14" t="s">
        <v>284</v>
      </c>
      <c r="E14" t="s">
        <v>37</v>
      </c>
      <c r="F14" t="n">
        <v>11.589003830956</v>
      </c>
      <c r="G14" t="n">
        <v>13.9112823677207</v>
      </c>
      <c r="H14" t="n">
        <v>9.40355090455105</v>
      </c>
      <c r="I14" t="n">
        <v>-0.665434904038563</v>
      </c>
      <c r="J14" t="n">
        <v>5.74896005226781</v>
      </c>
      <c r="K14" t="n">
        <v>12.9845623823288</v>
      </c>
      <c r="L14" t="n">
        <v>-8.5807563582709</v>
      </c>
      <c r="M14" t="n">
        <v>11.9724548230183</v>
      </c>
      <c r="N14" t="n">
        <v>23.3196911877517</v>
      </c>
      <c r="O14" t="n">
        <v>15.8134636925607</v>
      </c>
      <c r="P14" t="n">
        <v>10.9579462538047</v>
      </c>
      <c r="Q14" t="n">
        <v>7.32177921952541</v>
      </c>
      <c r="R14" t="n">
        <v>11.0819409363321</v>
      </c>
      <c r="S14" t="n">
        <v>5.72436067365764</v>
      </c>
      <c r="T14" t="n">
        <v>-5.84062170932735</v>
      </c>
      <c r="U14" t="n">
        <v>22.9515043779407</v>
      </c>
      <c r="V14" t="n">
        <v>0.564780461189574</v>
      </c>
      <c r="W14" t="n">
        <v>1.95355144745962</v>
      </c>
      <c r="X14" t="n">
        <v>1.59977219168531</v>
      </c>
      <c r="Y14" t="n">
        <v>10.1576469073781</v>
      </c>
      <c r="Z14" t="n">
        <v>5.10018881830797</v>
      </c>
      <c r="AA14" t="n">
        <v>0.956209921264481</v>
      </c>
      <c r="AB14" t="n">
        <v>-2.62328197430336</v>
      </c>
      <c r="AC14" t="n">
        <v>8.21714205123325</v>
      </c>
      <c r="AD14" t="n">
        <v>-3.26676192950913</v>
      </c>
      <c r="AE14" t="n">
        <v>3.4158256653707</v>
      </c>
      <c r="AF14"/>
    </row>
    <row r="15">
      <c r="A15" t="s">
        <v>134</v>
      </c>
      <c r="B15" t="s">
        <v>283</v>
      </c>
      <c r="C15" t="s">
        <v>135</v>
      </c>
      <c r="D15" t="s">
        <v>284</v>
      </c>
      <c r="E15" t="s">
        <v>37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283</v>
      </c>
      <c r="C16" t="s">
        <v>137</v>
      </c>
      <c r="D16" t="s">
        <v>284</v>
      </c>
      <c r="E16" t="s">
        <v>37</v>
      </c>
      <c r="F16" t="n">
        <v>4.41490695676387</v>
      </c>
      <c r="G16" t="n">
        <v>-4.93816481927976</v>
      </c>
      <c r="H16" t="n">
        <v>-1.66586368319304</v>
      </c>
      <c r="I16" t="n">
        <v>-4.37883204673906</v>
      </c>
      <c r="J16" t="n">
        <v>-6.70716103773497</v>
      </c>
      <c r="K16" t="n">
        <v>3.12388792088217</v>
      </c>
      <c r="L16" t="n">
        <v>-8.57916741753715</v>
      </c>
      <c r="M16" t="n">
        <v>-4.43870512393945</v>
      </c>
      <c r="N16" t="n">
        <v>11.5983183330973</v>
      </c>
      <c r="O16" t="n">
        <v>6.42958594965868</v>
      </c>
      <c r="P16" t="n">
        <v>2.91776050118185</v>
      </c>
      <c r="Q16" t="n">
        <v>3.55348702672787</v>
      </c>
      <c r="R16" t="n">
        <v>6.8795146249224</v>
      </c>
      <c r="S16" t="n">
        <v>-2.61822510573047</v>
      </c>
      <c r="T16" t="n">
        <v>-13.2378600410617</v>
      </c>
      <c r="U16" t="n">
        <v>15.6376693874242</v>
      </c>
      <c r="V16" t="n">
        <v>3.51432121560575</v>
      </c>
      <c r="W16" t="n">
        <v>2.51065211839287</v>
      </c>
      <c r="X16" t="n">
        <v>0.709016526454159</v>
      </c>
      <c r="Y16" t="n">
        <v>11.6385843753793</v>
      </c>
      <c r="Z16" t="n">
        <v>-2.16388433877027</v>
      </c>
      <c r="AA16" t="n">
        <v>0.80391085962745</v>
      </c>
      <c r="AB16" t="n">
        <v>12.0729756621623</v>
      </c>
      <c r="AC16" t="n">
        <v>7.55024496203174</v>
      </c>
      <c r="AD16" t="n">
        <v>-1.80635506426087</v>
      </c>
      <c r="AE16" t="n">
        <v>-4.45977926220247</v>
      </c>
      <c r="AF16"/>
    </row>
    <row r="17">
      <c r="A17" t="s">
        <v>138</v>
      </c>
      <c r="B17" t="s">
        <v>283</v>
      </c>
      <c r="C17" t="s">
        <v>139</v>
      </c>
      <c r="D17" t="s">
        <v>284</v>
      </c>
      <c r="E17" t="s">
        <v>37</v>
      </c>
      <c r="F17" t="n">
        <v>5.35064228090347</v>
      </c>
      <c r="G17" t="n">
        <v>2.00772443380757</v>
      </c>
      <c r="H17" t="n">
        <v>1.69054344389059</v>
      </c>
      <c r="I17" t="n">
        <v>-4.87350726693834</v>
      </c>
      <c r="J17" t="n">
        <v>-2.61179621177047</v>
      </c>
      <c r="K17" t="n">
        <v>2.8553601629934</v>
      </c>
      <c r="L17" t="n">
        <v>-5.04205944266639</v>
      </c>
      <c r="M17" t="n">
        <v>-7.35969436735206</v>
      </c>
      <c r="N17" t="n">
        <v>8.77735233656082</v>
      </c>
      <c r="O17" t="n">
        <v>7.9583505449967</v>
      </c>
      <c r="P17" t="n">
        <v>4.788935079739</v>
      </c>
      <c r="Q17" t="n">
        <v>3.71860507267105</v>
      </c>
      <c r="R17" t="n">
        <v>1.49407592291994</v>
      </c>
      <c r="S17" t="n">
        <v>1.73217104349115</v>
      </c>
      <c r="T17" t="n">
        <v>-23.7026116388786</v>
      </c>
      <c r="U17" t="n">
        <v>12.273521188897</v>
      </c>
      <c r="V17" t="n">
        <v>10.6767646244422</v>
      </c>
      <c r="W17" t="n">
        <v>-2.79302532751807</v>
      </c>
      <c r="X17" t="n">
        <v>-2.46696103026526</v>
      </c>
      <c r="Y17" t="n">
        <v>1.37318331092848</v>
      </c>
      <c r="Z17" t="n">
        <v>3.95301988108847</v>
      </c>
      <c r="AA17" t="n">
        <v>-3.2887813196611</v>
      </c>
      <c r="AB17" t="n">
        <v>7.27042567006638</v>
      </c>
      <c r="AC17" t="n">
        <v>5.32849327707652</v>
      </c>
      <c r="AD17" t="n">
        <v>-1.46627883481126</v>
      </c>
      <c r="AE17" t="n">
        <v>-5.34695946456937</v>
      </c>
      <c r="AF17"/>
    </row>
    <row r="18">
      <c r="A18" t="s">
        <v>140</v>
      </c>
      <c r="B18" t="s">
        <v>283</v>
      </c>
      <c r="C18" t="s">
        <v>141</v>
      </c>
      <c r="D18" t="s">
        <v>284</v>
      </c>
      <c r="E18" t="s">
        <v>37</v>
      </c>
      <c r="F18" t="n">
        <v>5.4139772946355</v>
      </c>
      <c r="G18" t="n">
        <v>-2.52603865196273</v>
      </c>
      <c r="H18" t="n">
        <v>-7.12862575051269</v>
      </c>
      <c r="I18" t="n">
        <v>2.49916924891026</v>
      </c>
      <c r="J18" t="n">
        <v>4.28193795739145</v>
      </c>
      <c r="K18" t="n">
        <v>4.0296280824207</v>
      </c>
      <c r="L18" t="n">
        <v>0.177414594703545</v>
      </c>
      <c r="M18" t="n">
        <v>10.2114403283805</v>
      </c>
      <c r="N18" t="n">
        <v>-4.60345055822459</v>
      </c>
      <c r="O18" t="n">
        <v>4.91577095636929</v>
      </c>
      <c r="P18" t="n">
        <v>7.20540489830096</v>
      </c>
      <c r="Q18" t="n">
        <v>-2.02403845338887</v>
      </c>
      <c r="R18" t="n">
        <v>4.07605186236944</v>
      </c>
      <c r="S18" t="n">
        <v>1.72154610014283</v>
      </c>
      <c r="T18" t="n">
        <v>-18.8999801385849</v>
      </c>
      <c r="U18" t="n">
        <v>18.4578774466659</v>
      </c>
      <c r="V18" t="n">
        <v>-10.1732751311454</v>
      </c>
      <c r="W18" t="n">
        <v>7.32694336679905</v>
      </c>
      <c r="X18" t="n">
        <v>-14.6801965434443</v>
      </c>
      <c r="Y18" t="n">
        <v>-0.36152418381866</v>
      </c>
      <c r="Z18" t="n">
        <v>-4.36495245998213</v>
      </c>
      <c r="AA18" t="n">
        <v>-3.75853055767729</v>
      </c>
      <c r="AB18" t="n">
        <v>2.95095146200077</v>
      </c>
      <c r="AC18" t="n">
        <v>0.876031329037902</v>
      </c>
      <c r="AD18" t="n">
        <v>-2.2028180192413</v>
      </c>
      <c r="AE18" t="n">
        <v>-5.99735237390501</v>
      </c>
      <c r="AF18"/>
    </row>
    <row r="19">
      <c r="A19" t="s">
        <v>142</v>
      </c>
      <c r="B19" t="s">
        <v>283</v>
      </c>
      <c r="C19" t="s">
        <v>143</v>
      </c>
      <c r="D19" t="s">
        <v>284</v>
      </c>
      <c r="E19" t="s">
        <v>37</v>
      </c>
      <c r="F19" t="n">
        <v>-2.14851383973336</v>
      </c>
      <c r="G19" t="n">
        <v>6.19950288201647</v>
      </c>
      <c r="H19" t="n">
        <v>12.0235932837017</v>
      </c>
      <c r="I19" t="n">
        <v>2.44709407831064</v>
      </c>
      <c r="J19" t="n">
        <v>7.11485210962049</v>
      </c>
      <c r="K19" t="n">
        <v>8.19041840295214</v>
      </c>
      <c r="L19" t="n">
        <v>-2.27479996382667</v>
      </c>
      <c r="M19" t="n">
        <v>6.83134966383214</v>
      </c>
      <c r="N19" t="n">
        <v>2.67081307818951</v>
      </c>
      <c r="O19" t="n">
        <v>4.9417053120637</v>
      </c>
      <c r="P19" t="n">
        <v>4.54921752429316</v>
      </c>
      <c r="Q19" t="n">
        <v>-6.39006453671136</v>
      </c>
      <c r="R19" t="n">
        <v>0.0474760270903869</v>
      </c>
      <c r="S19" t="n">
        <v>0.413634579339271</v>
      </c>
      <c r="T19" t="n">
        <v>-21.606239629798</v>
      </c>
      <c r="U19" t="n">
        <v>6.97218782020505</v>
      </c>
      <c r="V19" t="n">
        <v>1.87561980037031</v>
      </c>
      <c r="W19" t="n">
        <v>-2.89589158774723</v>
      </c>
      <c r="X19" t="n">
        <v>8.59233684344987</v>
      </c>
      <c r="Y19" t="n">
        <v>6.93716677664192</v>
      </c>
      <c r="Z19" t="n">
        <v>1.52953829264903</v>
      </c>
      <c r="AA19" t="n">
        <v>-10.9337543698366</v>
      </c>
      <c r="AB19" t="n">
        <v>10.2173042656881</v>
      </c>
      <c r="AC19" t="n">
        <v>8.44112152891613</v>
      </c>
      <c r="AD19" t="n">
        <v>4.18717185649824</v>
      </c>
      <c r="AE19" t="n">
        <v>3.75594394971074</v>
      </c>
      <c r="AF19"/>
    </row>
    <row r="20">
      <c r="A20" t="s">
        <v>144</v>
      </c>
      <c r="B20" t="s">
        <v>283</v>
      </c>
      <c r="C20" t="s">
        <v>145</v>
      </c>
      <c r="D20" t="s">
        <v>284</v>
      </c>
      <c r="E20" t="s">
        <v>37</v>
      </c>
      <c r="F20" t="n">
        <v>-2.20418880169261</v>
      </c>
      <c r="G20" t="n">
        <v>7.48192788981942</v>
      </c>
      <c r="H20" t="n">
        <v>1.77089393509616</v>
      </c>
      <c r="I20" t="n">
        <v>0.443622248226793</v>
      </c>
      <c r="J20" t="n">
        <v>-0.0114045612961204</v>
      </c>
      <c r="K20" t="n">
        <v>3.05758669500777</v>
      </c>
      <c r="L20" t="n">
        <v>2.59812359862954</v>
      </c>
      <c r="M20" t="n">
        <v>0.804671655183145</v>
      </c>
      <c r="N20" t="n">
        <v>1.43767370238468</v>
      </c>
      <c r="O20" t="n">
        <v>4.84451353974443</v>
      </c>
      <c r="P20" t="n">
        <v>7.13983961931281</v>
      </c>
      <c r="Q20" t="n">
        <v>0.278936627079219</v>
      </c>
      <c r="R20" t="n">
        <v>-5.98569940882851</v>
      </c>
      <c r="S20" t="n">
        <v>8.97554271574084</v>
      </c>
      <c r="T20" t="n">
        <v>-43.5730288438149</v>
      </c>
      <c r="U20" t="n">
        <v>17.2342951800038</v>
      </c>
      <c r="V20" t="n">
        <v>-21.8490487073588</v>
      </c>
      <c r="W20" t="n">
        <v>-34.3616314205597</v>
      </c>
      <c r="X20" t="n">
        <v>19.3379684551294</v>
      </c>
      <c r="Y20" t="n">
        <v>11.7537470880552</v>
      </c>
      <c r="Z20" t="n">
        <v>-5.99999409454447</v>
      </c>
      <c r="AA20" t="n">
        <v>-2.20905922506529</v>
      </c>
      <c r="AB20" t="n">
        <v>12.8961685975129</v>
      </c>
      <c r="AC20" t="n">
        <v>1.7847123739151</v>
      </c>
      <c r="AD20" t="n">
        <v>-3.2031486105587</v>
      </c>
      <c r="AE20" t="n">
        <v>-9.79780932727708</v>
      </c>
      <c r="AF20"/>
    </row>
    <row r="21">
      <c r="A21" t="s">
        <v>146</v>
      </c>
      <c r="B21" t="s">
        <v>283</v>
      </c>
      <c r="C21" t="s">
        <v>147</v>
      </c>
      <c r="D21" t="s">
        <v>284</v>
      </c>
      <c r="E21" t="s">
        <v>37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283</v>
      </c>
      <c r="C22" t="s">
        <v>149</v>
      </c>
      <c r="D22" t="s">
        <v>284</v>
      </c>
      <c r="E22" t="s">
        <v>37</v>
      </c>
      <c r="F22" t="n">
        <v>-0.996055559612949</v>
      </c>
      <c r="G22" t="n">
        <v>3.4835750213863</v>
      </c>
      <c r="H22" t="n">
        <v>-0.80926763309734</v>
      </c>
      <c r="I22" t="n">
        <v>-1.68087663034337</v>
      </c>
      <c r="J22" t="n">
        <v>0.974329534426909</v>
      </c>
      <c r="K22" t="n">
        <v>-1.85848343308678</v>
      </c>
      <c r="L22" t="n">
        <v>-0.357957738323451</v>
      </c>
      <c r="M22" t="n">
        <v>-2.48111286851714</v>
      </c>
      <c r="N22" t="n">
        <v>-1.24288428111119</v>
      </c>
      <c r="O22" t="n">
        <v>-1.84097816666111</v>
      </c>
      <c r="P22" t="n">
        <v>-2.48327369371082</v>
      </c>
      <c r="Q22" t="n">
        <v>-2.32461844126208</v>
      </c>
      <c r="R22" t="n">
        <v>3.40786182859403</v>
      </c>
      <c r="S22" t="n">
        <v>-1.12917200154492</v>
      </c>
      <c r="T22" t="n">
        <v>-4.29275868076566</v>
      </c>
      <c r="U22" t="n">
        <v>-3.17979573222419</v>
      </c>
      <c r="V22" t="n">
        <v>2.42318889949078</v>
      </c>
      <c r="W22" t="n">
        <v>-0.479356465396815</v>
      </c>
      <c r="X22" t="n">
        <v>1.88379607828068</v>
      </c>
      <c r="Y22" t="n">
        <v>2.7322581543131</v>
      </c>
      <c r="Z22" t="n">
        <v>0.153495170179271</v>
      </c>
      <c r="AA22" t="n">
        <v>-1.17730840525408</v>
      </c>
      <c r="AB22" t="n">
        <v>5.97715933207046</v>
      </c>
      <c r="AC22" t="n">
        <v>2.73068157073977</v>
      </c>
      <c r="AD22" t="n">
        <v>1.25719575996525</v>
      </c>
      <c r="AE22" t="n">
        <v>-0.152275081494134</v>
      </c>
      <c r="AF22"/>
    </row>
    <row r="23">
      <c r="A23" t="s">
        <v>150</v>
      </c>
      <c r="B23" t="s">
        <v>283</v>
      </c>
      <c r="C23" t="s">
        <v>151</v>
      </c>
      <c r="D23" t="s">
        <v>284</v>
      </c>
      <c r="E23" t="s">
        <v>37</v>
      </c>
      <c r="F23" t="n">
        <v>-5.73456655108037</v>
      </c>
      <c r="G23" t="n">
        <v>1.38900740303944</v>
      </c>
      <c r="H23" t="n">
        <v>-8.65602529724067</v>
      </c>
      <c r="I23" t="n">
        <v>0.663761495630103</v>
      </c>
      <c r="J23" t="n">
        <v>-1.09905508173637</v>
      </c>
      <c r="K23" t="n">
        <v>-6.51815175659851</v>
      </c>
      <c r="L23" t="n">
        <v>1.01988589260448</v>
      </c>
      <c r="M23" t="n">
        <v>-2.92064896623801</v>
      </c>
      <c r="N23" t="n">
        <v>-4.38084704368222</v>
      </c>
      <c r="O23" t="n">
        <v>-5.69879107073804</v>
      </c>
      <c r="P23" t="n">
        <v>0.148098353556182</v>
      </c>
      <c r="Q23" t="n">
        <v>-0.0961566213163989</v>
      </c>
      <c r="R23" t="n">
        <v>-8.14767554174871</v>
      </c>
      <c r="S23" t="n">
        <v>-4.55995525440637</v>
      </c>
      <c r="T23" t="n">
        <v>3.69427071318681</v>
      </c>
      <c r="U23" t="n">
        <v>-2.68653501317994</v>
      </c>
      <c r="V23" t="n">
        <v>0.0798872112999506</v>
      </c>
      <c r="W23" t="n">
        <v>-0.349757221691508</v>
      </c>
      <c r="X23" t="n">
        <v>8.05397957463557</v>
      </c>
      <c r="Y23" t="n">
        <v>-1.16157505406415</v>
      </c>
      <c r="Z23" t="n">
        <v>3.81520989889707</v>
      </c>
      <c r="AA23" t="n">
        <v>5.63651700816808</v>
      </c>
      <c r="AB23" t="n">
        <v>1.05497610505236</v>
      </c>
      <c r="AC23" t="n">
        <v>0.438846099469566</v>
      </c>
      <c r="AD23" t="n">
        <v>1.19545080918914</v>
      </c>
      <c r="AE23" t="n">
        <v>4.59247556108467</v>
      </c>
      <c r="AF23"/>
    </row>
    <row r="24">
      <c r="A24" t="s">
        <v>152</v>
      </c>
      <c r="B24" t="s">
        <v>283</v>
      </c>
      <c r="C24" t="s">
        <v>153</v>
      </c>
      <c r="D24" t="s">
        <v>284</v>
      </c>
      <c r="E24" t="s">
        <v>37</v>
      </c>
      <c r="F24" t="n">
        <v>3.30057096008651</v>
      </c>
      <c r="G24" t="n">
        <v>1.18957174222081</v>
      </c>
      <c r="H24" t="n">
        <v>2.52854832994757</v>
      </c>
      <c r="I24" t="n">
        <v>-3.03311668445577</v>
      </c>
      <c r="J24" t="n">
        <v>-1.00009843454899</v>
      </c>
      <c r="K24" t="n">
        <v>-1.97071229074444</v>
      </c>
      <c r="L24" t="n">
        <v>4.24074553879404</v>
      </c>
      <c r="M24" t="n">
        <v>3.7661134390235</v>
      </c>
      <c r="N24" t="n">
        <v>0.483193752659483</v>
      </c>
      <c r="O24" t="n">
        <v>2.10661228898948</v>
      </c>
      <c r="P24" t="n">
        <v>0.818204605362809</v>
      </c>
      <c r="Q24" t="n">
        <v>-4.70312025255635</v>
      </c>
      <c r="R24" t="n">
        <v>-3.19788170519736</v>
      </c>
      <c r="S24" t="n">
        <v>-1.66189617275729</v>
      </c>
      <c r="T24" t="n">
        <v>-2.64597100492984</v>
      </c>
      <c r="U24" t="n">
        <v>0.896907950160139</v>
      </c>
      <c r="V24" t="n">
        <v>1.6547283318008</v>
      </c>
      <c r="W24" t="n">
        <v>3.78224566615079</v>
      </c>
      <c r="X24" t="n">
        <v>2.66509273684221</v>
      </c>
      <c r="Y24" t="n">
        <v>-4.19596221477636</v>
      </c>
      <c r="Z24" t="n">
        <v>-1.04216514029497</v>
      </c>
      <c r="AA24" t="n">
        <v>-1.86931726414567</v>
      </c>
      <c r="AB24" t="n">
        <v>2.65039959183397</v>
      </c>
      <c r="AC24" t="n">
        <v>0.0912149115029641</v>
      </c>
      <c r="AD24" t="n">
        <v>-0.806878534461685</v>
      </c>
      <c r="AE24" t="n">
        <v>1.13797104594558</v>
      </c>
      <c r="AF24"/>
    </row>
    <row r="25">
      <c r="A25" t="s">
        <v>154</v>
      </c>
      <c r="B25" t="s">
        <v>283</v>
      </c>
      <c r="C25" t="s">
        <v>155</v>
      </c>
      <c r="D25" t="s">
        <v>284</v>
      </c>
      <c r="E25" t="s">
        <v>37</v>
      </c>
      <c r="F25" t="n">
        <v>1.07799047241601</v>
      </c>
      <c r="G25" t="n">
        <v>6.57978574797802</v>
      </c>
      <c r="H25" t="n">
        <v>1.01483760070191</v>
      </c>
      <c r="I25" t="n">
        <v>1.43320015635108</v>
      </c>
      <c r="J25" t="n">
        <v>8.0339772914348</v>
      </c>
      <c r="K25" t="n">
        <v>6.28618793594676</v>
      </c>
      <c r="L25" t="n">
        <v>-13.6586714323981</v>
      </c>
      <c r="M25" t="n">
        <v>-1.89067888331969</v>
      </c>
      <c r="N25" t="n">
        <v>-3.76299856408098</v>
      </c>
      <c r="O25" t="n">
        <v>-1.65116270227</v>
      </c>
      <c r="P25" t="n">
        <v>-20.7619048408987</v>
      </c>
      <c r="Q25" t="n">
        <v>-13.1000030984546</v>
      </c>
      <c r="R25" t="n">
        <v>-9.19218782684601</v>
      </c>
      <c r="S25" t="n">
        <v>-15.8911516789917</v>
      </c>
      <c r="T25" t="n">
        <v>-25.6529489241964</v>
      </c>
      <c r="U25" t="n">
        <v>-6.75327051938322</v>
      </c>
      <c r="V25" t="n">
        <v>-24.4659867070418</v>
      </c>
      <c r="W25" t="n">
        <v>8.22690901622452</v>
      </c>
      <c r="X25" t="n">
        <v>9.81310435330851</v>
      </c>
      <c r="Y25" t="n">
        <v>12.5576024110128</v>
      </c>
      <c r="Z25" t="n">
        <v>7.19845119296077</v>
      </c>
      <c r="AA25" t="n">
        <v>1.90736386342815</v>
      </c>
      <c r="AB25" t="n">
        <v>7.83741515665526</v>
      </c>
      <c r="AC25" t="n">
        <v>-0.260506556744114</v>
      </c>
      <c r="AD25" t="n">
        <v>-0.764154969246108</v>
      </c>
      <c r="AE25" t="n">
        <v>3.96139520949271</v>
      </c>
      <c r="AF25"/>
    </row>
    <row r="26">
      <c r="A26" t="s">
        <v>156</v>
      </c>
      <c r="B26" t="s">
        <v>283</v>
      </c>
      <c r="C26" t="s">
        <v>157</v>
      </c>
      <c r="D26" t="s">
        <v>284</v>
      </c>
      <c r="E26" t="s">
        <v>37</v>
      </c>
      <c r="F26" t="n">
        <v>3.85766523184245</v>
      </c>
      <c r="G26" t="n">
        <v>2.48984268619314</v>
      </c>
      <c r="H26" t="n">
        <v>5.39776345258832</v>
      </c>
      <c r="I26" t="n">
        <v>-0.426941348182005</v>
      </c>
      <c r="J26" t="n">
        <v>0.0630682518748394</v>
      </c>
      <c r="K26" t="n">
        <v>-1.3842132535574</v>
      </c>
      <c r="L26" t="n">
        <v>4.92430670230758</v>
      </c>
      <c r="M26" t="n">
        <v>4.88754234939895</v>
      </c>
      <c r="N26" t="n">
        <v>0.585045659971847</v>
      </c>
      <c r="O26" t="n">
        <v>6.44588537247298</v>
      </c>
      <c r="P26" t="n">
        <v>5.68885364813524</v>
      </c>
      <c r="Q26" t="n">
        <v>-3.50392218095471</v>
      </c>
      <c r="R26" t="n">
        <v>-6.51239515200105</v>
      </c>
      <c r="S26" t="n">
        <v>-3.257645647202</v>
      </c>
      <c r="T26" t="n">
        <v>-7.59447730192787</v>
      </c>
      <c r="U26" t="n">
        <v>2.13174121227013</v>
      </c>
      <c r="V26" t="n">
        <v>3.01794521153948</v>
      </c>
      <c r="W26" t="n">
        <v>0.05317920840668</v>
      </c>
      <c r="X26" t="n">
        <v>-0.619003303393364</v>
      </c>
      <c r="Y26" t="n">
        <v>-10.9116147282955</v>
      </c>
      <c r="Z26" t="n">
        <v>-4.80984779571503</v>
      </c>
      <c r="AA26" t="n">
        <v>-1.64294654342918</v>
      </c>
      <c r="AB26" t="n">
        <v>4.92208855318383</v>
      </c>
      <c r="AC26" t="n">
        <v>0.404459334268247</v>
      </c>
      <c r="AD26" t="n">
        <v>-3.49366152506682</v>
      </c>
      <c r="AE26" t="n">
        <v>-2.74610054022812</v>
      </c>
      <c r="AF26"/>
    </row>
    <row r="27">
      <c r="A27" t="s">
        <v>158</v>
      </c>
      <c r="B27" t="s">
        <v>283</v>
      </c>
      <c r="C27" t="s">
        <v>159</v>
      </c>
      <c r="D27" t="s">
        <v>284</v>
      </c>
      <c r="E27" t="s">
        <v>37</v>
      </c>
      <c r="F27" t="n">
        <v>3.08451024207608</v>
      </c>
      <c r="G27" t="n">
        <v>-0.839183948139798</v>
      </c>
      <c r="H27" t="n">
        <v>-2.16249113831088</v>
      </c>
      <c r="I27" t="n">
        <v>-7.29796117793377</v>
      </c>
      <c r="J27" t="n">
        <v>-2.88476185195202</v>
      </c>
      <c r="K27" t="n">
        <v>-2.18391564097378</v>
      </c>
      <c r="L27" t="n">
        <v>6.97127877623635</v>
      </c>
      <c r="M27" t="n">
        <v>5.06056446102533</v>
      </c>
      <c r="N27" t="n">
        <v>1.7234454765299</v>
      </c>
      <c r="O27" t="n">
        <v>-3.59325950181207</v>
      </c>
      <c r="P27" t="n">
        <v>-6.03557959341782</v>
      </c>
      <c r="Q27" t="n">
        <v>-4.55781549019513</v>
      </c>
      <c r="R27" t="n">
        <v>2.94475213001232</v>
      </c>
      <c r="S27" t="n">
        <v>1.20994978755739</v>
      </c>
      <c r="T27" t="n">
        <v>8.21184942559589</v>
      </c>
      <c r="U27" t="n">
        <v>0.466443805485578</v>
      </c>
      <c r="V27" t="n">
        <v>0.485951953625157</v>
      </c>
      <c r="W27" t="n">
        <v>9.47065527850291</v>
      </c>
      <c r="X27" t="n">
        <v>7.32744233294293</v>
      </c>
      <c r="Y27" t="n">
        <v>2.57897558770695</v>
      </c>
      <c r="Z27" t="n">
        <v>2.08988231603562</v>
      </c>
      <c r="AA27" t="n">
        <v>-2.71715169906031</v>
      </c>
      <c r="AB27" t="n">
        <v>-0.520796870193556</v>
      </c>
      <c r="AC27" t="n">
        <v>-0.858832987954762</v>
      </c>
      <c r="AD27" t="n">
        <v>2.56826836331375</v>
      </c>
      <c r="AE27" t="n">
        <v>3.57118558152141</v>
      </c>
      <c r="AF27"/>
    </row>
    <row r="28">
      <c r="A28" t="s">
        <v>160</v>
      </c>
      <c r="B28" t="s">
        <v>283</v>
      </c>
      <c r="C28" t="s">
        <v>161</v>
      </c>
      <c r="D28" t="s">
        <v>284</v>
      </c>
      <c r="E28" t="s">
        <v>37</v>
      </c>
      <c r="F28" t="n">
        <v>1.41365240501984</v>
      </c>
      <c r="G28" t="n">
        <v>-7.29761776658446</v>
      </c>
      <c r="H28" t="n">
        <v>0.3307410768623</v>
      </c>
      <c r="I28" t="n">
        <v>-3.62823934034102</v>
      </c>
      <c r="J28" t="n">
        <v>-2.2292442534258</v>
      </c>
      <c r="K28" t="n">
        <v>-0.418901950176699</v>
      </c>
      <c r="L28" t="n">
        <v>2.46256104837929</v>
      </c>
      <c r="M28" t="n">
        <v>1.85551463128453</v>
      </c>
      <c r="N28" t="n">
        <v>0.969912216789493</v>
      </c>
      <c r="O28" t="n">
        <v>4.42261300365877</v>
      </c>
      <c r="P28" t="n">
        <v>1.56328156711417</v>
      </c>
      <c r="Q28" t="n">
        <v>2.34904380542138</v>
      </c>
      <c r="R28" t="n">
        <v>1.64638922987884</v>
      </c>
      <c r="S28" t="n">
        <v>-0.819991072419453</v>
      </c>
      <c r="T28" t="n">
        <v>-13.412999802129</v>
      </c>
      <c r="U28" t="n">
        <v>1.65991326384863</v>
      </c>
      <c r="V28" t="n">
        <v>-0.227735865652269</v>
      </c>
      <c r="W28" t="n">
        <v>1.38879315870498</v>
      </c>
      <c r="X28" t="n">
        <v>-0.0131521299570602</v>
      </c>
      <c r="Y28" t="n">
        <v>0.942203897880299</v>
      </c>
      <c r="Z28" t="n">
        <v>-0.840145638457095</v>
      </c>
      <c r="AA28" t="n">
        <v>-0.402514309850334</v>
      </c>
      <c r="AB28" t="n">
        <v>1.56797367517957</v>
      </c>
      <c r="AC28" t="n">
        <v>-0.501517444371289</v>
      </c>
      <c r="AD28" t="n">
        <v>-0.103557560096666</v>
      </c>
      <c r="AE28" t="n">
        <v>-27.9530272814824</v>
      </c>
      <c r="AF28"/>
    </row>
    <row r="29">
      <c r="A29" t="s">
        <v>162</v>
      </c>
      <c r="B29" t="s">
        <v>283</v>
      </c>
      <c r="C29" t="s">
        <v>163</v>
      </c>
      <c r="D29" t="s">
        <v>284</v>
      </c>
      <c r="E29" t="s">
        <v>37</v>
      </c>
      <c r="F29" t="n">
        <v>-0.980593819361754</v>
      </c>
      <c r="G29" t="n">
        <v>-9.24858852132578</v>
      </c>
      <c r="H29" t="n">
        <v>0.427679193857318</v>
      </c>
      <c r="I29" t="n">
        <v>-3.15615807040924</v>
      </c>
      <c r="J29" t="n">
        <v>-0.10153619976741</v>
      </c>
      <c r="K29" t="n">
        <v>1.62709824379809</v>
      </c>
      <c r="L29" t="n">
        <v>5.2034461321615</v>
      </c>
      <c r="M29" t="n">
        <v>2.95614187432247</v>
      </c>
      <c r="N29" t="n">
        <v>1.86231142857176</v>
      </c>
      <c r="O29" t="n">
        <v>3.0476022450367</v>
      </c>
      <c r="P29" t="n">
        <v>2.43669356079979</v>
      </c>
      <c r="Q29" t="n">
        <v>2.76619445519041</v>
      </c>
      <c r="R29" t="n">
        <v>3.04159719416039</v>
      </c>
      <c r="S29" t="n">
        <v>0.313500673526002</v>
      </c>
      <c r="T29" t="n">
        <v>-10.6518354551462</v>
      </c>
      <c r="U29" t="n">
        <v>0.99041090563522</v>
      </c>
      <c r="V29" t="n">
        <v>-0.805314806701194</v>
      </c>
      <c r="W29" t="n">
        <v>1.91192629716361</v>
      </c>
      <c r="X29" t="n">
        <v>-0.118535763113453</v>
      </c>
      <c r="Y29" t="n">
        <v>1.93424406855718</v>
      </c>
      <c r="Z29" t="n">
        <v>-1.10348755678889</v>
      </c>
      <c r="AA29" t="n">
        <v>-0.769699620184486</v>
      </c>
      <c r="AB29" t="n">
        <v>2.14124470009014</v>
      </c>
      <c r="AC29" t="n">
        <v>2.06288378827784</v>
      </c>
      <c r="AD29" t="n">
        <v>1.04411432000931</v>
      </c>
      <c r="AE29" t="n">
        <v>-26.1118397986932</v>
      </c>
      <c r="AF29"/>
    </row>
    <row r="30">
      <c r="A30" t="s">
        <v>164</v>
      </c>
      <c r="B30" t="s">
        <v>283</v>
      </c>
      <c r="C30" t="s">
        <v>165</v>
      </c>
      <c r="D30" t="s">
        <v>284</v>
      </c>
      <c r="E30" t="s">
        <v>37</v>
      </c>
      <c r="F30" t="n">
        <v>18.3366551467987</v>
      </c>
      <c r="G30" t="n">
        <v>-21.2051307227302</v>
      </c>
      <c r="H30" t="n">
        <v>15.6525909120302</v>
      </c>
      <c r="I30" t="n">
        <v>10.5958115326203</v>
      </c>
      <c r="J30" t="n">
        <v>-3.27882614943537</v>
      </c>
      <c r="K30" t="n">
        <v>-7.8380133367323</v>
      </c>
      <c r="L30" t="n">
        <v>-4.79841158657181</v>
      </c>
      <c r="M30" t="n">
        <v>-0.924874084963438</v>
      </c>
      <c r="N30" t="n">
        <v>6.34078773979242</v>
      </c>
      <c r="O30" t="n">
        <v>8.04004635899577</v>
      </c>
      <c r="P30" t="n">
        <v>-6.5895847790531</v>
      </c>
      <c r="Q30" t="n">
        <v>1.77112435260341</v>
      </c>
      <c r="R30" t="n">
        <v>8.4312002837096</v>
      </c>
      <c r="S30" t="n">
        <v>3.65326945167635</v>
      </c>
      <c r="T30" t="n">
        <v>-20.6492090856696</v>
      </c>
      <c r="U30" t="n">
        <v>3.99410196064725</v>
      </c>
      <c r="V30" t="n">
        <v>3.77208933275252</v>
      </c>
      <c r="W30" t="n">
        <v>-14.6333098240821</v>
      </c>
      <c r="X30" t="n">
        <v>-24.8966520210566</v>
      </c>
      <c r="Y30" t="n">
        <v>-6.09140469902485</v>
      </c>
      <c r="Z30" t="n">
        <v>1.1268384541402</v>
      </c>
      <c r="AA30" t="n">
        <v>13.9393174983781</v>
      </c>
      <c r="AB30" t="n">
        <v>-4.42593461429984</v>
      </c>
      <c r="AC30" t="n">
        <v>-32.2255319326885</v>
      </c>
      <c r="AD30" t="n">
        <v>-7.7664149640969</v>
      </c>
      <c r="AE30" t="n">
        <v>1.71960203235384</v>
      </c>
      <c r="AF30"/>
    </row>
    <row r="31">
      <c r="A31" t="s">
        <v>166</v>
      </c>
      <c r="B31" t="s">
        <v>283</v>
      </c>
      <c r="C31" t="s">
        <v>167</v>
      </c>
      <c r="D31" t="s">
        <v>284</v>
      </c>
      <c r="E31" t="s">
        <v>37</v>
      </c>
      <c r="F31" t="n">
        <v>13.6543239607131</v>
      </c>
      <c r="G31" t="n">
        <v>9.2858971485263</v>
      </c>
      <c r="H31" t="n">
        <v>4.95495470779631</v>
      </c>
      <c r="I31" t="n">
        <v>-3.46078283008911</v>
      </c>
      <c r="J31" t="n">
        <v>3.24470987365858</v>
      </c>
      <c r="K31" t="n">
        <v>5.12619587004844</v>
      </c>
      <c r="L31" t="n">
        <v>-12.9777457423275</v>
      </c>
      <c r="M31" t="n">
        <v>-3.82192153760891</v>
      </c>
      <c r="N31" t="n">
        <v>-13.1458300076045</v>
      </c>
      <c r="O31" t="n">
        <v>4.88862257557979</v>
      </c>
      <c r="P31" t="n">
        <v>-7.33912385136883</v>
      </c>
      <c r="Q31" t="n">
        <v>4.33185950845606</v>
      </c>
      <c r="R31" t="n">
        <v>-11.4699936871616</v>
      </c>
      <c r="S31" t="n">
        <v>-28.0351251701112</v>
      </c>
      <c r="T31" t="n">
        <v>-48.1696744674716</v>
      </c>
      <c r="U31" t="n">
        <v>8.79427388333382</v>
      </c>
      <c r="V31" t="n">
        <v>1.48977205072568</v>
      </c>
      <c r="W31" t="n">
        <v>-5.05156880079836</v>
      </c>
      <c r="X31" t="n">
        <v>19.1828341464565</v>
      </c>
      <c r="Y31" t="n">
        <v>2.15953515342142</v>
      </c>
      <c r="Z31" t="n">
        <v>-6.45717922027838</v>
      </c>
      <c r="AA31" t="n">
        <v>-5.61224737119397</v>
      </c>
      <c r="AB31" t="n">
        <v>-0.452404976296206</v>
      </c>
      <c r="AC31" t="n">
        <v>-7.5847874957644</v>
      </c>
      <c r="AD31" t="n">
        <v>-5.69632940002596</v>
      </c>
      <c r="AE31" t="n">
        <v>-155.07581486009</v>
      </c>
      <c r="AF31"/>
    </row>
    <row r="32">
      <c r="A32" t="s">
        <v>168</v>
      </c>
      <c r="B32" t="s">
        <v>283</v>
      </c>
      <c r="C32" t="s">
        <v>169</v>
      </c>
      <c r="D32" t="s">
        <v>284</v>
      </c>
      <c r="E32" t="s">
        <v>37</v>
      </c>
      <c r="F32" t="n">
        <v>-0.765119564313095</v>
      </c>
      <c r="G32" t="n">
        <v>12.2575649573329</v>
      </c>
      <c r="H32" t="n">
        <v>-13.6248861550755</v>
      </c>
      <c r="I32" t="n">
        <v>-24.0131946398548</v>
      </c>
      <c r="J32" t="n">
        <v>-23.2746759162384</v>
      </c>
      <c r="K32" t="n">
        <v>-21.7504723742538</v>
      </c>
      <c r="L32" t="n">
        <v>4.31423036355045</v>
      </c>
      <c r="M32" t="n">
        <v>8.71532813640315</v>
      </c>
      <c r="N32" t="n">
        <v>4.23639148336523</v>
      </c>
      <c r="O32" t="n">
        <v>27.6225001255002</v>
      </c>
      <c r="P32" t="n">
        <v>14.8911357747652</v>
      </c>
      <c r="Q32" t="n">
        <v>2.52207584397401</v>
      </c>
      <c r="R32" t="n">
        <v>-0.77702648232827</v>
      </c>
      <c r="S32" t="n">
        <v>10.2169349006128</v>
      </c>
      <c r="T32" t="n">
        <v>-17.7911213360193</v>
      </c>
      <c r="U32" t="n">
        <v>12.6895960494916</v>
      </c>
      <c r="V32" t="n">
        <v>-0.0944104897349005</v>
      </c>
      <c r="W32" t="n">
        <v>25.3519787288728</v>
      </c>
      <c r="X32" t="n">
        <v>9.35274752962514</v>
      </c>
      <c r="Y32" t="n">
        <v>5.40446413214936</v>
      </c>
      <c r="Z32" t="n">
        <v>8.1505791793669</v>
      </c>
      <c r="AA32" t="n">
        <v>-7.25394431273185</v>
      </c>
      <c r="AB32" t="n">
        <v>5.03345138558374</v>
      </c>
      <c r="AC32" t="n">
        <v>-0.700286211276532</v>
      </c>
      <c r="AD32" t="n">
        <v>-5.56903382754393</v>
      </c>
      <c r="AE32" t="n">
        <v>-48.989263424163</v>
      </c>
      <c r="AF32"/>
    </row>
    <row r="33">
      <c r="A33" t="s">
        <v>170</v>
      </c>
      <c r="B33" t="s">
        <v>283</v>
      </c>
      <c r="C33" t="s">
        <v>171</v>
      </c>
      <c r="D33" t="s">
        <v>284</v>
      </c>
      <c r="E33" t="s">
        <v>37</v>
      </c>
      <c r="F33" t="n">
        <v>0.24469881014396</v>
      </c>
      <c r="G33" t="n">
        <v>2.35314555549428</v>
      </c>
      <c r="H33" t="n">
        <v>-4.47650441893401</v>
      </c>
      <c r="I33" t="n">
        <v>-3.98647458933433</v>
      </c>
      <c r="J33" t="n">
        <v>-4.42669951249144</v>
      </c>
      <c r="K33" t="n">
        <v>-2.71332027767</v>
      </c>
      <c r="L33" t="n">
        <v>-0.200424774475962</v>
      </c>
      <c r="M33" t="n">
        <v>-2.63228091091965</v>
      </c>
      <c r="N33" t="n">
        <v>-3.33737472879264</v>
      </c>
      <c r="O33" t="n">
        <v>1.18602831303861</v>
      </c>
      <c r="P33" t="n">
        <v>-0.572514550933839</v>
      </c>
      <c r="Q33" t="n">
        <v>-3.13438980290422</v>
      </c>
      <c r="R33" t="n">
        <v>-9.28250597027437</v>
      </c>
      <c r="S33" t="n">
        <v>-1.85573369250958</v>
      </c>
      <c r="T33" t="n">
        <v>-1.33655394968021</v>
      </c>
      <c r="U33" t="n">
        <v>-9.54031911273979</v>
      </c>
      <c r="V33" t="n">
        <v>4.67301171344952</v>
      </c>
      <c r="W33" t="n">
        <v>-3.0037629340519</v>
      </c>
      <c r="X33" t="n">
        <v>0.757056031912199</v>
      </c>
      <c r="Y33" t="n">
        <v>-4.54132884330936</v>
      </c>
      <c r="Z33" t="n">
        <v>-2.59443830600536</v>
      </c>
      <c r="AA33" t="n">
        <v>-1.72879469239964</v>
      </c>
      <c r="AB33" t="n">
        <v>0.603079270372086</v>
      </c>
      <c r="AC33" t="n">
        <v>5.91412540196418</v>
      </c>
      <c r="AD33" t="n">
        <v>5.62901227391472</v>
      </c>
      <c r="AE33" t="n">
        <v>3.89437844187365</v>
      </c>
      <c r="AF33"/>
    </row>
    <row r="34">
      <c r="A34" t="s">
        <v>172</v>
      </c>
      <c r="B34" t="s">
        <v>283</v>
      </c>
      <c r="C34" t="s">
        <v>173</v>
      </c>
      <c r="D34" t="s">
        <v>284</v>
      </c>
      <c r="E34" t="s">
        <v>37</v>
      </c>
      <c r="F34" t="n">
        <v>-1.45108391293286</v>
      </c>
      <c r="G34" t="n">
        <v>-0.553026819353607</v>
      </c>
      <c r="H34" t="n">
        <v>2.02347735470445</v>
      </c>
      <c r="I34" t="n">
        <v>0.0113985812436543</v>
      </c>
      <c r="J34" t="n">
        <v>-2.8259247224911</v>
      </c>
      <c r="K34" t="n">
        <v>-5.9141519782012</v>
      </c>
      <c r="L34" t="n">
        <v>0.495999554502276</v>
      </c>
      <c r="M34" t="n">
        <v>-2.02748790085726</v>
      </c>
      <c r="N34" t="n">
        <v>-0.488071238175711</v>
      </c>
      <c r="O34" t="n">
        <v>-6.09249466374585</v>
      </c>
      <c r="P34" t="n">
        <v>-2.66609958109676</v>
      </c>
      <c r="Q34" t="n">
        <v>-1.47137134821897</v>
      </c>
      <c r="R34" t="n">
        <v>1.35864259285901</v>
      </c>
      <c r="S34" t="n">
        <v>-4.25033053610281</v>
      </c>
      <c r="T34" t="n">
        <v>-6.8579791202365</v>
      </c>
      <c r="U34" t="n">
        <v>-1.7487923239394</v>
      </c>
      <c r="V34" t="n">
        <v>2.2288346004026</v>
      </c>
      <c r="W34" t="n">
        <v>-3.88214784360617</v>
      </c>
      <c r="X34" t="n">
        <v>7.45643706074844</v>
      </c>
      <c r="Y34" t="n">
        <v>2.23563892510118</v>
      </c>
      <c r="Z34" t="n">
        <v>-4.81349148666919</v>
      </c>
      <c r="AA34" t="n">
        <v>3.28368630584926</v>
      </c>
      <c r="AB34" t="n">
        <v>5.51700695032834</v>
      </c>
      <c r="AC34" t="n">
        <v>0.043733716204676</v>
      </c>
      <c r="AD34" t="n">
        <v>-5.63600123922897</v>
      </c>
      <c r="AE34" t="n">
        <v>-30.3847615130056</v>
      </c>
      <c r="AF34"/>
    </row>
    <row r="35">
      <c r="A35" t="s">
        <v>174</v>
      </c>
      <c r="B35" t="s">
        <v>283</v>
      </c>
      <c r="C35" t="s">
        <v>175</v>
      </c>
      <c r="D35" t="s">
        <v>284</v>
      </c>
      <c r="E35" t="s">
        <v>37</v>
      </c>
      <c r="F35" t="n">
        <v>2.97773867797609</v>
      </c>
      <c r="G35" t="n">
        <v>9.62429974797762</v>
      </c>
      <c r="H35" t="n">
        <v>6.93170722795689</v>
      </c>
      <c r="I35" t="n">
        <v>4.84320571088385</v>
      </c>
      <c r="J35" t="n">
        <v>0.275207566775351</v>
      </c>
      <c r="K35" t="n">
        <v>-0.219848143737982</v>
      </c>
      <c r="L35" t="n">
        <v>3.24695840582972</v>
      </c>
      <c r="M35" t="n">
        <v>2.43036022355728</v>
      </c>
      <c r="N35" t="n">
        <v>-1.26078874112638</v>
      </c>
      <c r="O35" t="n">
        <v>-3.10659760728538</v>
      </c>
      <c r="P35" t="n">
        <v>-2.47003933436216</v>
      </c>
      <c r="Q35" t="n">
        <v>-2.72637535697088</v>
      </c>
      <c r="R35" t="n">
        <v>0.883559886093781</v>
      </c>
      <c r="S35" t="n">
        <v>-0.521765087352808</v>
      </c>
      <c r="T35" t="n">
        <v>-2.14180260712094</v>
      </c>
      <c r="U35" t="n">
        <v>-2.99456399022694</v>
      </c>
      <c r="V35" t="n">
        <v>-1.02305296688248</v>
      </c>
      <c r="W35" t="n">
        <v>2.38882073052835</v>
      </c>
      <c r="X35" t="n">
        <v>1.60656384212092</v>
      </c>
      <c r="Y35" t="n">
        <v>-2.61639337918185</v>
      </c>
      <c r="Z35" t="n">
        <v>4.07649761140485</v>
      </c>
      <c r="AA35" t="n">
        <v>-1.37946775622752</v>
      </c>
      <c r="AB35" t="n">
        <v>-1.76324281617186</v>
      </c>
      <c r="AC35" t="n">
        <v>0.699421177111082</v>
      </c>
      <c r="AD35" t="n">
        <v>1.61804179577894</v>
      </c>
      <c r="AE35" t="n">
        <v>-0.738268241419971</v>
      </c>
      <c r="AF35"/>
    </row>
    <row r="36">
      <c r="A36" t="s">
        <v>176</v>
      </c>
      <c r="B36" t="s">
        <v>283</v>
      </c>
      <c r="C36" t="s">
        <v>177</v>
      </c>
      <c r="D36" t="s">
        <v>284</v>
      </c>
      <c r="E36" t="s">
        <v>37</v>
      </c>
      <c r="F36" t="n">
        <v>-2.74009517794989</v>
      </c>
      <c r="G36" t="n">
        <v>-4.71139606227737</v>
      </c>
      <c r="H36" t="n">
        <v>-5.00096776738891</v>
      </c>
      <c r="I36" t="n">
        <v>-1.56720758610175</v>
      </c>
      <c r="J36" t="n">
        <v>-5.67523951354704</v>
      </c>
      <c r="K36" t="n">
        <v>0.488233899142695</v>
      </c>
      <c r="L36" t="n">
        <v>-2.89581550317774</v>
      </c>
      <c r="M36" t="n">
        <v>-1.50299361356996</v>
      </c>
      <c r="N36" t="n">
        <v>-1.11127375157319</v>
      </c>
      <c r="O36" t="n">
        <v>-3.89192562937456</v>
      </c>
      <c r="P36" t="n">
        <v>2.31239083561983</v>
      </c>
      <c r="Q36" t="n">
        <v>-6.30434422408666</v>
      </c>
      <c r="R36" t="n">
        <v>-2.79424434839283</v>
      </c>
      <c r="S36" t="n">
        <v>-6.44025333877945</v>
      </c>
      <c r="T36" t="n">
        <v>-2.66938279512566</v>
      </c>
      <c r="U36" t="n">
        <v>-3.17060648910837</v>
      </c>
      <c r="V36" t="n">
        <v>-7.09575178441144</v>
      </c>
      <c r="W36" t="n">
        <v>1.50987615397701</v>
      </c>
      <c r="X36" t="n">
        <v>6.59361411376474</v>
      </c>
      <c r="Y36" t="n">
        <v>1.98818709093997</v>
      </c>
      <c r="Z36" t="n">
        <v>7.91935474707612</v>
      </c>
      <c r="AA36" t="n">
        <v>-4.04710395727625</v>
      </c>
      <c r="AB36" t="n">
        <v>-4.17185042811001</v>
      </c>
      <c r="AC36" t="n">
        <v>0.91906070250008</v>
      </c>
      <c r="AD36" t="n">
        <v>-1.40180207246472</v>
      </c>
      <c r="AE36" t="n">
        <v>-1.70159213921441</v>
      </c>
      <c r="AF36"/>
    </row>
    <row r="37">
      <c r="A37" t="s">
        <v>178</v>
      </c>
      <c r="B37" t="s">
        <v>283</v>
      </c>
      <c r="C37" t="s">
        <v>179</v>
      </c>
      <c r="D37" t="s">
        <v>284</v>
      </c>
      <c r="E37" t="s">
        <v>37</v>
      </c>
      <c r="F37" t="n">
        <v>2.01264635305268</v>
      </c>
      <c r="G37" t="n">
        <v>9.55352430732626</v>
      </c>
      <c r="H37" t="n">
        <v>15.0148600835526</v>
      </c>
      <c r="I37" t="n">
        <v>5.12748832829788</v>
      </c>
      <c r="J37" t="n">
        <v>-2.67553160648125</v>
      </c>
      <c r="K37" t="n">
        <v>-2.37941867479527</v>
      </c>
      <c r="L37" t="n">
        <v>5.23108019453479</v>
      </c>
      <c r="M37" t="n">
        <v>6.2900912612781</v>
      </c>
      <c r="N37" t="n">
        <v>1.83158879822158</v>
      </c>
      <c r="O37" t="n">
        <v>-0.768367673035265</v>
      </c>
      <c r="P37" t="n">
        <v>-6.03136075227858</v>
      </c>
      <c r="Q37" t="n">
        <v>-2.09695768805588</v>
      </c>
      <c r="R37" t="n">
        <v>1.97782626573904</v>
      </c>
      <c r="S37" t="n">
        <v>5.05123917289387</v>
      </c>
      <c r="T37" t="n">
        <v>-0.381111891229246</v>
      </c>
      <c r="U37" t="n">
        <v>3.75058294960544</v>
      </c>
      <c r="V37" t="n">
        <v>-0.23282141210674</v>
      </c>
      <c r="W37" t="n">
        <v>-2.94566606210839</v>
      </c>
      <c r="X37" t="n">
        <v>1.07111500640129</v>
      </c>
      <c r="Y37" t="n">
        <v>-1.399417354079</v>
      </c>
      <c r="Z37" t="n">
        <v>4.06743956478914</v>
      </c>
      <c r="AA37" t="n">
        <v>0.283945753155073</v>
      </c>
      <c r="AB37" t="n">
        <v>-2.53769863331835</v>
      </c>
      <c r="AC37" t="n">
        <v>2.54838387391514</v>
      </c>
      <c r="AD37" t="n">
        <v>-0.183878625011107</v>
      </c>
      <c r="AE37" t="n">
        <v>3.8689281447212</v>
      </c>
      <c r="AF37"/>
    </row>
    <row r="38">
      <c r="A38" t="s">
        <v>180</v>
      </c>
      <c r="B38" t="s">
        <v>283</v>
      </c>
      <c r="C38" t="s">
        <v>181</v>
      </c>
      <c r="D38" t="s">
        <v>284</v>
      </c>
      <c r="E38" t="s">
        <v>37</v>
      </c>
      <c r="F38" t="n">
        <v>5.89008524155762</v>
      </c>
      <c r="G38" t="n">
        <v>16.8762986544136</v>
      </c>
      <c r="H38" t="n">
        <v>4.3064050986747</v>
      </c>
      <c r="I38" t="n">
        <v>10.4339066181556</v>
      </c>
      <c r="J38" t="n">
        <v>5.89398808136774</v>
      </c>
      <c r="K38" t="n">
        <v>0.152683502241032</v>
      </c>
      <c r="L38" t="n">
        <v>4.85953649459084</v>
      </c>
      <c r="M38" t="n">
        <v>2.28318343183492</v>
      </c>
      <c r="N38" t="n">
        <v>-2.84674208095334</v>
      </c>
      <c r="O38" t="n">
        <v>-3.89334068573789</v>
      </c>
      <c r="P38" t="n">
        <v>-2.24839652128698</v>
      </c>
      <c r="Q38" t="n">
        <v>-2.1371461917153</v>
      </c>
      <c r="R38" t="n">
        <v>1.54591149565255</v>
      </c>
      <c r="S38" t="n">
        <v>-1.89119370528595</v>
      </c>
      <c r="T38" t="n">
        <v>-3.38676636127482</v>
      </c>
      <c r="U38" t="n">
        <v>-7.93162859652973</v>
      </c>
      <c r="V38" t="n">
        <v>0.0696527981098098</v>
      </c>
      <c r="W38" t="n">
        <v>5.46829914099959</v>
      </c>
      <c r="X38" t="n">
        <v>-0.258719605444114</v>
      </c>
      <c r="Y38" t="n">
        <v>-5.21078826799008</v>
      </c>
      <c r="Z38" t="n">
        <v>2.35452324374043</v>
      </c>
      <c r="AA38" t="n">
        <v>-2.49191990925479</v>
      </c>
      <c r="AB38" t="n">
        <v>-0.396011862576109</v>
      </c>
      <c r="AC38" t="n">
        <v>-0.488963685291693</v>
      </c>
      <c r="AD38" t="n">
        <v>4.12277978212003</v>
      </c>
      <c r="AE38" t="n">
        <v>-5.38440978690106</v>
      </c>
      <c r="AF38"/>
    </row>
    <row r="39">
      <c r="A39" t="s">
        <v>182</v>
      </c>
      <c r="B39" t="s">
        <v>283</v>
      </c>
      <c r="C39" t="s">
        <v>183</v>
      </c>
      <c r="D39" t="s">
        <v>284</v>
      </c>
      <c r="E39" t="s">
        <v>37</v>
      </c>
      <c r="F39" t="n">
        <v>-7.45599801333331</v>
      </c>
      <c r="G39" t="n">
        <v>3.54975228545848</v>
      </c>
      <c r="H39" t="n">
        <v>3.02770880036069</v>
      </c>
      <c r="I39" t="n">
        <v>-9.3097419585889</v>
      </c>
      <c r="J39" t="n">
        <v>0.61626869559398</v>
      </c>
      <c r="K39" t="n">
        <v>-0.430339157007172</v>
      </c>
      <c r="L39" t="n">
        <v>1.55803379213198</v>
      </c>
      <c r="M39" t="n">
        <v>-1.37671392019497</v>
      </c>
      <c r="N39" t="n">
        <v>1.3009479317446</v>
      </c>
      <c r="O39" t="n">
        <v>0.184080467155902</v>
      </c>
      <c r="P39" t="n">
        <v>1.81099762485749</v>
      </c>
      <c r="Q39" t="n">
        <v>-1.11078739072955</v>
      </c>
      <c r="R39" t="n">
        <v>2.53220728019257</v>
      </c>
      <c r="S39" t="n">
        <v>-17.2307774482144</v>
      </c>
      <c r="T39" t="n">
        <v>1.52683846731485</v>
      </c>
      <c r="U39" t="n">
        <v>0.308418077301758</v>
      </c>
      <c r="V39" t="n">
        <v>-0.668922070816163</v>
      </c>
      <c r="W39" t="n">
        <v>1.66406928929739</v>
      </c>
      <c r="X39" t="n">
        <v>12.5531583083222</v>
      </c>
      <c r="Y39" t="n">
        <v>3.01310656627584</v>
      </c>
      <c r="Z39" t="n">
        <v>1.13814554342533</v>
      </c>
      <c r="AA39" t="n">
        <v>-3.93101276841888</v>
      </c>
      <c r="AB39" t="n">
        <v>0.523524748240398</v>
      </c>
      <c r="AC39" t="n">
        <v>1.59053353258385</v>
      </c>
      <c r="AD39" t="n">
        <v>-0.00304115046796061</v>
      </c>
      <c r="AE39" t="n">
        <v>4.79052254308886</v>
      </c>
      <c r="AF39"/>
    </row>
    <row r="40">
      <c r="A40" t="s">
        <v>184</v>
      </c>
      <c r="B40" t="s">
        <v>283</v>
      </c>
      <c r="C40" t="s">
        <v>185</v>
      </c>
      <c r="D40" t="s">
        <v>284</v>
      </c>
      <c r="E40" t="s">
        <v>37</v>
      </c>
      <c r="F40" t="n">
        <v>-1.58145640460263</v>
      </c>
      <c r="G40" t="n">
        <v>-1.13720326015963</v>
      </c>
      <c r="H40" t="n">
        <v>-1.13156601268179</v>
      </c>
      <c r="I40" t="n">
        <v>-2.38773561254592</v>
      </c>
      <c r="J40" t="n">
        <v>0.459660678794437</v>
      </c>
      <c r="K40" t="n">
        <v>1.70261718189473</v>
      </c>
      <c r="L40" t="n">
        <v>1.24453280696802</v>
      </c>
      <c r="M40" t="n">
        <v>0.639750124091706</v>
      </c>
      <c r="N40" t="n">
        <v>1.44604278481345</v>
      </c>
      <c r="O40" t="n">
        <v>1.14919758205501</v>
      </c>
      <c r="P40" t="n">
        <v>1.14909184449183</v>
      </c>
      <c r="Q40" t="n">
        <v>0.860245660198841</v>
      </c>
      <c r="R40" t="n">
        <v>-0.352455557137355</v>
      </c>
      <c r="S40" t="n">
        <v>0.0911403518304284</v>
      </c>
      <c r="T40" t="n">
        <v>1.07151297629516</v>
      </c>
      <c r="U40" t="n">
        <v>2.65481386294795</v>
      </c>
      <c r="V40" t="n">
        <v>2.47231330856971</v>
      </c>
      <c r="W40" t="n">
        <v>0.47214233102516</v>
      </c>
      <c r="X40" t="n">
        <v>3.17815479920722</v>
      </c>
      <c r="Y40" t="n">
        <v>2.55704028478933</v>
      </c>
      <c r="Z40" t="n">
        <v>0.210280445434501</v>
      </c>
      <c r="AA40" t="n">
        <v>0.0273394145003838</v>
      </c>
      <c r="AB40" t="n">
        <v>-0.730027961007957</v>
      </c>
      <c r="AC40" t="n">
        <v>-0.158339875235359</v>
      </c>
      <c r="AD40" t="n">
        <v>0.901908628736244</v>
      </c>
      <c r="AE40" t="n">
        <v>-1.5734868011834</v>
      </c>
      <c r="AF40"/>
    </row>
    <row r="41">
      <c r="A41" t="s">
        <v>186</v>
      </c>
      <c r="B41" t="s">
        <v>283</v>
      </c>
      <c r="C41" t="s">
        <v>187</v>
      </c>
      <c r="D41" t="s">
        <v>284</v>
      </c>
      <c r="E41" t="s">
        <v>37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283</v>
      </c>
      <c r="C42" t="s">
        <v>189</v>
      </c>
      <c r="D42" t="s">
        <v>284</v>
      </c>
      <c r="E42" t="s">
        <v>37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283</v>
      </c>
      <c r="C43" t="s">
        <v>191</v>
      </c>
      <c r="D43" t="s">
        <v>284</v>
      </c>
      <c r="E43" t="s">
        <v>37</v>
      </c>
      <c r="F43" t="n">
        <v>-2.69173448528656</v>
      </c>
      <c r="G43" t="n">
        <v>4.861600809328</v>
      </c>
      <c r="H43" t="n">
        <v>-2.2802248929933</v>
      </c>
      <c r="I43" t="n">
        <v>0.99569652052744</v>
      </c>
      <c r="J43" t="n">
        <v>0.176971810271618</v>
      </c>
      <c r="K43" t="n">
        <v>7.72555525611904</v>
      </c>
      <c r="L43" t="n">
        <v>2.48535818765607</v>
      </c>
      <c r="M43" t="n">
        <v>0.897876313020686</v>
      </c>
      <c r="N43" t="n">
        <v>-1.19090744127736</v>
      </c>
      <c r="O43" t="n">
        <v>-1.54434511755758</v>
      </c>
      <c r="P43" t="n">
        <v>3.35846087171597</v>
      </c>
      <c r="Q43" t="n">
        <v>0.105542018483895</v>
      </c>
      <c r="R43" t="n">
        <v>6.07130930861331</v>
      </c>
      <c r="S43" t="n">
        <v>5.1860870821378</v>
      </c>
      <c r="T43" t="n">
        <v>-0.433330411858023</v>
      </c>
      <c r="U43" t="n">
        <v>0.150400519310585</v>
      </c>
      <c r="V43" t="n">
        <v>2.15424534257404</v>
      </c>
      <c r="W43" t="n">
        <v>-8.03810847518082</v>
      </c>
      <c r="X43" t="n">
        <v>2.36703488706376</v>
      </c>
      <c r="Y43" t="n">
        <v>-1.05236132398237</v>
      </c>
      <c r="Z43" t="n">
        <v>0.00439861528462559</v>
      </c>
      <c r="AA43" t="n">
        <v>1.21528875432231</v>
      </c>
      <c r="AB43" t="n">
        <v>-3.35421375462422</v>
      </c>
      <c r="AC43" t="n">
        <v>-0.955140037961446</v>
      </c>
      <c r="AD43" t="n">
        <v>1.08353806242462</v>
      </c>
      <c r="AE43" t="n">
        <v>4.00926920226593</v>
      </c>
      <c r="AF43"/>
    </row>
    <row r="44">
      <c r="A44" t="s">
        <v>192</v>
      </c>
      <c r="B44" t="s">
        <v>283</v>
      </c>
      <c r="C44" t="s">
        <v>193</v>
      </c>
      <c r="D44" t="s">
        <v>284</v>
      </c>
      <c r="E44" t="s">
        <v>37</v>
      </c>
      <c r="F44" t="n">
        <v>0.326508980233596</v>
      </c>
      <c r="G44" t="n">
        <v>1.87408001960928</v>
      </c>
      <c r="H44" t="n">
        <v>0.846262625059578</v>
      </c>
      <c r="I44" t="n">
        <v>-1.28469997717855</v>
      </c>
      <c r="J44" t="n">
        <v>-0.501240160750563</v>
      </c>
      <c r="K44" t="n">
        <v>0.882127526764118</v>
      </c>
      <c r="L44" t="n">
        <v>0.107636114756846</v>
      </c>
      <c r="M44" t="n">
        <v>1.503335283042</v>
      </c>
      <c r="N44" t="n">
        <v>0.915810927103753</v>
      </c>
      <c r="O44" t="n">
        <v>0.812908927746932</v>
      </c>
      <c r="P44" t="n">
        <v>1.92457038571477</v>
      </c>
      <c r="Q44" t="n">
        <v>-0.915180963315914</v>
      </c>
      <c r="R44" t="n">
        <v>1.02443125607306</v>
      </c>
      <c r="S44" t="n">
        <v>-1.1002019394149</v>
      </c>
      <c r="T44" t="n">
        <v>-6.06324132797651</v>
      </c>
      <c r="U44" t="n">
        <v>4.06536355391814</v>
      </c>
      <c r="V44" t="n">
        <v>-0.322012017163472</v>
      </c>
      <c r="W44" t="n">
        <v>0.227238794582652</v>
      </c>
      <c r="X44" t="n">
        <v>3.26036698369736</v>
      </c>
      <c r="Y44" t="n">
        <v>-0.302042605109325</v>
      </c>
      <c r="Z44" t="n">
        <v>0.810460700684504</v>
      </c>
      <c r="AA44" t="n">
        <v>-0.346496933595597</v>
      </c>
      <c r="AB44" t="n">
        <v>1.48004046094919</v>
      </c>
      <c r="AC44" t="n">
        <v>0.739220620667204</v>
      </c>
      <c r="AD44" t="n">
        <v>-0.16158290057188</v>
      </c>
      <c r="AE44" t="n">
        <v>-2.06353740016356</v>
      </c>
      <c r="AF44"/>
    </row>
    <row r="45">
      <c r="A45" t="s">
        <v>194</v>
      </c>
      <c r="B45" t="s">
        <v>283</v>
      </c>
      <c r="C45" t="s">
        <v>195</v>
      </c>
      <c r="D45" t="s">
        <v>284</v>
      </c>
      <c r="E45" t="s">
        <v>37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283</v>
      </c>
      <c r="C46" t="s">
        <v>197</v>
      </c>
      <c r="D46" t="s">
        <v>284</v>
      </c>
      <c r="E46" t="s">
        <v>37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283</v>
      </c>
      <c r="C47" t="s">
        <v>199</v>
      </c>
      <c r="D47" t="s">
        <v>284</v>
      </c>
      <c r="E47" t="s">
        <v>37</v>
      </c>
      <c r="F47" t="n">
        <v>-1.5537160187163</v>
      </c>
      <c r="G47" t="n">
        <v>2.9420108179064</v>
      </c>
      <c r="H47" t="n">
        <v>1.63075435902854</v>
      </c>
      <c r="I47" t="n">
        <v>-0.113014363012005</v>
      </c>
      <c r="J47" t="n">
        <v>0.622419382061336</v>
      </c>
      <c r="K47" t="n">
        <v>0.300574175917364</v>
      </c>
      <c r="L47" t="n">
        <v>0.776827017557097</v>
      </c>
      <c r="M47" t="n">
        <v>-2.32443739213022</v>
      </c>
      <c r="N47" t="n">
        <v>-1.55966240044152</v>
      </c>
      <c r="O47" t="n">
        <v>-1.62500535364389</v>
      </c>
      <c r="P47" t="n">
        <v>1.12240468725035</v>
      </c>
      <c r="Q47" t="n">
        <v>2.18434668106306</v>
      </c>
      <c r="R47" t="n">
        <v>2.67547588392404</v>
      </c>
      <c r="S47" t="n">
        <v>3.67288968448649</v>
      </c>
      <c r="T47" t="n">
        <v>-0.388845177123386</v>
      </c>
      <c r="U47" t="n">
        <v>0.786278194273813</v>
      </c>
      <c r="V47" t="n">
        <v>2.85854939198985</v>
      </c>
      <c r="W47" t="n">
        <v>1.10440431911668</v>
      </c>
      <c r="X47" t="n">
        <v>2.00857606972529</v>
      </c>
      <c r="Y47" t="n">
        <v>1.36830207331008</v>
      </c>
      <c r="Z47" t="n">
        <v>1.57930911582545</v>
      </c>
      <c r="AA47" t="n">
        <v>1.52207335946406</v>
      </c>
      <c r="AB47" t="n">
        <v>0.950181167113657</v>
      </c>
      <c r="AC47" t="n">
        <v>3.80516667372636</v>
      </c>
      <c r="AD47" t="n">
        <v>-0.405552912065537</v>
      </c>
      <c r="AE47" t="n">
        <v>2.77790160301949</v>
      </c>
      <c r="AF47"/>
    </row>
    <row r="48">
      <c r="A48" t="s">
        <v>200</v>
      </c>
      <c r="B48" t="s">
        <v>283</v>
      </c>
      <c r="C48" t="s">
        <v>201</v>
      </c>
      <c r="D48" t="s">
        <v>284</v>
      </c>
      <c r="E48" t="s">
        <v>37</v>
      </c>
      <c r="F48" t="n">
        <v>-0.388713288849378</v>
      </c>
      <c r="G48" t="n">
        <v>1.15512977198607</v>
      </c>
      <c r="H48" t="n">
        <v>-0.577667839001108</v>
      </c>
      <c r="I48" t="n">
        <v>-1.50162703292384</v>
      </c>
      <c r="J48" t="n">
        <v>0.597139379368841</v>
      </c>
      <c r="K48" t="n">
        <v>-2.3723442101537</v>
      </c>
      <c r="L48" t="n">
        <v>0.908676006733055</v>
      </c>
      <c r="M48" t="n">
        <v>-1.86486435489809</v>
      </c>
      <c r="N48" t="n">
        <v>-2.79817757661288</v>
      </c>
      <c r="O48" t="n">
        <v>-3.05380122196815</v>
      </c>
      <c r="P48" t="n">
        <v>0.0590049336809906</v>
      </c>
      <c r="Q48" t="n">
        <v>-0.510168155999791</v>
      </c>
      <c r="R48" t="n">
        <v>3.13395230150565</v>
      </c>
      <c r="S48" t="n">
        <v>1.10743161850389</v>
      </c>
      <c r="T48" t="n">
        <v>-1.21070194791886</v>
      </c>
      <c r="U48" t="n">
        <v>-0.817053399113194</v>
      </c>
      <c r="V48" t="n">
        <v>0.739532692398861</v>
      </c>
      <c r="W48" t="n">
        <v>1.07176027737434</v>
      </c>
      <c r="X48" t="n">
        <v>0.996960609622643</v>
      </c>
      <c r="Y48" t="n">
        <v>-0.231118410962379</v>
      </c>
      <c r="Z48" t="n">
        <v>1.50409674250191</v>
      </c>
      <c r="AA48" t="n">
        <v>1.31515235714125</v>
      </c>
      <c r="AB48" t="n">
        <v>-1.59220429019059</v>
      </c>
      <c r="AC48" t="n">
        <v>2.57869749907349</v>
      </c>
      <c r="AD48" t="n">
        <v>1.02911974478835</v>
      </c>
      <c r="AE48" t="n">
        <v>3.73037539600992</v>
      </c>
      <c r="AF48"/>
    </row>
    <row r="49">
      <c r="A49" t="s">
        <v>202</v>
      </c>
      <c r="B49" t="s">
        <v>283</v>
      </c>
      <c r="C49" t="s">
        <v>203</v>
      </c>
      <c r="D49" t="s">
        <v>284</v>
      </c>
      <c r="E49" t="s">
        <v>37</v>
      </c>
      <c r="F49" t="n">
        <v>0.891001254514935</v>
      </c>
      <c r="G49" t="n">
        <v>2.19509111426893</v>
      </c>
      <c r="H49" t="n">
        <v>-1.81555977492113</v>
      </c>
      <c r="I49" t="n">
        <v>-2.66517858849782</v>
      </c>
      <c r="J49" t="n">
        <v>1.17782970520212</v>
      </c>
      <c r="K49" t="n">
        <v>1.25337447537177</v>
      </c>
      <c r="L49" t="n">
        <v>1.89080325358223</v>
      </c>
      <c r="M49" t="n">
        <v>1.54125371820067</v>
      </c>
      <c r="N49" t="n">
        <v>-3.63750131214955</v>
      </c>
      <c r="O49" t="n">
        <v>-4.15632775436855</v>
      </c>
      <c r="P49" t="n">
        <v>-0.143556775646819</v>
      </c>
      <c r="Q49" t="n">
        <v>-0.104220030115533</v>
      </c>
      <c r="R49" t="n">
        <v>3.2830928275883</v>
      </c>
      <c r="S49" t="n">
        <v>0.00873634886010288</v>
      </c>
      <c r="T49" t="n">
        <v>-1.86094173014503</v>
      </c>
      <c r="U49" t="n">
        <v>-1.39466253306323</v>
      </c>
      <c r="V49" t="n">
        <v>2.46763840601458</v>
      </c>
      <c r="W49" t="n">
        <v>1.49815847228063</v>
      </c>
      <c r="X49" t="n">
        <v>1.26047219548566</v>
      </c>
      <c r="Y49" t="n">
        <v>-1.04988541678451</v>
      </c>
      <c r="Z49" t="n">
        <v>-2.15951908644608</v>
      </c>
      <c r="AA49" t="n">
        <v>-0.272720807023223</v>
      </c>
      <c r="AB49" t="n">
        <v>-0.296793775145331</v>
      </c>
      <c r="AC49" t="n">
        <v>1.20672818451212</v>
      </c>
      <c r="AD49" t="n">
        <v>2.90536387528388</v>
      </c>
      <c r="AE49" t="n">
        <v>4.07916524919264</v>
      </c>
      <c r="AF49"/>
    </row>
    <row r="50">
      <c r="A50" t="s">
        <v>204</v>
      </c>
      <c r="B50" t="s">
        <v>283</v>
      </c>
      <c r="C50" t="s">
        <v>205</v>
      </c>
      <c r="D50" t="s">
        <v>284</v>
      </c>
      <c r="E50" t="s">
        <v>37</v>
      </c>
      <c r="F50" t="n">
        <v>-0.136587632117589</v>
      </c>
      <c r="G50" t="n">
        <v>-2.25491246626047</v>
      </c>
      <c r="H50" t="n">
        <v>-2.33256221080219</v>
      </c>
      <c r="I50" t="n">
        <v>-2.55995292854351</v>
      </c>
      <c r="J50" t="n">
        <v>0.215514666179193</v>
      </c>
      <c r="K50" t="n">
        <v>-7.66669921027213</v>
      </c>
      <c r="L50" t="n">
        <v>0.639569854657522</v>
      </c>
      <c r="M50" t="n">
        <v>-3.58701496250357</v>
      </c>
      <c r="N50" t="n">
        <v>-3.23764621097159</v>
      </c>
      <c r="O50" t="n">
        <v>-3.84809224564155</v>
      </c>
      <c r="P50" t="n">
        <v>-1.12684685859905</v>
      </c>
      <c r="Q50" t="n">
        <v>-3.16094722664653</v>
      </c>
      <c r="R50" t="n">
        <v>3.7088154524075</v>
      </c>
      <c r="S50" t="n">
        <v>-0.368805490249495</v>
      </c>
      <c r="T50" t="n">
        <v>-1.42286598524562</v>
      </c>
      <c r="U50" t="n">
        <v>-1.77448418283469</v>
      </c>
      <c r="V50" t="n">
        <v>-1.71347963595846</v>
      </c>
      <c r="W50" t="n">
        <v>0.889826232399873</v>
      </c>
      <c r="X50" t="n">
        <v>0.354642806419744</v>
      </c>
      <c r="Y50" t="n">
        <v>-0.837892287910781</v>
      </c>
      <c r="Z50" t="n">
        <v>3.26130237275896</v>
      </c>
      <c r="AA50" t="n">
        <v>2.16609309692716</v>
      </c>
      <c r="AB50" t="n">
        <v>-3.68780120875445</v>
      </c>
      <c r="AC50" t="n">
        <v>2.77042140654522</v>
      </c>
      <c r="AD50" t="n">
        <v>1.15122639539205</v>
      </c>
      <c r="AE50" t="n">
        <v>4.37859863316683</v>
      </c>
      <c r="AF50"/>
    </row>
    <row r="51">
      <c r="A51" t="s">
        <v>206</v>
      </c>
      <c r="B51" t="s">
        <v>283</v>
      </c>
      <c r="C51" t="s">
        <v>207</v>
      </c>
      <c r="D51" t="s">
        <v>284</v>
      </c>
      <c r="E51" t="s">
        <v>37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283</v>
      </c>
      <c r="C52" t="s">
        <v>209</v>
      </c>
      <c r="D52" t="s">
        <v>284</v>
      </c>
      <c r="E52" t="s">
        <v>37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283</v>
      </c>
      <c r="C53" t="s">
        <v>211</v>
      </c>
      <c r="D53" t="s">
        <v>284</v>
      </c>
      <c r="E53" t="s">
        <v>37</v>
      </c>
      <c r="F53" t="n">
        <v>-10.3115032253423</v>
      </c>
      <c r="G53" t="n">
        <v>-6.42183448178237</v>
      </c>
      <c r="H53" t="n">
        <v>-3.94582655888787</v>
      </c>
      <c r="I53" t="n">
        <v>-1.74759395402672</v>
      </c>
      <c r="J53" t="n">
        <v>-4.71496186951483</v>
      </c>
      <c r="K53" t="n">
        <v>2.6291302538365</v>
      </c>
      <c r="L53" t="n">
        <v>-7.28451108836578</v>
      </c>
      <c r="M53" t="n">
        <v>3.62775371727901</v>
      </c>
      <c r="N53" t="n">
        <v>-4.02720896940852</v>
      </c>
      <c r="O53" t="n">
        <v>-5.16491544800006</v>
      </c>
      <c r="P53" t="n">
        <v>3.48899170409176</v>
      </c>
      <c r="Q53" t="n">
        <v>-0.362253488607044</v>
      </c>
      <c r="R53" t="n">
        <v>-0.599047058940416</v>
      </c>
      <c r="S53" t="n">
        <v>-3.32392512725984</v>
      </c>
      <c r="T53" t="n">
        <v>-1.72117345665138</v>
      </c>
      <c r="U53" t="n">
        <v>-2.27198917621713</v>
      </c>
      <c r="V53" t="n">
        <v>1.09621518020688</v>
      </c>
      <c r="W53" t="n">
        <v>7.10435484320876</v>
      </c>
      <c r="X53" t="n">
        <v>6.26477785131673</v>
      </c>
      <c r="Y53" t="n">
        <v>0.727494377214406</v>
      </c>
      <c r="Z53" t="n">
        <v>-0.739984493331606</v>
      </c>
      <c r="AA53" t="n">
        <v>-7.57927808625317</v>
      </c>
      <c r="AB53" t="n">
        <v>-3.25093251148753</v>
      </c>
      <c r="AC53" t="n">
        <v>-1.72861704583213</v>
      </c>
      <c r="AD53" t="n">
        <v>-2.847136943513</v>
      </c>
      <c r="AE53" t="n">
        <v>-17.1507117256474</v>
      </c>
      <c r="AF53"/>
    </row>
    <row r="54">
      <c r="A54" t="s">
        <v>212</v>
      </c>
      <c r="B54" t="s">
        <v>283</v>
      </c>
      <c r="C54" t="s">
        <v>213</v>
      </c>
      <c r="D54" t="s">
        <v>284</v>
      </c>
      <c r="E54" t="s">
        <v>37</v>
      </c>
      <c r="F54" t="n">
        <v>-6.95070774777085</v>
      </c>
      <c r="G54" t="n">
        <v>-0.326525983091169</v>
      </c>
      <c r="H54" t="n">
        <v>0.583451300128</v>
      </c>
      <c r="I54" t="n">
        <v>1.84255139408959</v>
      </c>
      <c r="J54" t="n">
        <v>0.265159429616573</v>
      </c>
      <c r="K54" t="n">
        <v>2.34100901131748</v>
      </c>
      <c r="L54" t="n">
        <v>-4.61520691905628</v>
      </c>
      <c r="M54" t="n">
        <v>3.28602734627593</v>
      </c>
      <c r="N54" t="n">
        <v>0.0407945404531247</v>
      </c>
      <c r="O54" t="n">
        <v>-4.1769759556986</v>
      </c>
      <c r="P54" t="n">
        <v>1.15324296394207</v>
      </c>
      <c r="Q54" t="n">
        <v>-3.68344630650901</v>
      </c>
      <c r="R54" t="n">
        <v>3.63799971368866</v>
      </c>
      <c r="S54" t="n">
        <v>-2.4585983768883</v>
      </c>
      <c r="T54" t="n">
        <v>-3.56960394800017</v>
      </c>
      <c r="U54" t="n">
        <v>-3.07326808195217</v>
      </c>
      <c r="V54" t="n">
        <v>1.71923533759525</v>
      </c>
      <c r="W54" t="n">
        <v>0.0119443500590163</v>
      </c>
      <c r="X54" t="n">
        <v>0.658700010883801</v>
      </c>
      <c r="Y54" t="n">
        <v>-0.664697384502569</v>
      </c>
      <c r="Z54" t="n">
        <v>-0.882581439897141</v>
      </c>
      <c r="AA54" t="n">
        <v>-3.53656154503923</v>
      </c>
      <c r="AB54" t="n">
        <v>-1.05433894328729</v>
      </c>
      <c r="AC54" t="n">
        <v>-1.92259808161017</v>
      </c>
      <c r="AD54" t="n">
        <v>0.275824908669101</v>
      </c>
      <c r="AE54" t="n">
        <v>-11.3046494551763</v>
      </c>
      <c r="AF54"/>
    </row>
    <row r="55">
      <c r="A55" t="s">
        <v>214</v>
      </c>
      <c r="B55" t="s">
        <v>283</v>
      </c>
      <c r="C55" t="s">
        <v>215</v>
      </c>
      <c r="D55" t="s">
        <v>284</v>
      </c>
      <c r="E55" t="s">
        <v>37</v>
      </c>
      <c r="F55" t="n">
        <v>-4.74876719201691</v>
      </c>
      <c r="G55" t="n">
        <v>3.72956248346297</v>
      </c>
      <c r="H55" t="n">
        <v>3.82430867423354</v>
      </c>
      <c r="I55" t="n">
        <v>4.38296825082905</v>
      </c>
      <c r="J55" t="n">
        <v>3.40582556399552</v>
      </c>
      <c r="K55" t="n">
        <v>2.24203720911783</v>
      </c>
      <c r="L55" t="n">
        <v>-2.98600727080462</v>
      </c>
      <c r="M55" t="n">
        <v>3.00724086514655</v>
      </c>
      <c r="N55" t="n">
        <v>2.36240489781033</v>
      </c>
      <c r="O55" t="n">
        <v>-3.67908042704791</v>
      </c>
      <c r="P55" t="n">
        <v>-0.195894711024449</v>
      </c>
      <c r="Q55" t="n">
        <v>-5.42792483914027</v>
      </c>
      <c r="R55" t="n">
        <v>5.89528234644528</v>
      </c>
      <c r="S55" t="n">
        <v>-2.07298862523969</v>
      </c>
      <c r="T55" t="n">
        <v>-4.46459281960471</v>
      </c>
      <c r="U55" t="n">
        <v>-3.45736123570373</v>
      </c>
      <c r="V55" t="n">
        <v>2.13128442658815</v>
      </c>
      <c r="W55" t="n">
        <v>-3.85454537751826</v>
      </c>
      <c r="X55" t="n">
        <v>-2.68938506363563</v>
      </c>
      <c r="Y55" t="n">
        <v>-1.53430108542153</v>
      </c>
      <c r="Z55" t="n">
        <v>-1.11236188451623</v>
      </c>
      <c r="AA55" t="n">
        <v>-1.19950420271519</v>
      </c>
      <c r="AB55" t="n">
        <v>0.184696267161598</v>
      </c>
      <c r="AC55" t="n">
        <v>-2.05094096823674</v>
      </c>
      <c r="AD55" t="n">
        <v>2.15533607226352</v>
      </c>
      <c r="AE55" t="n">
        <v>-7.98549584161904</v>
      </c>
      <c r="AF55"/>
    </row>
    <row r="56">
      <c r="A56" t="s">
        <v>216</v>
      </c>
      <c r="B56" t="s">
        <v>283</v>
      </c>
      <c r="C56" t="s">
        <v>217</v>
      </c>
      <c r="D56" t="s">
        <v>284</v>
      </c>
      <c r="E56" t="s">
        <v>37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283</v>
      </c>
      <c r="C57" t="s">
        <v>219</v>
      </c>
      <c r="D57" t="s">
        <v>284</v>
      </c>
      <c r="E57" t="s">
        <v>37</v>
      </c>
      <c r="F57" t="n">
        <v>-0.0595236802200296</v>
      </c>
      <c r="G57" t="n">
        <v>1.30860871392741</v>
      </c>
      <c r="H57" t="n">
        <v>0.33230935766984</v>
      </c>
      <c r="I57" t="n">
        <v>-1.53393598972928</v>
      </c>
      <c r="J57" t="n">
        <v>-0.417541184832477</v>
      </c>
      <c r="K57" t="n">
        <v>0.382383381887827</v>
      </c>
      <c r="L57" t="n">
        <v>0.244739128055122</v>
      </c>
      <c r="M57" t="n">
        <v>0.903487777297611</v>
      </c>
      <c r="N57" t="n">
        <v>0.340102808998279</v>
      </c>
      <c r="O57" t="n">
        <v>0.143790550033629</v>
      </c>
      <c r="P57" t="n">
        <v>1.52708885687981</v>
      </c>
      <c r="Q57" t="n">
        <v>-0.671143765560083</v>
      </c>
      <c r="R57" t="n">
        <v>1.17336902945613</v>
      </c>
      <c r="S57" t="n">
        <v>-0.487876332971506</v>
      </c>
      <c r="T57" t="n">
        <v>-4.37040876804361</v>
      </c>
      <c r="U57" t="n">
        <v>3.0379862132486</v>
      </c>
      <c r="V57" t="n">
        <v>0.144312739747542</v>
      </c>
      <c r="W57" t="n">
        <v>0.322039321531553</v>
      </c>
      <c r="X57" t="n">
        <v>2.68565561956337</v>
      </c>
      <c r="Y57" t="n">
        <v>-0.117694762089395</v>
      </c>
      <c r="Z57" t="n">
        <v>0.75654012230795</v>
      </c>
      <c r="AA57" t="n">
        <v>-0.0344559820616939</v>
      </c>
      <c r="AB57" t="n">
        <v>0.642729952060459</v>
      </c>
      <c r="AC57" t="n">
        <v>0.98747256982085</v>
      </c>
      <c r="AD57" t="n">
        <v>0.250319059893677</v>
      </c>
      <c r="AE57" t="n">
        <v>-0.430804792780712</v>
      </c>
      <c r="AF57"/>
    </row>
    <row r="58">
      <c r="A58" t="s">
        <v>220</v>
      </c>
      <c r="B58" t="s">
        <v>283</v>
      </c>
      <c r="C58" t="s">
        <v>221</v>
      </c>
      <c r="D58" t="s">
        <v>284</v>
      </c>
      <c r="E58" t="s">
        <v>37</v>
      </c>
      <c r="F58" t="n">
        <v>-0.0364832795736873</v>
      </c>
      <c r="G58" t="n">
        <v>1.38489492065557</v>
      </c>
      <c r="H58" t="n">
        <v>0.396844950663878</v>
      </c>
      <c r="I58" t="n">
        <v>-1.46551526876662</v>
      </c>
      <c r="J58" t="n">
        <v>-0.380532132988376</v>
      </c>
      <c r="K58" t="n">
        <v>0.431855961250102</v>
      </c>
      <c r="L58" t="n">
        <v>0.278996957366341</v>
      </c>
      <c r="M58" t="n">
        <v>0.927535531969635</v>
      </c>
      <c r="N58" t="n">
        <v>0.35480598436289</v>
      </c>
      <c r="O58" t="n">
        <v>0.144287836064954</v>
      </c>
      <c r="P58" t="n">
        <v>1.57712159304745</v>
      </c>
      <c r="Q58" t="n">
        <v>-0.676885839210335</v>
      </c>
      <c r="R58" t="n">
        <v>1.16238681269814</v>
      </c>
      <c r="S58" t="n">
        <v>-0.573060307923511</v>
      </c>
      <c r="T58" t="n">
        <v>-4.43311337560896</v>
      </c>
      <c r="U58" t="n">
        <v>3.00727876730006</v>
      </c>
      <c r="V58" t="n">
        <v>0.109647812627741</v>
      </c>
      <c r="W58" t="n">
        <v>0.326699431378832</v>
      </c>
      <c r="X58" t="n">
        <v>2.77746709285272</v>
      </c>
      <c r="Y58" t="n">
        <v>-0.0912050449330629</v>
      </c>
      <c r="Z58" t="n">
        <v>0.787343225983438</v>
      </c>
      <c r="AA58" t="n">
        <v>-0.10794536734752</v>
      </c>
      <c r="AB58" t="n">
        <v>0.675133613869533</v>
      </c>
      <c r="AC58" t="n">
        <v>0.984452644079762</v>
      </c>
      <c r="AD58" t="n">
        <v>0.209277877548899</v>
      </c>
      <c r="AE58" t="n">
        <v>-0.478123418460768</v>
      </c>
      <c r="AF58"/>
    </row>
    <row r="59">
      <c r="A59" t="s">
        <v>222</v>
      </c>
      <c r="B59" t="s">
        <v>283</v>
      </c>
      <c r="C59" t="s">
        <v>223</v>
      </c>
      <c r="D59" t="s">
        <v>284</v>
      </c>
      <c r="E59" t="s">
        <v>37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283</v>
      </c>
      <c r="C2" t="s">
        <v>108</v>
      </c>
      <c r="D2" t="s">
        <v>284</v>
      </c>
      <c r="E2" t="s">
        <v>44</v>
      </c>
      <c r="F2" t="n">
        <v>-6.52130434972058</v>
      </c>
      <c r="G2" t="n">
        <v>7.91453847110368</v>
      </c>
      <c r="H2" t="n">
        <v>4.86910450067395</v>
      </c>
      <c r="I2" t="n">
        <v>3.10419916851341</v>
      </c>
      <c r="J2" t="n">
        <v>3.03650981966577</v>
      </c>
      <c r="K2" t="n">
        <v>10.7816947934911</v>
      </c>
      <c r="L2" t="n">
        <v>-5.71533471695567</v>
      </c>
      <c r="M2" t="n">
        <v>14.459021910768</v>
      </c>
      <c r="N2" t="n">
        <v>-9.44337808044722</v>
      </c>
      <c r="O2" t="n">
        <v>-9.59709945426113</v>
      </c>
      <c r="P2" t="n">
        <v>0.203520784160638</v>
      </c>
      <c r="Q2" t="n">
        <v>5.27990928991375</v>
      </c>
      <c r="R2" t="n">
        <v>6.78533227668527</v>
      </c>
      <c r="S2" t="n">
        <v>10.6145957076569</v>
      </c>
      <c r="T2" t="n">
        <v>-5.13754437437903</v>
      </c>
      <c r="U2" t="n">
        <v>0.921774819773269</v>
      </c>
      <c r="V2" t="n">
        <v>4.37427027478154</v>
      </c>
      <c r="W2" t="n">
        <v>2.83601325862346</v>
      </c>
      <c r="X2" t="n">
        <v>2.916869797569</v>
      </c>
      <c r="Y2" t="n">
        <v>-4.30681147997838</v>
      </c>
      <c r="Z2" t="n">
        <v>-3.82645372854871</v>
      </c>
      <c r="AA2" t="n">
        <v>-2.10559717478382</v>
      </c>
      <c r="AB2" t="n">
        <v>-1.12677173062448</v>
      </c>
      <c r="AC2" t="n">
        <v>-6.64972065059182</v>
      </c>
      <c r="AD2" t="n">
        <v>8.42670470787841</v>
      </c>
      <c r="AE2" t="n">
        <v>-0.561092065904312</v>
      </c>
      <c r="AF2" t="n">
        <v>2.84774054562327</v>
      </c>
    </row>
    <row r="3">
      <c r="A3" t="s">
        <v>110</v>
      </c>
      <c r="B3" t="s">
        <v>283</v>
      </c>
      <c r="C3" t="s">
        <v>111</v>
      </c>
      <c r="D3" t="s">
        <v>284</v>
      </c>
      <c r="E3" t="s">
        <v>44</v>
      </c>
      <c r="F3" t="n">
        <v>-3.47030961071475</v>
      </c>
      <c r="G3" t="n">
        <v>5.93884832541018</v>
      </c>
      <c r="H3" t="n">
        <v>-13.832300349184</v>
      </c>
      <c r="I3" t="n">
        <v>5.34985997066499</v>
      </c>
      <c r="J3" t="n">
        <v>2.52794144743902</v>
      </c>
      <c r="K3" t="n">
        <v>12.2845609393137</v>
      </c>
      <c r="L3" t="n">
        <v>8.51057594107907</v>
      </c>
      <c r="M3" t="n">
        <v>8.94174468015869</v>
      </c>
      <c r="N3" t="n">
        <v>-2.0929594369882</v>
      </c>
      <c r="O3" t="n">
        <v>4.66280085506128</v>
      </c>
      <c r="P3" t="n">
        <v>2.69650535627708</v>
      </c>
      <c r="Q3" t="n">
        <v>-3.3943973623483</v>
      </c>
      <c r="R3" t="n">
        <v>-9.40286510723869</v>
      </c>
      <c r="S3" t="n">
        <v>9.8448154163874</v>
      </c>
      <c r="T3" t="n">
        <v>-73.1304735961102</v>
      </c>
      <c r="U3" t="n">
        <v>5.92005122955328</v>
      </c>
      <c r="V3" t="n">
        <v>15.9584538299667</v>
      </c>
      <c r="W3" t="n">
        <v>-9.08879088510997</v>
      </c>
      <c r="X3" t="n">
        <v>13.0720610536585</v>
      </c>
      <c r="Y3" t="n">
        <v>-23.3886417042962</v>
      </c>
      <c r="Z3" t="n">
        <v>-4.42436357659641</v>
      </c>
      <c r="AA3" t="n">
        <v>13.8086411885515</v>
      </c>
      <c r="AB3" t="n">
        <v>-12.3819327370946</v>
      </c>
      <c r="AC3" t="n">
        <v>19.9286420975847</v>
      </c>
      <c r="AD3" t="n">
        <v>-6.57664299894947</v>
      </c>
      <c r="AE3" t="n">
        <v>-3.69279519471668</v>
      </c>
      <c r="AF3" t="n">
        <v>-4.02757207997393</v>
      </c>
    </row>
    <row r="4">
      <c r="A4" t="s">
        <v>112</v>
      </c>
      <c r="B4" t="s">
        <v>283</v>
      </c>
      <c r="C4" t="s">
        <v>113</v>
      </c>
      <c r="D4" t="s">
        <v>284</v>
      </c>
      <c r="E4" t="s">
        <v>44</v>
      </c>
      <c r="F4" t="n">
        <v>6.56096030124544</v>
      </c>
      <c r="G4" t="n">
        <v>4.3963963882522</v>
      </c>
      <c r="H4" t="n">
        <v>3.63556624581847</v>
      </c>
      <c r="I4" t="n">
        <v>2.05756975078266</v>
      </c>
      <c r="J4" t="n">
        <v>1.82513093454375</v>
      </c>
      <c r="K4" t="n">
        <v>4.49301855032083</v>
      </c>
      <c r="L4" t="n">
        <v>-0.799617885501291</v>
      </c>
      <c r="M4" t="n">
        <v>3.62538160662567</v>
      </c>
      <c r="N4" t="n">
        <v>6.53600772817846</v>
      </c>
      <c r="O4" t="n">
        <v>6.95514538946718</v>
      </c>
      <c r="P4" t="n">
        <v>5.71793809216743</v>
      </c>
      <c r="Q4" t="n">
        <v>0.475820204009736</v>
      </c>
      <c r="R4" t="n">
        <v>5.2705260518696</v>
      </c>
      <c r="S4" t="n">
        <v>3.30332647026133</v>
      </c>
      <c r="T4" t="n">
        <v>-6.38851185930136</v>
      </c>
      <c r="U4" t="n">
        <v>11.4100377254449</v>
      </c>
      <c r="V4" t="n">
        <v>-2.20205655442456</v>
      </c>
      <c r="W4" t="n">
        <v>2.03707597277045</v>
      </c>
      <c r="X4" t="n">
        <v>3.41553410180317</v>
      </c>
      <c r="Y4" t="n">
        <v>2.40391030464622</v>
      </c>
      <c r="Z4" t="n">
        <v>3.28482331668134</v>
      </c>
      <c r="AA4" t="n">
        <v>-0.556480017653982</v>
      </c>
      <c r="AB4" t="n">
        <v>2.48584068637641</v>
      </c>
      <c r="AC4" t="n">
        <v>3.2090439825275</v>
      </c>
      <c r="AD4" t="n">
        <v>0.469548775663853</v>
      </c>
      <c r="AE4" t="n">
        <v>0.689626858453352</v>
      </c>
      <c r="AF4" t="n">
        <v>6.14310804077789</v>
      </c>
    </row>
    <row r="5">
      <c r="A5" t="s">
        <v>114</v>
      </c>
      <c r="B5" t="s">
        <v>283</v>
      </c>
      <c r="C5" t="s">
        <v>115</v>
      </c>
      <c r="D5" t="s">
        <v>284</v>
      </c>
      <c r="E5" t="s">
        <v>44</v>
      </c>
      <c r="F5" t="n">
        <v>5.49213533964839</v>
      </c>
      <c r="G5" t="n">
        <v>1.03383588036561</v>
      </c>
      <c r="H5" t="n">
        <v>1.79875228186059</v>
      </c>
      <c r="I5" t="n">
        <v>3.01917429309384</v>
      </c>
      <c r="J5" t="n">
        <v>-0.828025090090456</v>
      </c>
      <c r="K5" t="n">
        <v>-2.65787606998114</v>
      </c>
      <c r="L5" t="n">
        <v>1.8693692043021</v>
      </c>
      <c r="M5" t="n">
        <v>-0.986672486826734</v>
      </c>
      <c r="N5" t="n">
        <v>2.71426494730847</v>
      </c>
      <c r="O5" t="n">
        <v>0.89457217528004</v>
      </c>
      <c r="P5" t="n">
        <v>-1.80300322553215</v>
      </c>
      <c r="Q5" t="n">
        <v>-1.6468662592624</v>
      </c>
      <c r="R5" t="n">
        <v>4.73327191585593</v>
      </c>
      <c r="S5" t="n">
        <v>-3.62955207831934</v>
      </c>
      <c r="T5" t="n">
        <v>-3.09521766442273</v>
      </c>
      <c r="U5" t="n">
        <v>-0.0589101326056607</v>
      </c>
      <c r="V5" t="n">
        <v>-0.993752874870069</v>
      </c>
      <c r="W5" t="n">
        <v>-2.95427728980311</v>
      </c>
      <c r="X5" t="n">
        <v>3.34806798935343</v>
      </c>
      <c r="Y5" t="n">
        <v>1.07104982070236</v>
      </c>
      <c r="Z5" t="n">
        <v>5.04174123071905</v>
      </c>
      <c r="AA5" t="n">
        <v>1.88361602441169</v>
      </c>
      <c r="AB5" t="n">
        <v>-0.218574808922867</v>
      </c>
      <c r="AC5" t="n">
        <v>0.953063756442063</v>
      </c>
      <c r="AD5" t="n">
        <v>2.04084453834756</v>
      </c>
      <c r="AE5" t="n">
        <v>-1.29654567726973</v>
      </c>
      <c r="AF5" t="n">
        <v>2.71672338926585</v>
      </c>
    </row>
    <row r="6">
      <c r="A6" t="s">
        <v>116</v>
      </c>
      <c r="B6" t="s">
        <v>283</v>
      </c>
      <c r="C6" t="s">
        <v>117</v>
      </c>
      <c r="D6" t="s">
        <v>284</v>
      </c>
      <c r="E6" t="s">
        <v>44</v>
      </c>
      <c r="F6" t="n">
        <v>3.66665472562318</v>
      </c>
      <c r="G6" t="n">
        <v>-2.47932713678391</v>
      </c>
      <c r="H6" t="n">
        <v>-0.817400299534832</v>
      </c>
      <c r="I6" t="n">
        <v>3.60580852734316</v>
      </c>
      <c r="J6" t="n">
        <v>-10.0173708197763</v>
      </c>
      <c r="K6" t="n">
        <v>-0.14090476812072</v>
      </c>
      <c r="L6" t="n">
        <v>-5.70696581991381</v>
      </c>
      <c r="M6" t="n">
        <v>-0.440439841957563</v>
      </c>
      <c r="N6" t="n">
        <v>2.30131956158992</v>
      </c>
      <c r="O6" t="n">
        <v>3.1642058101033</v>
      </c>
      <c r="P6" t="n">
        <v>-2.92864874934331</v>
      </c>
      <c r="Q6" t="n">
        <v>-2.32700551707783</v>
      </c>
      <c r="R6" t="n">
        <v>6.57493943296679</v>
      </c>
      <c r="S6" t="n">
        <v>3.77550365046595</v>
      </c>
      <c r="T6" t="n">
        <v>-10.0692032678477</v>
      </c>
      <c r="U6" t="n">
        <v>-1.93359313814305</v>
      </c>
      <c r="V6" t="n">
        <v>6.24363504926855</v>
      </c>
      <c r="W6" t="n">
        <v>-0.398281853606797</v>
      </c>
      <c r="X6" t="n">
        <v>2.76773474512542</v>
      </c>
      <c r="Y6" t="n">
        <v>4.17308807599639</v>
      </c>
      <c r="Z6" t="n">
        <v>17.7782338339339</v>
      </c>
      <c r="AA6" t="n">
        <v>-18.8428683335896</v>
      </c>
      <c r="AB6" t="n">
        <v>-0.0470678727484852</v>
      </c>
      <c r="AC6" t="n">
        <v>10.6543582400464</v>
      </c>
      <c r="AD6" t="n">
        <v>4.20123405964805</v>
      </c>
      <c r="AE6" t="n">
        <v>7.33587118141461</v>
      </c>
      <c r="AF6" t="n">
        <v>-2.92533229750767</v>
      </c>
    </row>
    <row r="7">
      <c r="A7" t="s">
        <v>118</v>
      </c>
      <c r="B7" t="s">
        <v>283</v>
      </c>
      <c r="C7" t="s">
        <v>119</v>
      </c>
      <c r="D7" t="s">
        <v>284</v>
      </c>
      <c r="E7" t="s">
        <v>44</v>
      </c>
      <c r="F7" t="n">
        <v>6.0648158564435</v>
      </c>
      <c r="G7" t="n">
        <v>0.543456537576326</v>
      </c>
      <c r="H7" t="n">
        <v>1.43130672771274</v>
      </c>
      <c r="I7" t="n">
        <v>3.56420337460808</v>
      </c>
      <c r="J7" t="n">
        <v>-4.24568786389425</v>
      </c>
      <c r="K7" t="n">
        <v>2.53906723604107</v>
      </c>
      <c r="L7" t="n">
        <v>-2.3930963578179</v>
      </c>
      <c r="M7" t="n">
        <v>-1.9326162105445</v>
      </c>
      <c r="N7" t="n">
        <v>0.305138362160839</v>
      </c>
      <c r="O7" t="n">
        <v>3.09660677629768</v>
      </c>
      <c r="P7" t="n">
        <v>7.0807378967304</v>
      </c>
      <c r="Q7" t="n">
        <v>-4.82333702982132</v>
      </c>
      <c r="R7" t="n">
        <v>2.19671230912759</v>
      </c>
      <c r="S7" t="n">
        <v>1.75044200768024</v>
      </c>
      <c r="T7" t="n">
        <v>-4.30797568260672</v>
      </c>
      <c r="U7" t="n">
        <v>6.86660915983204</v>
      </c>
      <c r="V7" t="n">
        <v>-1.11560823419303</v>
      </c>
      <c r="W7" t="n">
        <v>-5.65990568175607</v>
      </c>
      <c r="X7" t="n">
        <v>10.342286994884</v>
      </c>
      <c r="Y7" t="n">
        <v>2.80529425166023</v>
      </c>
      <c r="Z7" t="n">
        <v>11.2331983527319</v>
      </c>
      <c r="AA7" t="n">
        <v>-2.66679409528727</v>
      </c>
      <c r="AB7" t="n">
        <v>1.5367564882478</v>
      </c>
      <c r="AC7" t="n">
        <v>1.490815262901</v>
      </c>
      <c r="AD7" t="n">
        <v>1.49982029395606</v>
      </c>
      <c r="AE7" t="n">
        <v>-3.12517998551289</v>
      </c>
      <c r="AF7" t="n">
        <v>-0.231641987070397</v>
      </c>
    </row>
    <row r="8">
      <c r="A8" t="s">
        <v>120</v>
      </c>
      <c r="B8" t="s">
        <v>283</v>
      </c>
      <c r="C8" t="s">
        <v>121</v>
      </c>
      <c r="D8" t="s">
        <v>284</v>
      </c>
      <c r="E8" t="s">
        <v>44</v>
      </c>
      <c r="F8" t="n">
        <v>0.323390369457854</v>
      </c>
      <c r="G8" t="n">
        <v>14.90929668263</v>
      </c>
      <c r="H8" t="n">
        <v>3.53289451458725</v>
      </c>
      <c r="I8" t="n">
        <v>-12.6873655935848</v>
      </c>
      <c r="J8" t="n">
        <v>-5.70229849027157</v>
      </c>
      <c r="K8" t="n">
        <v>4.5035915842421</v>
      </c>
      <c r="L8" t="n">
        <v>-4.83676993630464</v>
      </c>
      <c r="M8" t="n">
        <v>-5.93743401182305</v>
      </c>
      <c r="N8" t="n">
        <v>-10.5124866483207</v>
      </c>
      <c r="O8" t="n">
        <v>-3.83560330494941</v>
      </c>
      <c r="P8" t="n">
        <v>-1.25568436542753</v>
      </c>
      <c r="Q8" t="n">
        <v>3.19588783979583</v>
      </c>
      <c r="R8" t="n">
        <v>-2.55816095682881</v>
      </c>
      <c r="S8" t="n">
        <v>-2.1043308833363</v>
      </c>
      <c r="T8" t="n">
        <v>9.59939689288625</v>
      </c>
      <c r="U8" t="n">
        <v>-0.303593008141156</v>
      </c>
      <c r="V8" t="n">
        <v>-15.0184753184888</v>
      </c>
      <c r="W8" t="n">
        <v>14.189654272073</v>
      </c>
      <c r="X8" t="n">
        <v>29.7979108398256</v>
      </c>
      <c r="Y8" t="n">
        <v>-15.9213626197051</v>
      </c>
      <c r="Z8" t="n">
        <v>-16.6414788455038</v>
      </c>
      <c r="AA8" t="n">
        <v>-1.77421404992213</v>
      </c>
      <c r="AB8" t="n">
        <v>-0.677385957394705</v>
      </c>
      <c r="AC8" t="n">
        <v>-1.25772613026012</v>
      </c>
      <c r="AD8" t="n">
        <v>-3.75910421645287</v>
      </c>
      <c r="AE8" t="n">
        <v>-9.15625712797095</v>
      </c>
      <c r="AF8" t="n">
        <v>6.78244447288723</v>
      </c>
    </row>
    <row r="9">
      <c r="A9" t="s">
        <v>122</v>
      </c>
      <c r="B9" t="s">
        <v>283</v>
      </c>
      <c r="C9" t="s">
        <v>123</v>
      </c>
      <c r="D9" t="s">
        <v>284</v>
      </c>
      <c r="E9" t="s">
        <v>44</v>
      </c>
      <c r="F9" t="n">
        <v>0.650670714694535</v>
      </c>
      <c r="G9" t="n">
        <v>3.9983091820309</v>
      </c>
      <c r="H9" t="n">
        <v>3.60888362972709</v>
      </c>
      <c r="I9" t="n">
        <v>-2.77206561773706</v>
      </c>
      <c r="J9" t="n">
        <v>4.95856493943823</v>
      </c>
      <c r="K9" t="n">
        <v>-9.99441312829745</v>
      </c>
      <c r="L9" t="n">
        <v>-0.227686722197618</v>
      </c>
      <c r="M9" t="n">
        <v>4.43392470543991</v>
      </c>
      <c r="N9" t="n">
        <v>2.210847398376</v>
      </c>
      <c r="O9" t="n">
        <v>-3.49430997481921</v>
      </c>
      <c r="P9" t="n">
        <v>-2.79473257940808</v>
      </c>
      <c r="Q9" t="n">
        <v>-5.09856298715743</v>
      </c>
      <c r="R9" t="n">
        <v>3.74804045885622</v>
      </c>
      <c r="S9" t="n">
        <v>-3.51944757525651</v>
      </c>
      <c r="T9" t="n">
        <v>-0.149248213989139</v>
      </c>
      <c r="U9" t="n">
        <v>7.53611254870332</v>
      </c>
      <c r="V9" t="n">
        <v>-6.83042430270841</v>
      </c>
      <c r="W9" t="n">
        <v>7.39765175627358</v>
      </c>
      <c r="X9" t="n">
        <v>6.09209055329689</v>
      </c>
      <c r="Y9" t="n">
        <v>1.3037561105854</v>
      </c>
      <c r="Z9" t="n">
        <v>10.5942053430526</v>
      </c>
      <c r="AA9" t="n">
        <v>5.41149872761881</v>
      </c>
      <c r="AB9" t="n">
        <v>-5.29923792756595</v>
      </c>
      <c r="AC9" t="n">
        <v>1.3055017848508</v>
      </c>
      <c r="AD9" t="n">
        <v>9.95510672722162</v>
      </c>
      <c r="AE9" t="n">
        <v>-2.17669890091621</v>
      </c>
      <c r="AF9" t="n">
        <v>-6.1141566335845</v>
      </c>
    </row>
    <row r="10">
      <c r="A10" t="s">
        <v>124</v>
      </c>
      <c r="B10" t="s">
        <v>283</v>
      </c>
      <c r="C10" t="s">
        <v>125</v>
      </c>
      <c r="D10" t="s">
        <v>284</v>
      </c>
      <c r="E10" t="s">
        <v>44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283</v>
      </c>
      <c r="C11" t="s">
        <v>127</v>
      </c>
      <c r="D11" t="s">
        <v>284</v>
      </c>
      <c r="E11" t="s">
        <v>44</v>
      </c>
      <c r="F11" t="n">
        <v>12.3240260907503</v>
      </c>
      <c r="G11" t="n">
        <v>2.93488706889136</v>
      </c>
      <c r="H11" t="n">
        <v>2.94122098200873</v>
      </c>
      <c r="I11" t="n">
        <v>5.57135784005265</v>
      </c>
      <c r="J11" t="n">
        <v>2.22629463834334</v>
      </c>
      <c r="K11" t="n">
        <v>12.0312244079409</v>
      </c>
      <c r="L11" t="n">
        <v>-2.01213442607404</v>
      </c>
      <c r="M11" t="n">
        <v>7.15759112581829</v>
      </c>
      <c r="N11" t="n">
        <v>10.8175041692647</v>
      </c>
      <c r="O11" t="n">
        <v>2.75521214356207</v>
      </c>
      <c r="P11" t="n">
        <v>-1.59506159565605</v>
      </c>
      <c r="Q11" t="n">
        <v>6.89491105052227</v>
      </c>
      <c r="R11" t="n">
        <v>9.27915831477346</v>
      </c>
      <c r="S11" t="n">
        <v>9.80274196964803</v>
      </c>
      <c r="T11" t="n">
        <v>5.16502124190801</v>
      </c>
      <c r="U11" t="n">
        <v>9.09280209768895</v>
      </c>
      <c r="V11" t="n">
        <v>2.23973835485793</v>
      </c>
      <c r="W11" t="n">
        <v>-3.5421432649489</v>
      </c>
      <c r="X11" t="n">
        <v>4.72654262923715</v>
      </c>
      <c r="Y11" t="n">
        <v>-4.8274648514985</v>
      </c>
      <c r="Z11" t="n">
        <v>4.71595056478087</v>
      </c>
      <c r="AA11" t="n">
        <v>9.0130890262504</v>
      </c>
      <c r="AB11" t="n">
        <v>2.83562942411386</v>
      </c>
      <c r="AC11" t="n">
        <v>8.34800644354861</v>
      </c>
      <c r="AD11" t="n">
        <v>0.191981257971108</v>
      </c>
      <c r="AE11" t="n">
        <v>11.6471581849217</v>
      </c>
      <c r="AF11" t="n">
        <v>2.96416518234697</v>
      </c>
    </row>
    <row r="12">
      <c r="A12" t="s">
        <v>128</v>
      </c>
      <c r="B12" t="s">
        <v>283</v>
      </c>
      <c r="C12" t="s">
        <v>129</v>
      </c>
      <c r="D12" t="s">
        <v>284</v>
      </c>
      <c r="E12" t="s">
        <v>44</v>
      </c>
      <c r="F12" t="n">
        <v>1.50229824772108</v>
      </c>
      <c r="G12" t="n">
        <v>0.624202360930148</v>
      </c>
      <c r="H12" t="n">
        <v>-0.00576939283973843</v>
      </c>
      <c r="I12" t="n">
        <v>-1.36815024937285</v>
      </c>
      <c r="J12" t="n">
        <v>-4.44272525273277</v>
      </c>
      <c r="K12" t="n">
        <v>3.66677528349211</v>
      </c>
      <c r="L12" t="n">
        <v>-2.77168740248896</v>
      </c>
      <c r="M12" t="n">
        <v>0.95253810524909</v>
      </c>
      <c r="N12" t="n">
        <v>5.12510248178906</v>
      </c>
      <c r="O12" t="n">
        <v>10.6761795298837</v>
      </c>
      <c r="P12" t="n">
        <v>1.84112701687713</v>
      </c>
      <c r="Q12" t="n">
        <v>-3.58615044719297</v>
      </c>
      <c r="R12" t="n">
        <v>6.021069992679</v>
      </c>
      <c r="S12" t="n">
        <v>1.36116390729306</v>
      </c>
      <c r="T12" t="n">
        <v>-19.440646158743</v>
      </c>
      <c r="U12" t="n">
        <v>11.2436303336127</v>
      </c>
      <c r="V12" t="n">
        <v>2.87209305441518</v>
      </c>
      <c r="W12" t="n">
        <v>-2.99631235230304</v>
      </c>
      <c r="X12" t="n">
        <v>5.54090629826618</v>
      </c>
      <c r="Y12" t="n">
        <v>4.69654952944101</v>
      </c>
      <c r="Z12" t="n">
        <v>3.94780389921632</v>
      </c>
      <c r="AA12" t="n">
        <v>-3.12560217675593</v>
      </c>
      <c r="AB12" t="n">
        <v>6.80675513035478</v>
      </c>
      <c r="AC12" t="n">
        <v>2.56898519827668</v>
      </c>
      <c r="AD12" t="n">
        <v>-1.1668397069414</v>
      </c>
      <c r="AE12" t="n">
        <v>3.72964525205734</v>
      </c>
      <c r="AF12" t="n">
        <v>6.15100816542213</v>
      </c>
    </row>
    <row r="13">
      <c r="A13" t="s">
        <v>130</v>
      </c>
      <c r="B13" t="s">
        <v>283</v>
      </c>
      <c r="C13" t="s">
        <v>131</v>
      </c>
      <c r="D13" t="s">
        <v>284</v>
      </c>
      <c r="E13" t="s">
        <v>44</v>
      </c>
      <c r="F13" t="n">
        <v>5.22846110165354</v>
      </c>
      <c r="G13" t="n">
        <v>1.98231183926652</v>
      </c>
      <c r="H13" t="n">
        <v>2.79006924218184</v>
      </c>
      <c r="I13" t="n">
        <v>-1.48883603950143</v>
      </c>
      <c r="J13" t="n">
        <v>4.03174660670835</v>
      </c>
      <c r="K13" t="n">
        <v>3.58806102949511</v>
      </c>
      <c r="L13" t="n">
        <v>-1.88297115452318</v>
      </c>
      <c r="M13" t="n">
        <v>-3.41330177945114</v>
      </c>
      <c r="N13" t="n">
        <v>4.13398411887975</v>
      </c>
      <c r="O13" t="n">
        <v>5.47726337606189</v>
      </c>
      <c r="P13" t="n">
        <v>6.80064000081106</v>
      </c>
      <c r="Q13" t="n">
        <v>-0.918835889497593</v>
      </c>
      <c r="R13" t="n">
        <v>2.31533073339065</v>
      </c>
      <c r="S13" t="n">
        <v>1.146529867545</v>
      </c>
      <c r="T13" t="n">
        <v>-9.80204747824036</v>
      </c>
      <c r="U13" t="n">
        <v>19.8769152816109</v>
      </c>
      <c r="V13" t="n">
        <v>-14.8557307241758</v>
      </c>
      <c r="W13" t="n">
        <v>4.68455634211171</v>
      </c>
      <c r="X13" t="n">
        <v>4.99930244677564</v>
      </c>
      <c r="Y13" t="n">
        <v>0.798176066720124</v>
      </c>
      <c r="Z13" t="n">
        <v>2.69412206995447</v>
      </c>
      <c r="AA13" t="n">
        <v>-2.56701081260982</v>
      </c>
      <c r="AB13" t="n">
        <v>-0.705472344550095</v>
      </c>
      <c r="AC13" t="n">
        <v>-4.8179246092154</v>
      </c>
      <c r="AD13" t="n">
        <v>-2.88158227833666</v>
      </c>
      <c r="AE13" t="n">
        <v>-2.46856365987735</v>
      </c>
      <c r="AF13" t="n">
        <v>9.02105498966002</v>
      </c>
    </row>
    <row r="14">
      <c r="A14" t="s">
        <v>132</v>
      </c>
      <c r="B14" t="s">
        <v>283</v>
      </c>
      <c r="C14" t="s">
        <v>133</v>
      </c>
      <c r="D14" t="s">
        <v>284</v>
      </c>
      <c r="E14" t="s">
        <v>44</v>
      </c>
      <c r="F14" t="n">
        <v>15.2798619691058</v>
      </c>
      <c r="G14" t="n">
        <v>18.1209511337142</v>
      </c>
      <c r="H14" t="n">
        <v>11.4868084913432</v>
      </c>
      <c r="I14" t="n">
        <v>4.15725615513569</v>
      </c>
      <c r="J14" t="n">
        <v>7.61051994711952</v>
      </c>
      <c r="K14" t="n">
        <v>14.7623315858686</v>
      </c>
      <c r="L14" t="n">
        <v>-1.755336172684</v>
      </c>
      <c r="M14" t="n">
        <v>16.4084200288281</v>
      </c>
      <c r="N14" t="n">
        <v>24.5600914462743</v>
      </c>
      <c r="O14" t="n">
        <v>18.5349164021917</v>
      </c>
      <c r="P14" t="n">
        <v>15.3350153852227</v>
      </c>
      <c r="Q14" t="n">
        <v>6.3721327366034</v>
      </c>
      <c r="R14" t="n">
        <v>12.2745890006518</v>
      </c>
      <c r="S14" t="n">
        <v>9.94999507015955</v>
      </c>
      <c r="T14" t="n">
        <v>2.88287161565588</v>
      </c>
      <c r="U14" t="n">
        <v>20.0688830146893</v>
      </c>
      <c r="V14" t="n">
        <v>1.07613037668734</v>
      </c>
      <c r="W14" t="n">
        <v>8.16366769341794</v>
      </c>
      <c r="X14" t="n">
        <v>4.87556558776046</v>
      </c>
      <c r="Y14" t="n">
        <v>10.392972372866</v>
      </c>
      <c r="Z14" t="n">
        <v>6.48659793005901</v>
      </c>
      <c r="AA14" t="n">
        <v>0.91086351764158</v>
      </c>
      <c r="AB14" t="n">
        <v>-3.39141646929253</v>
      </c>
      <c r="AC14" t="n">
        <v>8.61002809485321</v>
      </c>
      <c r="AD14" t="n">
        <v>-2.25025564671384</v>
      </c>
      <c r="AE14" t="n">
        <v>4.7157876228173</v>
      </c>
      <c r="AF14" t="n">
        <v>12.6735478462701</v>
      </c>
    </row>
    <row r="15">
      <c r="A15" t="s">
        <v>134</v>
      </c>
      <c r="B15" t="s">
        <v>283</v>
      </c>
      <c r="C15" t="s">
        <v>135</v>
      </c>
      <c r="D15" t="s">
        <v>284</v>
      </c>
      <c r="E15" t="s">
        <v>44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283</v>
      </c>
      <c r="C16" t="s">
        <v>137</v>
      </c>
      <c r="D16" t="s">
        <v>284</v>
      </c>
      <c r="E16" t="s">
        <v>44</v>
      </c>
      <c r="F16" t="n">
        <v>9.04181151323584</v>
      </c>
      <c r="G16" t="n">
        <v>0.258450514862751</v>
      </c>
      <c r="H16" t="n">
        <v>2.45482687287861</v>
      </c>
      <c r="I16" t="n">
        <v>2.29835938271492</v>
      </c>
      <c r="J16" t="n">
        <v>-3.07449349593121</v>
      </c>
      <c r="K16" t="n">
        <v>5.46380553466363</v>
      </c>
      <c r="L16" t="n">
        <v>-2.30109383748811</v>
      </c>
      <c r="M16" t="n">
        <v>0.240737184763695</v>
      </c>
      <c r="N16" t="n">
        <v>15.6424538893431</v>
      </c>
      <c r="O16" t="n">
        <v>8.38950798190332</v>
      </c>
      <c r="P16" t="n">
        <v>3.79907384424722</v>
      </c>
      <c r="Q16" t="n">
        <v>4.15471858140926</v>
      </c>
      <c r="R16" t="n">
        <v>7.06836856164888</v>
      </c>
      <c r="S16" t="n">
        <v>3.13552864590552</v>
      </c>
      <c r="T16" t="n">
        <v>-6.75148636226197</v>
      </c>
      <c r="U16" t="n">
        <v>10.4955322206935</v>
      </c>
      <c r="V16" t="n">
        <v>3.82539914976707</v>
      </c>
      <c r="W16" t="n">
        <v>3.57156133235055</v>
      </c>
      <c r="X16" t="n">
        <v>2.92950819019424</v>
      </c>
      <c r="Y16" t="n">
        <v>11.6618842850721</v>
      </c>
      <c r="Z16" t="n">
        <v>-1.51243221543478</v>
      </c>
      <c r="AA16" t="n">
        <v>1.52573903143765</v>
      </c>
      <c r="AB16" t="n">
        <v>13.5928911743191</v>
      </c>
      <c r="AC16" t="n">
        <v>7.92792427075284</v>
      </c>
      <c r="AD16" t="n">
        <v>-0.94081396906116</v>
      </c>
      <c r="AE16" t="n">
        <v>-2.93046144477742</v>
      </c>
      <c r="AF16" t="n">
        <v>2.13446162632493</v>
      </c>
    </row>
    <row r="17">
      <c r="A17" t="s">
        <v>138</v>
      </c>
      <c r="B17" t="s">
        <v>283</v>
      </c>
      <c r="C17" t="s">
        <v>139</v>
      </c>
      <c r="D17" t="s">
        <v>284</v>
      </c>
      <c r="E17" t="s">
        <v>44</v>
      </c>
      <c r="F17" t="n">
        <v>6.64290478123668</v>
      </c>
      <c r="G17" t="n">
        <v>2.45357436411027</v>
      </c>
      <c r="H17" t="n">
        <v>3.18498038971793</v>
      </c>
      <c r="I17" t="n">
        <v>-1.18702709146472</v>
      </c>
      <c r="J17" t="n">
        <v>-0.865530663985403</v>
      </c>
      <c r="K17" t="n">
        <v>2.76747636560426</v>
      </c>
      <c r="L17" t="n">
        <v>-2.33035682758143</v>
      </c>
      <c r="M17" t="n">
        <v>-5.06925361194721</v>
      </c>
      <c r="N17" t="n">
        <v>9.99584755263463</v>
      </c>
      <c r="O17" t="n">
        <v>9.43745892260921</v>
      </c>
      <c r="P17" t="n">
        <v>6.93255966222868</v>
      </c>
      <c r="Q17" t="n">
        <v>2.89934387871771</v>
      </c>
      <c r="R17" t="n">
        <v>3.01499717804497</v>
      </c>
      <c r="S17" t="n">
        <v>3.75477617043494</v>
      </c>
      <c r="T17" t="n">
        <v>-17.0281991453272</v>
      </c>
      <c r="U17" t="n">
        <v>9.15022125250537</v>
      </c>
      <c r="V17" t="n">
        <v>10.1637775840825</v>
      </c>
      <c r="W17" t="n">
        <v>-1.92794075546772</v>
      </c>
      <c r="X17" t="n">
        <v>-1.19707923522441</v>
      </c>
      <c r="Y17" t="n">
        <v>1.38037158525215</v>
      </c>
      <c r="Z17" t="n">
        <v>5.21530271222144</v>
      </c>
      <c r="AA17" t="n">
        <v>-2.70932984671539</v>
      </c>
      <c r="AB17" t="n">
        <v>5.97939618547993</v>
      </c>
      <c r="AC17" t="n">
        <v>5.71475311003997</v>
      </c>
      <c r="AD17" t="n">
        <v>-0.693888986815772</v>
      </c>
      <c r="AE17" t="n">
        <v>-4.41014727423141</v>
      </c>
      <c r="AF17" t="n">
        <v>10.9127502382522</v>
      </c>
    </row>
    <row r="18">
      <c r="A18" t="s">
        <v>140</v>
      </c>
      <c r="B18" t="s">
        <v>283</v>
      </c>
      <c r="C18" t="s">
        <v>141</v>
      </c>
      <c r="D18" t="s">
        <v>284</v>
      </c>
      <c r="E18" t="s">
        <v>44</v>
      </c>
      <c r="F18" t="n">
        <v>6.87298245069705</v>
      </c>
      <c r="G18" t="n">
        <v>-1.51443003139633</v>
      </c>
      <c r="H18" t="n">
        <v>-6.5189863615899</v>
      </c>
      <c r="I18" t="n">
        <v>7.88559026228395</v>
      </c>
      <c r="J18" t="n">
        <v>6.15198229158498</v>
      </c>
      <c r="K18" t="n">
        <v>3.96864471118654</v>
      </c>
      <c r="L18" t="n">
        <v>2.22561359425875</v>
      </c>
      <c r="M18" t="n">
        <v>11.3313577508297</v>
      </c>
      <c r="N18" t="n">
        <v>-3.74697736323188</v>
      </c>
      <c r="O18" t="n">
        <v>5.1811063608957</v>
      </c>
      <c r="P18" t="n">
        <v>8.56018550348985</v>
      </c>
      <c r="Q18" t="n">
        <v>-1.32623893693609</v>
      </c>
      <c r="R18" t="n">
        <v>6.06980835026079</v>
      </c>
      <c r="S18" t="n">
        <v>4.62368497805024</v>
      </c>
      <c r="T18" t="n">
        <v>-11.6870186735282</v>
      </c>
      <c r="U18" t="n">
        <v>14.2739070042046</v>
      </c>
      <c r="V18" t="n">
        <v>-10.8254013650566</v>
      </c>
      <c r="W18" t="n">
        <v>7.75212185234206</v>
      </c>
      <c r="X18" t="n">
        <v>-13.0541387920511</v>
      </c>
      <c r="Y18" t="n">
        <v>-0.948915181741583</v>
      </c>
      <c r="Z18" t="n">
        <v>-4.21096743023419</v>
      </c>
      <c r="AA18" t="n">
        <v>-2.84621626660719</v>
      </c>
      <c r="AB18" t="n">
        <v>4.00049438654388</v>
      </c>
      <c r="AC18" t="n">
        <v>2.697070949921</v>
      </c>
      <c r="AD18" t="n">
        <v>0.0776814212727572</v>
      </c>
      <c r="AE18" t="n">
        <v>-1.69385567724696</v>
      </c>
      <c r="AF18" t="n">
        <v>1.90685108720654</v>
      </c>
    </row>
    <row r="19">
      <c r="A19" t="s">
        <v>142</v>
      </c>
      <c r="B19" t="s">
        <v>283</v>
      </c>
      <c r="C19" t="s">
        <v>143</v>
      </c>
      <c r="D19" t="s">
        <v>284</v>
      </c>
      <c r="E19" t="s">
        <v>44</v>
      </c>
      <c r="F19" t="n">
        <v>-0.836576695119717</v>
      </c>
      <c r="G19" t="n">
        <v>7.60178034569918</v>
      </c>
      <c r="H19" t="n">
        <v>14.1871701790329</v>
      </c>
      <c r="I19" t="n">
        <v>6.23586771681861</v>
      </c>
      <c r="J19" t="n">
        <v>8.80159071852127</v>
      </c>
      <c r="K19" t="n">
        <v>8.85735726373102</v>
      </c>
      <c r="L19" t="n">
        <v>0.401346254087009</v>
      </c>
      <c r="M19" t="n">
        <v>10.4412743630649</v>
      </c>
      <c r="N19" t="n">
        <v>4.01408491781776</v>
      </c>
      <c r="O19" t="n">
        <v>6.62328567877637</v>
      </c>
      <c r="P19" t="n">
        <v>7.51406158285732</v>
      </c>
      <c r="Q19" t="n">
        <v>-6.32262199082163</v>
      </c>
      <c r="R19" t="n">
        <v>0.798572216988269</v>
      </c>
      <c r="S19" t="n">
        <v>2.87470435255397</v>
      </c>
      <c r="T19" t="n">
        <v>-18.9227203136829</v>
      </c>
      <c r="U19" t="n">
        <v>7.54118455314181</v>
      </c>
      <c r="V19" t="n">
        <v>2.06284654059719</v>
      </c>
      <c r="W19" t="n">
        <v>-2.52894981583314</v>
      </c>
      <c r="X19" t="n">
        <v>10.0516274184928</v>
      </c>
      <c r="Y19" t="n">
        <v>7.30860552920625</v>
      </c>
      <c r="Z19" t="n">
        <v>3.12188636139616</v>
      </c>
      <c r="AA19" t="n">
        <v>-11.5947978621875</v>
      </c>
      <c r="AB19" t="n">
        <v>10.8218454205449</v>
      </c>
      <c r="AC19" t="n">
        <v>8.72756210429628</v>
      </c>
      <c r="AD19" t="n">
        <v>4.14507461300317</v>
      </c>
      <c r="AE19" t="n">
        <v>6.26399174014534</v>
      </c>
      <c r="AF19" t="n">
        <v>21.0923158520782</v>
      </c>
    </row>
    <row r="20">
      <c r="A20" t="s">
        <v>144</v>
      </c>
      <c r="B20" t="s">
        <v>283</v>
      </c>
      <c r="C20" t="s">
        <v>145</v>
      </c>
      <c r="D20" t="s">
        <v>284</v>
      </c>
      <c r="E20" t="s">
        <v>44</v>
      </c>
      <c r="F20" t="n">
        <v>-3.32354149217036</v>
      </c>
      <c r="G20" t="n">
        <v>20.8656425152535</v>
      </c>
      <c r="H20" t="n">
        <v>11.0790280750328</v>
      </c>
      <c r="I20" t="n">
        <v>1.64002803888028</v>
      </c>
      <c r="J20" t="n">
        <v>2.85595243063526</v>
      </c>
      <c r="K20" t="n">
        <v>7.60697545360198</v>
      </c>
      <c r="L20" t="n">
        <v>5.54405714675532</v>
      </c>
      <c r="M20" t="n">
        <v>1.67441443857115</v>
      </c>
      <c r="N20" t="n">
        <v>6.25649320254649</v>
      </c>
      <c r="O20" t="n">
        <v>3.71347025748214</v>
      </c>
      <c r="P20" t="n">
        <v>-2.97371720675805</v>
      </c>
      <c r="Q20" t="n">
        <v>-4.16765203196743</v>
      </c>
      <c r="R20" t="n">
        <v>2.97727317210636</v>
      </c>
      <c r="S20" t="n">
        <v>8.73110532875465</v>
      </c>
      <c r="T20" t="n">
        <v>-47.2921289865043</v>
      </c>
      <c r="U20" t="n">
        <v>16.4580542718396</v>
      </c>
      <c r="V20" t="n">
        <v>-16.641309445116</v>
      </c>
      <c r="W20" t="n">
        <v>-36.7135037117023</v>
      </c>
      <c r="X20" t="n">
        <v>24.6495891484157</v>
      </c>
      <c r="Y20" t="n">
        <v>13.1355962659725</v>
      </c>
      <c r="Z20" t="n">
        <v>-5.61131954447909</v>
      </c>
      <c r="AA20" t="n">
        <v>-5.16884816360275</v>
      </c>
      <c r="AB20" t="n">
        <v>18.6735505696244</v>
      </c>
      <c r="AC20" t="n">
        <v>1.28840667857357</v>
      </c>
      <c r="AD20" t="n">
        <v>1.00347792680235</v>
      </c>
      <c r="AE20" t="n">
        <v>-21.800457800741</v>
      </c>
      <c r="AF20" t="n">
        <v>-11.4699705858159</v>
      </c>
    </row>
    <row r="21">
      <c r="A21" t="s">
        <v>146</v>
      </c>
      <c r="B21" t="s">
        <v>283</v>
      </c>
      <c r="C21" t="s">
        <v>147</v>
      </c>
      <c r="D21" t="s">
        <v>284</v>
      </c>
      <c r="E21" t="s">
        <v>44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283</v>
      </c>
      <c r="C22" t="s">
        <v>149</v>
      </c>
      <c r="D22" t="s">
        <v>284</v>
      </c>
      <c r="E22" t="s">
        <v>44</v>
      </c>
      <c r="F22" t="n">
        <v>-3.45846481422356</v>
      </c>
      <c r="G22" t="n">
        <v>7.74539259834164</v>
      </c>
      <c r="H22" t="n">
        <v>0.623477145917661</v>
      </c>
      <c r="I22" t="n">
        <v>-2.21949505213193</v>
      </c>
      <c r="J22" t="n">
        <v>1.07953047315057</v>
      </c>
      <c r="K22" t="n">
        <v>-1.14822812289272</v>
      </c>
      <c r="L22" t="n">
        <v>0.991838422239866</v>
      </c>
      <c r="M22" t="n">
        <v>-1.83199285494027</v>
      </c>
      <c r="N22" t="n">
        <v>-0.553528769976808</v>
      </c>
      <c r="O22" t="n">
        <v>-3.14167354983379</v>
      </c>
      <c r="P22" t="n">
        <v>-5.96107085404398</v>
      </c>
      <c r="Q22" t="n">
        <v>-3.34761310984195</v>
      </c>
      <c r="R22" t="n">
        <v>5.69428917352468</v>
      </c>
      <c r="S22" t="n">
        <v>-2.83236708194074</v>
      </c>
      <c r="T22" t="n">
        <v>-5.85748550961558</v>
      </c>
      <c r="U22" t="n">
        <v>-4.23134353202173</v>
      </c>
      <c r="V22" t="n">
        <v>3.70683741371014</v>
      </c>
      <c r="W22" t="n">
        <v>-0.362731231127533</v>
      </c>
      <c r="X22" t="n">
        <v>4.37028621831654</v>
      </c>
      <c r="Y22" t="n">
        <v>3.9116663487226</v>
      </c>
      <c r="Z22" t="n">
        <v>0.589122205395043</v>
      </c>
      <c r="AA22" t="n">
        <v>-0.77289256771671</v>
      </c>
      <c r="AB22" t="n">
        <v>7.56142406318805</v>
      </c>
      <c r="AC22" t="n">
        <v>2.38066609900827</v>
      </c>
      <c r="AD22" t="n">
        <v>1.95043859299773</v>
      </c>
      <c r="AE22" t="n">
        <v>0.529207620519578</v>
      </c>
      <c r="AF22" t="n">
        <v>0.63081638282636</v>
      </c>
    </row>
    <row r="23">
      <c r="A23" t="s">
        <v>150</v>
      </c>
      <c r="B23" t="s">
        <v>283</v>
      </c>
      <c r="C23" t="s">
        <v>151</v>
      </c>
      <c r="D23" t="s">
        <v>284</v>
      </c>
      <c r="E23" t="s">
        <v>44</v>
      </c>
      <c r="F23" t="n">
        <v>-3.84869698954518</v>
      </c>
      <c r="G23" t="n">
        <v>1.75428620538085</v>
      </c>
      <c r="H23" t="n">
        <v>-7.45355709875106</v>
      </c>
      <c r="I23" t="n">
        <v>1.3790491949397</v>
      </c>
      <c r="J23" t="n">
        <v>-0.39367124020302</v>
      </c>
      <c r="K23" t="n">
        <v>-5.29097634896196</v>
      </c>
      <c r="L23" t="n">
        <v>2.47812976842461</v>
      </c>
      <c r="M23" t="n">
        <v>-2.07475447703338</v>
      </c>
      <c r="N23" t="n">
        <v>-3.66575306464938</v>
      </c>
      <c r="O23" t="n">
        <v>-6.27496108887904</v>
      </c>
      <c r="P23" t="n">
        <v>2.12360497625994</v>
      </c>
      <c r="Q23" t="n">
        <v>0.615733208885061</v>
      </c>
      <c r="R23" t="n">
        <v>-7.76032363367243</v>
      </c>
      <c r="S23" t="n">
        <v>-4.18904276175134</v>
      </c>
      <c r="T23" t="n">
        <v>5.22980609148078</v>
      </c>
      <c r="U23" t="n">
        <v>-2.42819626963957</v>
      </c>
      <c r="V23" t="n">
        <v>0.361595551335014</v>
      </c>
      <c r="W23" t="n">
        <v>-0.923080045120983</v>
      </c>
      <c r="X23" t="n">
        <v>9.7937790792173</v>
      </c>
      <c r="Y23" t="n">
        <v>-0.413133044438041</v>
      </c>
      <c r="Z23" t="n">
        <v>4.64948622367949</v>
      </c>
      <c r="AA23" t="n">
        <v>6.47236594252085</v>
      </c>
      <c r="AB23" t="n">
        <v>0.675721350850367</v>
      </c>
      <c r="AC23" t="n">
        <v>1.15376202562736</v>
      </c>
      <c r="AD23" t="n">
        <v>1.0041906515788</v>
      </c>
      <c r="AE23" t="n">
        <v>3.50597536284472</v>
      </c>
      <c r="AF23" t="n">
        <v>-1.85372700595021</v>
      </c>
    </row>
    <row r="24">
      <c r="A24" t="s">
        <v>152</v>
      </c>
      <c r="B24" t="s">
        <v>283</v>
      </c>
      <c r="C24" t="s">
        <v>153</v>
      </c>
      <c r="D24" t="s">
        <v>284</v>
      </c>
      <c r="E24" t="s">
        <v>44</v>
      </c>
      <c r="F24" t="n">
        <v>4.96957835179082</v>
      </c>
      <c r="G24" t="n">
        <v>2.44233950356474</v>
      </c>
      <c r="H24" t="n">
        <v>4.04184406313561</v>
      </c>
      <c r="I24" t="n">
        <v>-2.33988363227411</v>
      </c>
      <c r="J24" t="n">
        <v>-0.332061591630506</v>
      </c>
      <c r="K24" t="n">
        <v>-0.460132128842261</v>
      </c>
      <c r="L24" t="n">
        <v>5.12791314793155</v>
      </c>
      <c r="M24" t="n">
        <v>4.9078533097564</v>
      </c>
      <c r="N24" t="n">
        <v>1.13585859820304</v>
      </c>
      <c r="O24" t="n">
        <v>3.03076592018314</v>
      </c>
      <c r="P24" t="n">
        <v>2.33856951368949</v>
      </c>
      <c r="Q24" t="n">
        <v>-3.80946856125064</v>
      </c>
      <c r="R24" t="n">
        <v>-1.9826912467547</v>
      </c>
      <c r="S24" t="n">
        <v>-0.149817921629847</v>
      </c>
      <c r="T24" t="n">
        <v>-1.84585909562607</v>
      </c>
      <c r="U24" t="n">
        <v>1.18156370864355</v>
      </c>
      <c r="V24" t="n">
        <v>1.97054109917865</v>
      </c>
      <c r="W24" t="n">
        <v>4.85764112979581</v>
      </c>
      <c r="X24" t="n">
        <v>2.87266095214243</v>
      </c>
      <c r="Y24" t="n">
        <v>-3.0001968676796</v>
      </c>
      <c r="Z24" t="n">
        <v>-0.453213817783293</v>
      </c>
      <c r="AA24" t="n">
        <v>-1.94838136588196</v>
      </c>
      <c r="AB24" t="n">
        <v>2.84509620862181</v>
      </c>
      <c r="AC24" t="n">
        <v>-0.0311844646983417</v>
      </c>
      <c r="AD24" t="n">
        <v>-0.421705654831683</v>
      </c>
      <c r="AE24" t="n">
        <v>1.8016294396233</v>
      </c>
      <c r="AF24" t="n">
        <v>4.9564037535152</v>
      </c>
    </row>
    <row r="25">
      <c r="A25" t="s">
        <v>154</v>
      </c>
      <c r="B25" t="s">
        <v>283</v>
      </c>
      <c r="C25" t="s">
        <v>155</v>
      </c>
      <c r="D25" t="s">
        <v>284</v>
      </c>
      <c r="E25" t="s">
        <v>44</v>
      </c>
      <c r="F25" t="n">
        <v>3.52624092260889</v>
      </c>
      <c r="G25" t="n">
        <v>9.64310284256218</v>
      </c>
      <c r="H25" t="n">
        <v>3.39726815260963</v>
      </c>
      <c r="I25" t="n">
        <v>1.97317058261746</v>
      </c>
      <c r="J25" t="n">
        <v>10.137761104666</v>
      </c>
      <c r="K25" t="n">
        <v>8.45012481596505</v>
      </c>
      <c r="L25" t="n">
        <v>-12.0275554089957</v>
      </c>
      <c r="M25" t="n">
        <v>-0.800517309947146</v>
      </c>
      <c r="N25" t="n">
        <v>-3.00844756940144</v>
      </c>
      <c r="O25" t="n">
        <v>0.710584034209205</v>
      </c>
      <c r="P25" t="n">
        <v>-20.6495753860416</v>
      </c>
      <c r="Q25" t="n">
        <v>-12.7972832681456</v>
      </c>
      <c r="R25" t="n">
        <v>-7.83808732545399</v>
      </c>
      <c r="S25" t="n">
        <v>-13.3606316403418</v>
      </c>
      <c r="T25" t="n">
        <v>-24.9655802727517</v>
      </c>
      <c r="U25" t="n">
        <v>-8.16357074642298</v>
      </c>
      <c r="V25" t="n">
        <v>-26.1455467118733</v>
      </c>
      <c r="W25" t="n">
        <v>7.31843082512853</v>
      </c>
      <c r="X25" t="n">
        <v>9.61787681665278</v>
      </c>
      <c r="Y25" t="n">
        <v>13.415119952295</v>
      </c>
      <c r="Z25" t="n">
        <v>7.12677564466606</v>
      </c>
      <c r="AA25" t="n">
        <v>1.58988429599365</v>
      </c>
      <c r="AB25" t="n">
        <v>7.55539843403241</v>
      </c>
      <c r="AC25" t="n">
        <v>-1.28188953988584</v>
      </c>
      <c r="AD25" t="n">
        <v>0.22682312532396</v>
      </c>
      <c r="AE25" t="n">
        <v>4.08854801356888</v>
      </c>
      <c r="AF25" t="n">
        <v>-4.20072096420743</v>
      </c>
    </row>
    <row r="26">
      <c r="A26" t="s">
        <v>156</v>
      </c>
      <c r="B26" t="s">
        <v>283</v>
      </c>
      <c r="C26" t="s">
        <v>157</v>
      </c>
      <c r="D26" t="s">
        <v>284</v>
      </c>
      <c r="E26" t="s">
        <v>44</v>
      </c>
      <c r="F26" t="n">
        <v>5.66203995525392</v>
      </c>
      <c r="G26" t="n">
        <v>3.97443851660349</v>
      </c>
      <c r="H26" t="n">
        <v>7.53781431095675</v>
      </c>
      <c r="I26" t="n">
        <v>1.43030808206124</v>
      </c>
      <c r="J26" t="n">
        <v>1.5495461259535</v>
      </c>
      <c r="K26" t="n">
        <v>1.06320540431977</v>
      </c>
      <c r="L26" t="n">
        <v>5.45732694381922</v>
      </c>
      <c r="M26" t="n">
        <v>6.37547850573448</v>
      </c>
      <c r="N26" t="n">
        <v>1.03489657079727</v>
      </c>
      <c r="O26" t="n">
        <v>7.4596427691386</v>
      </c>
      <c r="P26" t="n">
        <v>7.65989124977171</v>
      </c>
      <c r="Q26" t="n">
        <v>-3.92341812796193</v>
      </c>
      <c r="R26" t="n">
        <v>-5.80818728534869</v>
      </c>
      <c r="S26" t="n">
        <v>-0.929413085487596</v>
      </c>
      <c r="T26" t="n">
        <v>-7.02316496472513</v>
      </c>
      <c r="U26" t="n">
        <v>2.6505894340227</v>
      </c>
      <c r="V26" t="n">
        <v>2.61706306719898</v>
      </c>
      <c r="W26" t="n">
        <v>1.81163356800553</v>
      </c>
      <c r="X26" t="n">
        <v>-1.01713687509974</v>
      </c>
      <c r="Y26" t="n">
        <v>-9.18021817291272</v>
      </c>
      <c r="Z26" t="n">
        <v>-4.33814946839668</v>
      </c>
      <c r="AA26" t="n">
        <v>-1.81576555208363</v>
      </c>
      <c r="AB26" t="n">
        <v>4.38728010667315</v>
      </c>
      <c r="AC26" t="n">
        <v>-0.107358008003189</v>
      </c>
      <c r="AD26" t="n">
        <v>-2.58846311402312</v>
      </c>
      <c r="AE26" t="n">
        <v>-3.28384130202579</v>
      </c>
      <c r="AF26" t="n">
        <v>9.5701718263161</v>
      </c>
    </row>
    <row r="27">
      <c r="A27" t="s">
        <v>158</v>
      </c>
      <c r="B27" t="s">
        <v>283</v>
      </c>
      <c r="C27" t="s">
        <v>159</v>
      </c>
      <c r="D27" t="s">
        <v>284</v>
      </c>
      <c r="E27" t="s">
        <v>44</v>
      </c>
      <c r="F27" t="n">
        <v>4.37025831475388</v>
      </c>
      <c r="G27" t="n">
        <v>0.0825519908389083</v>
      </c>
      <c r="H27" t="n">
        <v>-1.36518635962091</v>
      </c>
      <c r="I27" t="n">
        <v>-7.36305278504474</v>
      </c>
      <c r="J27" t="n">
        <v>-2.93228057154309</v>
      </c>
      <c r="K27" t="n">
        <v>-0.983678231703777</v>
      </c>
      <c r="L27" t="n">
        <v>8.24626187243638</v>
      </c>
      <c r="M27" t="n">
        <v>6.09821092506664</v>
      </c>
      <c r="N27" t="n">
        <v>2.43676518858962</v>
      </c>
      <c r="O27" t="n">
        <v>-2.66641189047228</v>
      </c>
      <c r="P27" t="n">
        <v>-4.67237309653719</v>
      </c>
      <c r="Q27" t="n">
        <v>-2.9592267670278</v>
      </c>
      <c r="R27" t="n">
        <v>4.17456083647707</v>
      </c>
      <c r="S27" t="n">
        <v>1.90860036785416</v>
      </c>
      <c r="T27" t="n">
        <v>9.10816451656409</v>
      </c>
      <c r="U27" t="n">
        <v>0.638363208445725</v>
      </c>
      <c r="V27" t="n">
        <v>1.34097627165595</v>
      </c>
      <c r="W27" t="n">
        <v>10.4477412222888</v>
      </c>
      <c r="X27" t="n">
        <v>7.93432207699922</v>
      </c>
      <c r="Y27" t="n">
        <v>3.61097382943427</v>
      </c>
      <c r="Z27" t="n">
        <v>2.67921697938931</v>
      </c>
      <c r="AA27" t="n">
        <v>-2.67800259067918</v>
      </c>
      <c r="AB27" t="n">
        <v>0.144349706460289</v>
      </c>
      <c r="AC27" t="n">
        <v>-0.55569965464386</v>
      </c>
      <c r="AD27" t="n">
        <v>2.88450640579327</v>
      </c>
      <c r="AE27" t="n">
        <v>5.17379330037393</v>
      </c>
      <c r="AF27" t="n">
        <v>1.10872526643036</v>
      </c>
    </row>
    <row r="28">
      <c r="A28" t="s">
        <v>160</v>
      </c>
      <c r="B28" t="s">
        <v>283</v>
      </c>
      <c r="C28" t="s">
        <v>161</v>
      </c>
      <c r="D28" t="s">
        <v>284</v>
      </c>
      <c r="E28" t="s">
        <v>44</v>
      </c>
      <c r="F28" t="n">
        <v>1.35712801925187</v>
      </c>
      <c r="G28" t="n">
        <v>-6.89567218127003</v>
      </c>
      <c r="H28" t="n">
        <v>2.1474988355779</v>
      </c>
      <c r="I28" t="n">
        <v>-2.96622805388029</v>
      </c>
      <c r="J28" t="n">
        <v>-1.39500027579018</v>
      </c>
      <c r="K28" t="n">
        <v>-0.453463228352291</v>
      </c>
      <c r="L28" t="n">
        <v>3.87706774925878</v>
      </c>
      <c r="M28" t="n">
        <v>2.55988227719808</v>
      </c>
      <c r="N28" t="n">
        <v>2.01197394693526</v>
      </c>
      <c r="O28" t="n">
        <v>5.01191896815936</v>
      </c>
      <c r="P28" t="n">
        <v>2.5462701448232</v>
      </c>
      <c r="Q28" t="n">
        <v>1.64781886475591</v>
      </c>
      <c r="R28" t="n">
        <v>2.40586527129256</v>
      </c>
      <c r="S28" t="n">
        <v>1.15312340042539</v>
      </c>
      <c r="T28" t="n">
        <v>-12.0807839712947</v>
      </c>
      <c r="U28" t="n">
        <v>1.5653152099901</v>
      </c>
      <c r="V28" t="n">
        <v>-0.153621078047372</v>
      </c>
      <c r="W28" t="n">
        <v>1.43214486447914</v>
      </c>
      <c r="X28" t="n">
        <v>0.199458738502933</v>
      </c>
      <c r="Y28" t="n">
        <v>0.875717456588454</v>
      </c>
      <c r="Z28" t="n">
        <v>-0.195991912066518</v>
      </c>
      <c r="AA28" t="n">
        <v>-0.200526006544521</v>
      </c>
      <c r="AB28" t="n">
        <v>1.30953665659685</v>
      </c>
      <c r="AC28" t="n">
        <v>0.699022501862245</v>
      </c>
      <c r="AD28" t="n">
        <v>0.614463093696926</v>
      </c>
      <c r="AE28" t="n">
        <v>-26.971075265527</v>
      </c>
      <c r="AF28" t="n">
        <v>0.0981769225351314</v>
      </c>
    </row>
    <row r="29">
      <c r="A29" t="s">
        <v>162</v>
      </c>
      <c r="B29" t="s">
        <v>283</v>
      </c>
      <c r="C29" t="s">
        <v>163</v>
      </c>
      <c r="D29" t="s">
        <v>284</v>
      </c>
      <c r="E29" t="s">
        <v>44</v>
      </c>
      <c r="F29" t="n">
        <v>-0.870615738774738</v>
      </c>
      <c r="G29" t="n">
        <v>-9.16348240579143</v>
      </c>
      <c r="H29" t="n">
        <v>2.16096283213183</v>
      </c>
      <c r="I29" t="n">
        <v>-2.90264979743888</v>
      </c>
      <c r="J29" t="n">
        <v>-0.0207797460205939</v>
      </c>
      <c r="K29" t="n">
        <v>1.48621775307589</v>
      </c>
      <c r="L29" t="n">
        <v>6.00240727591963</v>
      </c>
      <c r="M29" t="n">
        <v>3.15369452698313</v>
      </c>
      <c r="N29" t="n">
        <v>2.30448185155634</v>
      </c>
      <c r="O29" t="n">
        <v>3.47985697015698</v>
      </c>
      <c r="P29" t="n">
        <v>3.20084396368685</v>
      </c>
      <c r="Q29" t="n">
        <v>2.12929466646123</v>
      </c>
      <c r="R29" t="n">
        <v>3.03847239802266</v>
      </c>
      <c r="S29" t="n">
        <v>1.7792258546308</v>
      </c>
      <c r="T29" t="n">
        <v>-9.91177446209814</v>
      </c>
      <c r="U29" t="n">
        <v>0.881233511406698</v>
      </c>
      <c r="V29" t="n">
        <v>-0.490276129832345</v>
      </c>
      <c r="W29" t="n">
        <v>1.51875701305926</v>
      </c>
      <c r="X29" t="n">
        <v>0.150670064802405</v>
      </c>
      <c r="Y29" t="n">
        <v>1.87760673828308</v>
      </c>
      <c r="Z29" t="n">
        <v>-0.475383155286124</v>
      </c>
      <c r="AA29" t="n">
        <v>-0.836711968829995</v>
      </c>
      <c r="AB29" t="n">
        <v>1.55230575306238</v>
      </c>
      <c r="AC29" t="n">
        <v>3.07698225956958</v>
      </c>
      <c r="AD29" t="n">
        <v>2.12299094030879</v>
      </c>
      <c r="AE29" t="n">
        <v>-25.3177200019429</v>
      </c>
      <c r="AF29" t="n">
        <v>4.17340814116756</v>
      </c>
    </row>
    <row r="30">
      <c r="A30" t="s">
        <v>164</v>
      </c>
      <c r="B30" t="s">
        <v>283</v>
      </c>
      <c r="C30" t="s">
        <v>165</v>
      </c>
      <c r="D30" t="s">
        <v>284</v>
      </c>
      <c r="E30" t="s">
        <v>44</v>
      </c>
      <c r="F30" t="n">
        <v>13.075885135275</v>
      </c>
      <c r="G30" t="n">
        <v>-22.3318764508075</v>
      </c>
      <c r="H30" t="n">
        <v>15.826707075851</v>
      </c>
      <c r="I30" t="n">
        <v>11.4266231203667</v>
      </c>
      <c r="J30" t="n">
        <v>-0.882971345467354</v>
      </c>
      <c r="K30" t="n">
        <v>-8.48855621536995</v>
      </c>
      <c r="L30" t="n">
        <v>-1.30392472089156</v>
      </c>
      <c r="M30" t="n">
        <v>3.8333596338946</v>
      </c>
      <c r="N30" t="n">
        <v>10.4753441768029</v>
      </c>
      <c r="O30" t="n">
        <v>12.3539236250197</v>
      </c>
      <c r="P30" t="n">
        <v>-6.65524212719415</v>
      </c>
      <c r="Q30" t="n">
        <v>-1.33435669596391</v>
      </c>
      <c r="R30" t="n">
        <v>8.19622979267702</v>
      </c>
      <c r="S30" t="n">
        <v>2.48922506034557</v>
      </c>
      <c r="T30" t="n">
        <v>-14.6569350908486</v>
      </c>
      <c r="U30" t="n">
        <v>7.85145076539973</v>
      </c>
      <c r="V30" t="n">
        <v>-1.99306982154219</v>
      </c>
      <c r="W30" t="n">
        <v>-11.4905924714712</v>
      </c>
      <c r="X30" t="n">
        <v>-28.6145574124445</v>
      </c>
      <c r="Y30" t="n">
        <v>-4.78024292088666</v>
      </c>
      <c r="Z30" t="n">
        <v>2.90332432976506</v>
      </c>
      <c r="AA30" t="n">
        <v>18.3539802964065</v>
      </c>
      <c r="AB30" t="n">
        <v>-4.02382726494999</v>
      </c>
      <c r="AC30" t="n">
        <v>-31.2511612046238</v>
      </c>
      <c r="AD30" t="n">
        <v>-9.1872535441281</v>
      </c>
      <c r="AE30" t="n">
        <v>1.86958258515251</v>
      </c>
      <c r="AF30" t="n">
        <v>0.87035881470019</v>
      </c>
    </row>
    <row r="31">
      <c r="A31" t="s">
        <v>166</v>
      </c>
      <c r="B31" t="s">
        <v>283</v>
      </c>
      <c r="C31" t="s">
        <v>167</v>
      </c>
      <c r="D31" t="s">
        <v>284</v>
      </c>
      <c r="E31" t="s">
        <v>44</v>
      </c>
      <c r="F31" t="n">
        <v>11.1018733840036</v>
      </c>
      <c r="G31" t="n">
        <v>8.89906610227857</v>
      </c>
      <c r="H31" t="n">
        <v>9.6151058025292</v>
      </c>
      <c r="I31" t="n">
        <v>-0.56237293655812</v>
      </c>
      <c r="J31" t="n">
        <v>5.84115735800044</v>
      </c>
      <c r="K31" t="n">
        <v>4.25701552072191</v>
      </c>
      <c r="L31" t="n">
        <v>-12.9248601620876</v>
      </c>
      <c r="M31" t="n">
        <v>-2.96075818667987</v>
      </c>
      <c r="N31" t="n">
        <v>-10.2359259429042</v>
      </c>
      <c r="O31" t="n">
        <v>7.91423299015399</v>
      </c>
      <c r="P31" t="n">
        <v>-1.8726270531948</v>
      </c>
      <c r="Q31" t="n">
        <v>5.85841455570097</v>
      </c>
      <c r="R31" t="n">
        <v>-8.27547152103971</v>
      </c>
      <c r="S31" t="n">
        <v>-22.2428121097112</v>
      </c>
      <c r="T31" t="n">
        <v>-45.4335602637688</v>
      </c>
      <c r="U31" t="n">
        <v>7.8939282828733</v>
      </c>
      <c r="V31" t="n">
        <v>-3.86763114582287</v>
      </c>
      <c r="W31" t="n">
        <v>-6.9747382222829</v>
      </c>
      <c r="X31" t="n">
        <v>26.0986162349122</v>
      </c>
      <c r="Y31" t="n">
        <v>8.95738413734559</v>
      </c>
      <c r="Z31" t="n">
        <v>-6.25000775188216</v>
      </c>
      <c r="AA31" t="n">
        <v>-2.62812105485981</v>
      </c>
      <c r="AB31" t="n">
        <v>1.73561764094323</v>
      </c>
      <c r="AC31" t="n">
        <v>-6.65792307800839</v>
      </c>
      <c r="AD31" t="n">
        <v>-5.26369505866508</v>
      </c>
      <c r="AE31" t="n">
        <v>-151.010002985216</v>
      </c>
      <c r="AF31" t="n">
        <v>-201.787945954733</v>
      </c>
    </row>
    <row r="32">
      <c r="A32" t="s">
        <v>168</v>
      </c>
      <c r="B32" t="s">
        <v>283</v>
      </c>
      <c r="C32" t="s">
        <v>169</v>
      </c>
      <c r="D32" t="s">
        <v>284</v>
      </c>
      <c r="E32" t="s">
        <v>44</v>
      </c>
      <c r="F32" t="n">
        <v>1.03603200789255</v>
      </c>
      <c r="G32" t="n">
        <v>14.5000182846564</v>
      </c>
      <c r="H32" t="n">
        <v>-11.3406490725096</v>
      </c>
      <c r="I32" t="n">
        <v>-21.3016166061667</v>
      </c>
      <c r="J32" t="n">
        <v>-19.3171235949245</v>
      </c>
      <c r="K32" t="n">
        <v>-23.1163850248732</v>
      </c>
      <c r="L32" t="n">
        <v>6.20239141049339</v>
      </c>
      <c r="M32" t="n">
        <v>9.81663705072542</v>
      </c>
      <c r="N32" t="n">
        <v>6.61659431387545</v>
      </c>
      <c r="O32" t="n">
        <v>28.1729397342078</v>
      </c>
      <c r="P32" t="n">
        <v>15.6866417086768</v>
      </c>
      <c r="Q32" t="n">
        <v>-1.17504078651969</v>
      </c>
      <c r="R32" t="n">
        <v>-2.8478616500184</v>
      </c>
      <c r="S32" t="n">
        <v>11.840449600639</v>
      </c>
      <c r="T32" t="n">
        <v>-16.5127864023688</v>
      </c>
      <c r="U32" t="n">
        <v>12.8183423015811</v>
      </c>
      <c r="V32" t="n">
        <v>2.2848092256794</v>
      </c>
      <c r="W32" t="n">
        <v>26.3948408203456</v>
      </c>
      <c r="X32" t="n">
        <v>8.24410299956302</v>
      </c>
      <c r="Y32" t="n">
        <v>3.94543929751663</v>
      </c>
      <c r="Z32" t="n">
        <v>9.27472392681707</v>
      </c>
      <c r="AA32" t="n">
        <v>-8.11004738746792</v>
      </c>
      <c r="AB32" t="n">
        <v>4.03546084288617</v>
      </c>
      <c r="AC32" t="n">
        <v>0.919881070095308</v>
      </c>
      <c r="AD32" t="n">
        <v>-7.76730689337484</v>
      </c>
      <c r="AE32" t="n">
        <v>-46.6092140648563</v>
      </c>
      <c r="AF32" t="n">
        <v>-10.8756225084573</v>
      </c>
    </row>
    <row r="33">
      <c r="A33" t="s">
        <v>170</v>
      </c>
      <c r="B33" t="s">
        <v>283</v>
      </c>
      <c r="C33" t="s">
        <v>171</v>
      </c>
      <c r="D33" t="s">
        <v>284</v>
      </c>
      <c r="E33" t="s">
        <v>44</v>
      </c>
      <c r="F33" t="n">
        <v>2.74813423465794</v>
      </c>
      <c r="G33" t="n">
        <v>4.08451717277103</v>
      </c>
      <c r="H33" t="n">
        <v>-2.61348777251449</v>
      </c>
      <c r="I33" t="n">
        <v>-3.65535520672378</v>
      </c>
      <c r="J33" t="n">
        <v>-2.89399016006158</v>
      </c>
      <c r="K33" t="n">
        <v>-2.77852937902665</v>
      </c>
      <c r="L33" t="n">
        <v>1.21645635244807</v>
      </c>
      <c r="M33" t="n">
        <v>-2.50482081771679</v>
      </c>
      <c r="N33" t="n">
        <v>-2.55278879372494</v>
      </c>
      <c r="O33" t="n">
        <v>1.1420171759509</v>
      </c>
      <c r="P33" t="n">
        <v>0.419786284239265</v>
      </c>
      <c r="Q33" t="n">
        <v>-2.24927930786443</v>
      </c>
      <c r="R33" t="n">
        <v>-3.11924653209896</v>
      </c>
      <c r="S33" t="n">
        <v>-2.02967323677203</v>
      </c>
      <c r="T33" t="n">
        <v>-3.20521706553514</v>
      </c>
      <c r="U33" t="n">
        <v>-11.5661906661167</v>
      </c>
      <c r="V33" t="n">
        <v>4.34528875996136</v>
      </c>
      <c r="W33" t="n">
        <v>-3.48088734036072</v>
      </c>
      <c r="X33" t="n">
        <v>-0.579423179063809</v>
      </c>
      <c r="Y33" t="n">
        <v>-5.8846152749437</v>
      </c>
      <c r="Z33" t="n">
        <v>-1.75114771118832</v>
      </c>
      <c r="AA33" t="n">
        <v>-2.01191355090327</v>
      </c>
      <c r="AB33" t="n">
        <v>0.388687883906336</v>
      </c>
      <c r="AC33" t="n">
        <v>5.03416832611432</v>
      </c>
      <c r="AD33" t="n">
        <v>5.67081614356262</v>
      </c>
      <c r="AE33" t="n">
        <v>3.60293815171442</v>
      </c>
      <c r="AF33" t="n">
        <v>-0.643422788865422</v>
      </c>
    </row>
    <row r="34">
      <c r="A34" t="s">
        <v>172</v>
      </c>
      <c r="B34" t="s">
        <v>283</v>
      </c>
      <c r="C34" t="s">
        <v>173</v>
      </c>
      <c r="D34" t="s">
        <v>284</v>
      </c>
      <c r="E34" t="s">
        <v>44</v>
      </c>
      <c r="F34" t="n">
        <v>-1.22926915577892</v>
      </c>
      <c r="G34" t="n">
        <v>0.331247556536418</v>
      </c>
      <c r="H34" t="n">
        <v>2.78940169154147</v>
      </c>
      <c r="I34" t="n">
        <v>0.269848564296993</v>
      </c>
      <c r="J34" t="n">
        <v>-2.67625478818427</v>
      </c>
      <c r="K34" t="n">
        <v>-4.38453957139693</v>
      </c>
      <c r="L34" t="n">
        <v>2.10566991359133</v>
      </c>
      <c r="M34" t="n">
        <v>-2.41155749804562</v>
      </c>
      <c r="N34" t="n">
        <v>-0.143679033639721</v>
      </c>
      <c r="O34" t="n">
        <v>-6.20220639803097</v>
      </c>
      <c r="P34" t="n">
        <v>-2.73120549666821</v>
      </c>
      <c r="Q34" t="n">
        <v>-0.0946454364248339</v>
      </c>
      <c r="R34" t="n">
        <v>2.86282939608586</v>
      </c>
      <c r="S34" t="n">
        <v>-3.43513863433476</v>
      </c>
      <c r="T34" t="n">
        <v>-7.20723370656557</v>
      </c>
      <c r="U34" t="n">
        <v>-2.28728224717898</v>
      </c>
      <c r="V34" t="n">
        <v>2.56229191689634</v>
      </c>
      <c r="W34" t="n">
        <v>-3.65768546803658</v>
      </c>
      <c r="X34" t="n">
        <v>6.24811253716508</v>
      </c>
      <c r="Y34" t="n">
        <v>2.7238442917854</v>
      </c>
      <c r="Z34" t="n">
        <v>-4.89733918122077</v>
      </c>
      <c r="AA34" t="n">
        <v>2.16598651174635</v>
      </c>
      <c r="AB34" t="n">
        <v>5.63905874707729</v>
      </c>
      <c r="AC34" t="n">
        <v>-0.742225457628187</v>
      </c>
      <c r="AD34" t="n">
        <v>-6.02828955665782</v>
      </c>
      <c r="AE34" t="n">
        <v>-29.4749644113839</v>
      </c>
      <c r="AF34" t="n">
        <v>-5.61613303072228</v>
      </c>
    </row>
    <row r="35">
      <c r="A35" t="s">
        <v>174</v>
      </c>
      <c r="B35" t="s">
        <v>283</v>
      </c>
      <c r="C35" t="s">
        <v>175</v>
      </c>
      <c r="D35" t="s">
        <v>284</v>
      </c>
      <c r="E35" t="s">
        <v>44</v>
      </c>
      <c r="F35" t="n">
        <v>7.71396401689017</v>
      </c>
      <c r="G35" t="n">
        <v>16.1954401224802</v>
      </c>
      <c r="H35" t="n">
        <v>11.2156633411605</v>
      </c>
      <c r="I35" t="n">
        <v>7.95066015196895</v>
      </c>
      <c r="J35" t="n">
        <v>4.26395104379989</v>
      </c>
      <c r="K35" t="n">
        <v>-0.269228669719901</v>
      </c>
      <c r="L35" t="n">
        <v>5.3944895029252</v>
      </c>
      <c r="M35" t="n">
        <v>6.11598735896806</v>
      </c>
      <c r="N35" t="n">
        <v>0.0550901001973969</v>
      </c>
      <c r="O35" t="n">
        <v>-0.821210759556479</v>
      </c>
      <c r="P35" t="n">
        <v>-2.66525716155197</v>
      </c>
      <c r="Q35" t="n">
        <v>-3.19550263426134</v>
      </c>
      <c r="R35" t="n">
        <v>2.27726261044268</v>
      </c>
      <c r="S35" t="n">
        <v>-0.296198906256784</v>
      </c>
      <c r="T35" t="n">
        <v>-0.0159859743254387</v>
      </c>
      <c r="U35" t="n">
        <v>-3.67219137756987</v>
      </c>
      <c r="V35" t="n">
        <v>1.30223476705993</v>
      </c>
      <c r="W35" t="n">
        <v>5.89322699342301</v>
      </c>
      <c r="X35" t="n">
        <v>3.31896243201175</v>
      </c>
      <c r="Y35" t="n">
        <v>-2.21344925167237</v>
      </c>
      <c r="Z35" t="n">
        <v>6.47128472732739</v>
      </c>
      <c r="AA35" t="n">
        <v>-2.37842373749171</v>
      </c>
      <c r="AB35" t="n">
        <v>-3.4028051456545</v>
      </c>
      <c r="AC35" t="n">
        <v>-0.474910800001993</v>
      </c>
      <c r="AD35" t="n">
        <v>2.02607266965362</v>
      </c>
      <c r="AE35" t="n">
        <v>-1.26703583191698</v>
      </c>
      <c r="AF35" t="n">
        <v>0.262250891396754</v>
      </c>
    </row>
    <row r="36">
      <c r="A36" t="s">
        <v>176</v>
      </c>
      <c r="B36" t="s">
        <v>283</v>
      </c>
      <c r="C36" t="s">
        <v>177</v>
      </c>
      <c r="D36" t="s">
        <v>284</v>
      </c>
      <c r="E36" t="s">
        <v>44</v>
      </c>
      <c r="F36" t="n">
        <v>5.55373028893928</v>
      </c>
      <c r="G36" t="n">
        <v>6.46956187943069</v>
      </c>
      <c r="H36" t="n">
        <v>-0.39438895857753</v>
      </c>
      <c r="I36" t="n">
        <v>2.35496563113635</v>
      </c>
      <c r="J36" t="n">
        <v>-3.08530240748137</v>
      </c>
      <c r="K36" t="n">
        <v>0.715723148404557</v>
      </c>
      <c r="L36" t="n">
        <v>-0.85331826955688</v>
      </c>
      <c r="M36" t="n">
        <v>1.51063531844091</v>
      </c>
      <c r="N36" t="n">
        <v>0.418215059517735</v>
      </c>
      <c r="O36" t="n">
        <v>1.65467519149392</v>
      </c>
      <c r="P36" t="n">
        <v>4.05546163434884</v>
      </c>
      <c r="Q36" t="n">
        <v>-4.86934190337056</v>
      </c>
      <c r="R36" t="n">
        <v>-1.69801929567761</v>
      </c>
      <c r="S36" t="n">
        <v>-7.21208115312582</v>
      </c>
      <c r="T36" t="n">
        <v>-1.28762699528746</v>
      </c>
      <c r="U36" t="n">
        <v>-3.74996952928939</v>
      </c>
      <c r="V36" t="n">
        <v>-5.10679395523912</v>
      </c>
      <c r="W36" t="n">
        <v>6.15436408712053</v>
      </c>
      <c r="X36" t="n">
        <v>8.53184531452982</v>
      </c>
      <c r="Y36" t="n">
        <v>2.727424006215</v>
      </c>
      <c r="Z36" t="n">
        <v>8.55220848355955</v>
      </c>
      <c r="AA36" t="n">
        <v>-4.36227992382285</v>
      </c>
      <c r="AB36" t="n">
        <v>-5.61518811813961</v>
      </c>
      <c r="AC36" t="n">
        <v>-1.46537373337683</v>
      </c>
      <c r="AD36" t="n">
        <v>-2.07566009155933</v>
      </c>
      <c r="AE36" t="n">
        <v>-1.34862449985498</v>
      </c>
      <c r="AF36" t="n">
        <v>-0.483908563168001</v>
      </c>
    </row>
    <row r="37">
      <c r="A37" t="s">
        <v>178</v>
      </c>
      <c r="B37" t="s">
        <v>283</v>
      </c>
      <c r="C37" t="s">
        <v>179</v>
      </c>
      <c r="D37" t="s">
        <v>284</v>
      </c>
      <c r="E37" t="s">
        <v>44</v>
      </c>
      <c r="F37" t="n">
        <v>14.5777709587428</v>
      </c>
      <c r="G37" t="n">
        <v>15.5855756307753</v>
      </c>
      <c r="H37" t="n">
        <v>24.8279706032958</v>
      </c>
      <c r="I37" t="n">
        <v>14.1556995370692</v>
      </c>
      <c r="J37" t="n">
        <v>3.31556456568514</v>
      </c>
      <c r="K37" t="n">
        <v>-9.04828310518422</v>
      </c>
      <c r="L37" t="n">
        <v>7.94546961744906</v>
      </c>
      <c r="M37" t="n">
        <v>15.1111459507204</v>
      </c>
      <c r="N37" t="n">
        <v>5.59575042938114</v>
      </c>
      <c r="O37" t="n">
        <v>2.60380025391349</v>
      </c>
      <c r="P37" t="n">
        <v>-13.6376384529058</v>
      </c>
      <c r="Q37" t="n">
        <v>-7.81626125219734</v>
      </c>
      <c r="R37" t="n">
        <v>3.71018701623136</v>
      </c>
      <c r="S37" t="n">
        <v>5.02944574032291</v>
      </c>
      <c r="T37" t="n">
        <v>5.27088037390762</v>
      </c>
      <c r="U37" t="n">
        <v>4.34966690663128</v>
      </c>
      <c r="V37" t="n">
        <v>3.87012601411794</v>
      </c>
      <c r="W37" t="n">
        <v>-0.358923091309116</v>
      </c>
      <c r="X37" t="n">
        <v>3.5608820116618</v>
      </c>
      <c r="Y37" t="n">
        <v>0.302949636095562</v>
      </c>
      <c r="Z37" t="n">
        <v>9.4672476087263</v>
      </c>
      <c r="AA37" t="n">
        <v>-4.13698438973285</v>
      </c>
      <c r="AB37" t="n">
        <v>-7.09289781263749</v>
      </c>
      <c r="AC37" t="n">
        <v>-1.09197319471939</v>
      </c>
      <c r="AD37" t="n">
        <v>1.96053376408987</v>
      </c>
      <c r="AE37" t="n">
        <v>2.36388473655076</v>
      </c>
      <c r="AF37" t="n">
        <v>-7.56157274040365</v>
      </c>
    </row>
    <row r="38">
      <c r="A38" t="s">
        <v>180</v>
      </c>
      <c r="B38" t="s">
        <v>283</v>
      </c>
      <c r="C38" t="s">
        <v>181</v>
      </c>
      <c r="D38" t="s">
        <v>284</v>
      </c>
      <c r="E38" t="s">
        <v>44</v>
      </c>
      <c r="F38" t="n">
        <v>4.46140789572507</v>
      </c>
      <c r="G38" t="n">
        <v>18.0650598340961</v>
      </c>
      <c r="H38" t="n">
        <v>5.52128083950976</v>
      </c>
      <c r="I38" t="n">
        <v>11.452857711406</v>
      </c>
      <c r="J38" t="n">
        <v>7.7852316388574</v>
      </c>
      <c r="K38" t="n">
        <v>0.782915741501711</v>
      </c>
      <c r="L38" t="n">
        <v>7.0858740566603</v>
      </c>
      <c r="M38" t="n">
        <v>6.59927472876838</v>
      </c>
      <c r="N38" t="n">
        <v>-0.538360165072582</v>
      </c>
      <c r="O38" t="n">
        <v>-0.462601681559072</v>
      </c>
      <c r="P38" t="n">
        <v>-0.900590688795155</v>
      </c>
      <c r="Q38" t="n">
        <v>-2.00224457871467</v>
      </c>
      <c r="R38" t="n">
        <v>2.41765273989945</v>
      </c>
      <c r="S38" t="n">
        <v>-1.16706237756201</v>
      </c>
      <c r="T38" t="n">
        <v>-2.46331349503812</v>
      </c>
      <c r="U38" t="n">
        <v>-8.47306184172822</v>
      </c>
      <c r="V38" t="n">
        <v>1.39042385200145</v>
      </c>
      <c r="W38" t="n">
        <v>7.11232029092486</v>
      </c>
      <c r="X38" t="n">
        <v>1.05114801010178</v>
      </c>
      <c r="Y38" t="n">
        <v>-4.84982413842889</v>
      </c>
      <c r="Z38" t="n">
        <v>4.53719507289332</v>
      </c>
      <c r="AA38" t="n">
        <v>-3.24619088040716</v>
      </c>
      <c r="AB38" t="n">
        <v>-1.45872326917917</v>
      </c>
      <c r="AC38" t="n">
        <v>-0.555950572944397</v>
      </c>
      <c r="AD38" t="n">
        <v>4.32028085655478</v>
      </c>
      <c r="AE38" t="n">
        <v>-6.19869880000756</v>
      </c>
      <c r="AF38" t="n">
        <v>3.94989940237256</v>
      </c>
    </row>
    <row r="39">
      <c r="A39" t="s">
        <v>182</v>
      </c>
      <c r="B39" t="s">
        <v>283</v>
      </c>
      <c r="C39" t="s">
        <v>183</v>
      </c>
      <c r="D39" t="s">
        <v>284</v>
      </c>
      <c r="E39" t="s">
        <v>44</v>
      </c>
      <c r="F39" t="n">
        <v>-5.93091890387694</v>
      </c>
      <c r="G39" t="n">
        <v>6.18053639701035</v>
      </c>
      <c r="H39" t="n">
        <v>6.06796289682752</v>
      </c>
      <c r="I39" t="n">
        <v>-6.08699233437786</v>
      </c>
      <c r="J39" t="n">
        <v>3.21027708626413</v>
      </c>
      <c r="K39" t="n">
        <v>1.62731966287346</v>
      </c>
      <c r="L39" t="n">
        <v>4.01434616878298</v>
      </c>
      <c r="M39" t="n">
        <v>1.00146554394538</v>
      </c>
      <c r="N39" t="n">
        <v>5.18354429700167</v>
      </c>
      <c r="O39" t="n">
        <v>3.26215933693579</v>
      </c>
      <c r="P39" t="n">
        <v>2.84801975092908</v>
      </c>
      <c r="Q39" t="n">
        <v>-1.21081577717259</v>
      </c>
      <c r="R39" t="n">
        <v>2.25077108449394</v>
      </c>
      <c r="S39" t="n">
        <v>-18.464107005259</v>
      </c>
      <c r="T39" t="n">
        <v>3.21418847238757</v>
      </c>
      <c r="U39" t="n">
        <v>0.335153845890268</v>
      </c>
      <c r="V39" t="n">
        <v>-0.633077130406079</v>
      </c>
      <c r="W39" t="n">
        <v>1.16291090190863</v>
      </c>
      <c r="X39" t="n">
        <v>14.158581065749</v>
      </c>
      <c r="Y39" t="n">
        <v>5.2472409277101</v>
      </c>
      <c r="Z39" t="n">
        <v>0.65279876086084</v>
      </c>
      <c r="AA39" t="n">
        <v>-4.54545109067173</v>
      </c>
      <c r="AB39" t="n">
        <v>-0.222626749877541</v>
      </c>
      <c r="AC39" t="n">
        <v>1.73992258515927</v>
      </c>
      <c r="AD39" t="n">
        <v>0.392121337416995</v>
      </c>
      <c r="AE39" t="n">
        <v>3.65429669267865</v>
      </c>
      <c r="AF39" t="n">
        <v>7.66260390941103</v>
      </c>
    </row>
    <row r="40">
      <c r="A40" t="s">
        <v>184</v>
      </c>
      <c r="B40" t="s">
        <v>283</v>
      </c>
      <c r="C40" t="s">
        <v>185</v>
      </c>
      <c r="D40" t="s">
        <v>284</v>
      </c>
      <c r="E40" t="s">
        <v>44</v>
      </c>
      <c r="F40" t="n">
        <v>-5.72320526089598</v>
      </c>
      <c r="G40" t="n">
        <v>1.94785685623913</v>
      </c>
      <c r="H40" t="n">
        <v>1.47041826597789</v>
      </c>
      <c r="I40" t="n">
        <v>-5.33681221495623</v>
      </c>
      <c r="J40" t="n">
        <v>3.57662047703116</v>
      </c>
      <c r="K40" t="n">
        <v>-0.169302975204388</v>
      </c>
      <c r="L40" t="n">
        <v>4.01825601355643</v>
      </c>
      <c r="M40" t="n">
        <v>-1.80047422056351</v>
      </c>
      <c r="N40" t="n">
        <v>2.46795202319508</v>
      </c>
      <c r="O40" t="n">
        <v>-0.567748558265357</v>
      </c>
      <c r="P40" t="n">
        <v>-0.139136774606641</v>
      </c>
      <c r="Q40" t="n">
        <v>-4.34909114618449</v>
      </c>
      <c r="R40" t="n">
        <v>-3.77468018070992</v>
      </c>
      <c r="S40" t="n">
        <v>-6.22454447867948</v>
      </c>
      <c r="T40" t="n">
        <v>0.0572808775848088</v>
      </c>
      <c r="U40" t="n">
        <v>2.15968765697276</v>
      </c>
      <c r="V40" t="n">
        <v>4.29798919087858</v>
      </c>
      <c r="W40" t="n">
        <v>-4.45796539422592</v>
      </c>
      <c r="X40" t="n">
        <v>6.84824126639576</v>
      </c>
      <c r="Y40" t="n">
        <v>5.07592388819464</v>
      </c>
      <c r="Z40" t="n">
        <v>-2.96709188333626</v>
      </c>
      <c r="AA40" t="n">
        <v>-2.42254748227637</v>
      </c>
      <c r="AB40" t="n">
        <v>-6.39915053193114</v>
      </c>
      <c r="AC40" t="n">
        <v>-0.718562429082148</v>
      </c>
      <c r="AD40" t="n">
        <v>1.79907788304359</v>
      </c>
      <c r="AE40" t="n">
        <v>-2.01888230050535</v>
      </c>
      <c r="AF40" t="n">
        <v>-2.98872273975377</v>
      </c>
    </row>
    <row r="41">
      <c r="A41" t="s">
        <v>186</v>
      </c>
      <c r="B41" t="s">
        <v>283</v>
      </c>
      <c r="C41" t="s">
        <v>187</v>
      </c>
      <c r="D41" t="s">
        <v>284</v>
      </c>
      <c r="E41" t="s">
        <v>44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283</v>
      </c>
      <c r="C42" t="s">
        <v>189</v>
      </c>
      <c r="D42" t="s">
        <v>284</v>
      </c>
      <c r="E42" t="s">
        <v>44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283</v>
      </c>
      <c r="C43" t="s">
        <v>191</v>
      </c>
      <c r="D43" t="s">
        <v>284</v>
      </c>
      <c r="E43" t="s">
        <v>44</v>
      </c>
      <c r="F43" t="n">
        <v>-2.75759295643621</v>
      </c>
      <c r="G43" t="n">
        <v>5.38663651583935</v>
      </c>
      <c r="H43" t="n">
        <v>0.217719132418459</v>
      </c>
      <c r="I43" t="n">
        <v>1.33213535600181</v>
      </c>
      <c r="J43" t="n">
        <v>-0.177356331770717</v>
      </c>
      <c r="K43" t="n">
        <v>7.04442371233664</v>
      </c>
      <c r="L43" t="n">
        <v>3.1587460372851</v>
      </c>
      <c r="M43" t="n">
        <v>2.41903382332218</v>
      </c>
      <c r="N43" t="n">
        <v>-0.200642447454236</v>
      </c>
      <c r="O43" t="n">
        <v>-0.851163116940157</v>
      </c>
      <c r="P43" t="n">
        <v>4.6143634309697</v>
      </c>
      <c r="Q43" t="n">
        <v>2.11801410252299</v>
      </c>
      <c r="R43" t="n">
        <v>7.52087621873532</v>
      </c>
      <c r="S43" t="n">
        <v>4.44320954003992</v>
      </c>
      <c r="T43" t="n">
        <v>2.03642046073593</v>
      </c>
      <c r="U43" t="n">
        <v>1.16551900933519</v>
      </c>
      <c r="V43" t="n">
        <v>1.55504590374882</v>
      </c>
      <c r="W43" t="n">
        <v>-11.1306882866513</v>
      </c>
      <c r="X43" t="n">
        <v>3.59086101255279</v>
      </c>
      <c r="Y43" t="n">
        <v>-0.808243130197184</v>
      </c>
      <c r="Z43" t="n">
        <v>0.60848351250371</v>
      </c>
      <c r="AA43" t="n">
        <v>1.18575325831571</v>
      </c>
      <c r="AB43" t="n">
        <v>-2.85233663882458</v>
      </c>
      <c r="AC43" t="n">
        <v>-1.17307835104974</v>
      </c>
      <c r="AD43" t="n">
        <v>1.3968219058242</v>
      </c>
      <c r="AE43" t="n">
        <v>4.74429635682334</v>
      </c>
      <c r="AF43" t="n">
        <v>-3.44018089833789</v>
      </c>
    </row>
    <row r="44">
      <c r="A44" t="s">
        <v>192</v>
      </c>
      <c r="B44" t="s">
        <v>283</v>
      </c>
      <c r="C44" t="s">
        <v>193</v>
      </c>
      <c r="D44" t="s">
        <v>284</v>
      </c>
      <c r="E44" t="s">
        <v>44</v>
      </c>
      <c r="F44" t="n">
        <v>1.96771879698971</v>
      </c>
      <c r="G44" t="n">
        <v>3.49994327227954</v>
      </c>
      <c r="H44" t="n">
        <v>3.14014025899105</v>
      </c>
      <c r="I44" t="n">
        <v>0.73887387675029</v>
      </c>
      <c r="J44" t="n">
        <v>0.883712368709055</v>
      </c>
      <c r="K44" t="n">
        <v>2.03363018551812</v>
      </c>
      <c r="L44" t="n">
        <v>2.12259464326472</v>
      </c>
      <c r="M44" t="n">
        <v>3.18005098773249</v>
      </c>
      <c r="N44" t="n">
        <v>2.24086895790805</v>
      </c>
      <c r="O44" t="n">
        <v>1.61623854237512</v>
      </c>
      <c r="P44" t="n">
        <v>3.48174432758235</v>
      </c>
      <c r="Q44" t="n">
        <v>-0.140638958594508</v>
      </c>
      <c r="R44" t="n">
        <v>2.4769400135817</v>
      </c>
      <c r="S44" t="n">
        <v>0.357025438992764</v>
      </c>
      <c r="T44" t="n">
        <v>-4.05406169343685</v>
      </c>
      <c r="U44" t="n">
        <v>3.96773426615695</v>
      </c>
      <c r="V44" t="n">
        <v>0.0256449318840168</v>
      </c>
      <c r="W44" t="n">
        <v>0.448598236188502</v>
      </c>
      <c r="X44" t="n">
        <v>4.20513429993825</v>
      </c>
      <c r="Y44" t="n">
        <v>0.361737017318831</v>
      </c>
      <c r="Z44" t="n">
        <v>1.51500371348447</v>
      </c>
      <c r="AA44" t="n">
        <v>-0.11907599552643</v>
      </c>
      <c r="AB44" t="n">
        <v>1.54728870845915</v>
      </c>
      <c r="AC44" t="n">
        <v>1.00362707324635</v>
      </c>
      <c r="AD44" t="n">
        <v>0.366414713187879</v>
      </c>
      <c r="AE44" t="n">
        <v>-0.919884575421648</v>
      </c>
      <c r="AF44" t="n">
        <v>2.99658468194792</v>
      </c>
    </row>
    <row r="45">
      <c r="A45" t="s">
        <v>194</v>
      </c>
      <c r="B45" t="s">
        <v>283</v>
      </c>
      <c r="C45" t="s">
        <v>195</v>
      </c>
      <c r="D45" t="s">
        <v>284</v>
      </c>
      <c r="E45" t="s">
        <v>44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283</v>
      </c>
      <c r="C46" t="s">
        <v>197</v>
      </c>
      <c r="D46" t="s">
        <v>284</v>
      </c>
      <c r="E46" t="s">
        <v>44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283</v>
      </c>
      <c r="C47" t="s">
        <v>199</v>
      </c>
      <c r="D47" t="s">
        <v>284</v>
      </c>
      <c r="E47" t="s">
        <v>44</v>
      </c>
      <c r="F47" t="n">
        <v>-1.07324185354827</v>
      </c>
      <c r="G47" t="n">
        <v>8.30723015497998</v>
      </c>
      <c r="H47" t="n">
        <v>4.42499762341804</v>
      </c>
      <c r="I47" t="n">
        <v>0.801961131026729</v>
      </c>
      <c r="J47" t="n">
        <v>3.43363937742982</v>
      </c>
      <c r="K47" t="n">
        <v>0.599153742170344</v>
      </c>
      <c r="L47" t="n">
        <v>4.03874036313177</v>
      </c>
      <c r="M47" t="n">
        <v>-2.5659881898159</v>
      </c>
      <c r="N47" t="n">
        <v>-2.99644707532316</v>
      </c>
      <c r="O47" t="n">
        <v>-2.61088146177553</v>
      </c>
      <c r="P47" t="n">
        <v>2.45432981294371</v>
      </c>
      <c r="Q47" t="n">
        <v>2.68319343545897</v>
      </c>
      <c r="R47" t="n">
        <v>2.72034788120106</v>
      </c>
      <c r="S47" t="n">
        <v>5.2359691163554</v>
      </c>
      <c r="T47" t="n">
        <v>-0.286694392374542</v>
      </c>
      <c r="U47" t="n">
        <v>1.71536837627819</v>
      </c>
      <c r="V47" t="n">
        <v>2.71401730406424</v>
      </c>
      <c r="W47" t="n">
        <v>0.153028223072482</v>
      </c>
      <c r="X47" t="n">
        <v>2.18958376824645</v>
      </c>
      <c r="Y47" t="n">
        <v>1.4624526036263</v>
      </c>
      <c r="Z47" t="n">
        <v>2.45873902129503</v>
      </c>
      <c r="AA47" t="n">
        <v>2.32851258844811</v>
      </c>
      <c r="AB47" t="n">
        <v>0.785899757531006</v>
      </c>
      <c r="AC47" t="n">
        <v>4.92993678392235</v>
      </c>
      <c r="AD47" t="n">
        <v>-1.7810627326341</v>
      </c>
      <c r="AE47" t="n">
        <v>3.43257473095768</v>
      </c>
      <c r="AF47" t="n">
        <v>1.95301537707042</v>
      </c>
    </row>
    <row r="48">
      <c r="A48" t="s">
        <v>200</v>
      </c>
      <c r="B48" t="s">
        <v>283</v>
      </c>
      <c r="C48" t="s">
        <v>201</v>
      </c>
      <c r="D48" t="s">
        <v>284</v>
      </c>
      <c r="E48" t="s">
        <v>44</v>
      </c>
      <c r="F48" t="n">
        <v>0.544099011339583</v>
      </c>
      <c r="G48" t="n">
        <v>2.92801399073213</v>
      </c>
      <c r="H48" t="n">
        <v>0.358725707713603</v>
      </c>
      <c r="I48" t="n">
        <v>-1.38911107642095</v>
      </c>
      <c r="J48" t="n">
        <v>1.82550092345437</v>
      </c>
      <c r="K48" t="n">
        <v>-2.45346201280014</v>
      </c>
      <c r="L48" t="n">
        <v>1.76840372585794</v>
      </c>
      <c r="M48" t="n">
        <v>-1.75174800341864</v>
      </c>
      <c r="N48" t="n">
        <v>-3.66633219159489</v>
      </c>
      <c r="O48" t="n">
        <v>-4.24397370359699</v>
      </c>
      <c r="P48" t="n">
        <v>-0.122803782745962</v>
      </c>
      <c r="Q48" t="n">
        <v>-1.11583700414961</v>
      </c>
      <c r="R48" t="n">
        <v>4.02532650938454</v>
      </c>
      <c r="S48" t="n">
        <v>1.18906303380513</v>
      </c>
      <c r="T48" t="n">
        <v>-1.66941233692803</v>
      </c>
      <c r="U48" t="n">
        <v>-1.29036492854127</v>
      </c>
      <c r="V48" t="n">
        <v>0.54684465216468</v>
      </c>
      <c r="W48" t="n">
        <v>0.572014777865704</v>
      </c>
      <c r="X48" t="n">
        <v>0.358703854582032</v>
      </c>
      <c r="Y48" t="n">
        <v>-0.385726946904086</v>
      </c>
      <c r="Z48" t="n">
        <v>1.68663958435502</v>
      </c>
      <c r="AA48" t="n">
        <v>1.06444101242964</v>
      </c>
      <c r="AB48" t="n">
        <v>-1.94585873938813</v>
      </c>
      <c r="AC48" t="n">
        <v>2.53418669682865</v>
      </c>
      <c r="AD48" t="n">
        <v>1.00269131397788</v>
      </c>
      <c r="AE48" t="n">
        <v>3.63369946836656</v>
      </c>
      <c r="AF48" t="n">
        <v>0.514737845639957</v>
      </c>
    </row>
    <row r="49">
      <c r="A49" t="s">
        <v>202</v>
      </c>
      <c r="B49" t="s">
        <v>283</v>
      </c>
      <c r="C49" t="s">
        <v>203</v>
      </c>
      <c r="D49" t="s">
        <v>284</v>
      </c>
      <c r="E49" t="s">
        <v>44</v>
      </c>
      <c r="F49" t="n">
        <v>2.026673519463</v>
      </c>
      <c r="G49" t="n">
        <v>3.68360982311646</v>
      </c>
      <c r="H49" t="n">
        <v>-1.51478201723325</v>
      </c>
      <c r="I49" t="n">
        <v>-2.17660145799279</v>
      </c>
      <c r="J49" t="n">
        <v>2.01653263440811</v>
      </c>
      <c r="K49" t="n">
        <v>2.25132888108668</v>
      </c>
      <c r="L49" t="n">
        <v>3.07932516012492</v>
      </c>
      <c r="M49" t="n">
        <v>2.59787609819338</v>
      </c>
      <c r="N49" t="n">
        <v>-4.62095553530713</v>
      </c>
      <c r="O49" t="n">
        <v>-5.31561889739187</v>
      </c>
      <c r="P49" t="n">
        <v>1.33104406277802</v>
      </c>
      <c r="Q49" t="n">
        <v>0.0591404773258475</v>
      </c>
      <c r="R49" t="n">
        <v>4.93658640672514</v>
      </c>
      <c r="S49" t="n">
        <v>-0.127088353540294</v>
      </c>
      <c r="T49" t="n">
        <v>-1.61961544606246</v>
      </c>
      <c r="U49" t="n">
        <v>-1.48876314232513</v>
      </c>
      <c r="V49" t="n">
        <v>2.84610289653191</v>
      </c>
      <c r="W49" t="n">
        <v>1.99523088139593</v>
      </c>
      <c r="X49" t="n">
        <v>1.41482228751588</v>
      </c>
      <c r="Y49" t="n">
        <v>-0.658942091724946</v>
      </c>
      <c r="Z49" t="n">
        <v>-2.27057748181387</v>
      </c>
      <c r="AA49" t="n">
        <v>-1.403040188932</v>
      </c>
      <c r="AB49" t="n">
        <v>-0.902522707622211</v>
      </c>
      <c r="AC49" t="n">
        <v>0.563210732010866</v>
      </c>
      <c r="AD49" t="n">
        <v>3.18651126980765</v>
      </c>
      <c r="AE49" t="n">
        <v>3.91845455897357</v>
      </c>
      <c r="AF49" t="n">
        <v>-1.52481870491457</v>
      </c>
    </row>
    <row r="50">
      <c r="A50" t="s">
        <v>204</v>
      </c>
      <c r="B50" t="s">
        <v>283</v>
      </c>
      <c r="C50" t="s">
        <v>205</v>
      </c>
      <c r="D50" t="s">
        <v>284</v>
      </c>
      <c r="E50" t="s">
        <v>44</v>
      </c>
      <c r="F50" t="n">
        <v>1.30705636580526</v>
      </c>
      <c r="G50" t="n">
        <v>-1.36871209420342</v>
      </c>
      <c r="H50" t="n">
        <v>-1.23266186461368</v>
      </c>
      <c r="I50" t="n">
        <v>-2.11448652495996</v>
      </c>
      <c r="J50" t="n">
        <v>1.23173967703476</v>
      </c>
      <c r="K50" t="n">
        <v>-7.85880884155521</v>
      </c>
      <c r="L50" t="n">
        <v>0.708320164775422</v>
      </c>
      <c r="M50" t="n">
        <v>-3.1113583550086</v>
      </c>
      <c r="N50" t="n">
        <v>-3.23494241220619</v>
      </c>
      <c r="O50" t="n">
        <v>-4.07300770831256</v>
      </c>
      <c r="P50" t="n">
        <v>-1.41003306332603</v>
      </c>
      <c r="Q50" t="n">
        <v>-3.3417871035283</v>
      </c>
      <c r="R50" t="n">
        <v>4.48883807534486</v>
      </c>
      <c r="S50" t="n">
        <v>-0.428428195432673</v>
      </c>
      <c r="T50" t="n">
        <v>-1.6932767981622</v>
      </c>
      <c r="U50" t="n">
        <v>-1.8354111779697</v>
      </c>
      <c r="V50" t="n">
        <v>-1.52642309889792</v>
      </c>
      <c r="W50" t="n">
        <v>1.25693389114829</v>
      </c>
      <c r="X50" t="n">
        <v>-0.0662224597885341</v>
      </c>
      <c r="Y50" t="n">
        <v>-0.94835787974219</v>
      </c>
      <c r="Z50" t="n">
        <v>3.82281360812016</v>
      </c>
      <c r="AA50" t="n">
        <v>2.12408404064135</v>
      </c>
      <c r="AB50" t="n">
        <v>-3.73430762517693</v>
      </c>
      <c r="AC50" t="n">
        <v>2.53092897556151</v>
      </c>
      <c r="AD50" t="n">
        <v>1.26153558190474</v>
      </c>
      <c r="AE50" t="n">
        <v>3.22339943038195</v>
      </c>
      <c r="AF50" t="n">
        <v>1.172214785813</v>
      </c>
    </row>
    <row r="51">
      <c r="A51" t="s">
        <v>206</v>
      </c>
      <c r="B51" t="s">
        <v>283</v>
      </c>
      <c r="C51" t="s">
        <v>207</v>
      </c>
      <c r="D51" t="s">
        <v>284</v>
      </c>
      <c r="E51" t="s">
        <v>44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283</v>
      </c>
      <c r="C52" t="s">
        <v>209</v>
      </c>
      <c r="D52" t="s">
        <v>284</v>
      </c>
      <c r="E52" t="s">
        <v>44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283</v>
      </c>
      <c r="C53" t="s">
        <v>211</v>
      </c>
      <c r="D53" t="s">
        <v>284</v>
      </c>
      <c r="E53" t="s">
        <v>44</v>
      </c>
      <c r="F53" t="n">
        <v>-11.6315463299529</v>
      </c>
      <c r="G53" t="n">
        <v>-5.51125663535945</v>
      </c>
      <c r="H53" t="n">
        <v>1.41339015268418</v>
      </c>
      <c r="I53" t="n">
        <v>2.09022010939073</v>
      </c>
      <c r="J53" t="n">
        <v>-2.35429803415741</v>
      </c>
      <c r="K53" t="n">
        <v>4.29202819102485</v>
      </c>
      <c r="L53" t="n">
        <v>-2.07263321890423</v>
      </c>
      <c r="M53" t="n">
        <v>4.1225915216156</v>
      </c>
      <c r="N53" t="n">
        <v>-1.0863724917229</v>
      </c>
      <c r="O53" t="n">
        <v>-2.81413377843052</v>
      </c>
      <c r="P53" t="n">
        <v>8.3351495628877</v>
      </c>
      <c r="Q53" t="n">
        <v>-0.150825533161658</v>
      </c>
      <c r="R53" t="n">
        <v>1.46476345767343</v>
      </c>
      <c r="S53" t="n">
        <v>-3.66172278998889</v>
      </c>
      <c r="T53" t="n">
        <v>-4.1883100373397</v>
      </c>
      <c r="U53" t="n">
        <v>-3.74930201065631</v>
      </c>
      <c r="V53" t="n">
        <v>1.81610710569249</v>
      </c>
      <c r="W53" t="n">
        <v>6.5790099671478</v>
      </c>
      <c r="X53" t="n">
        <v>7.59978882262544</v>
      </c>
      <c r="Y53" t="n">
        <v>1.24529691729549</v>
      </c>
      <c r="Z53" t="n">
        <v>-0.237572268514086</v>
      </c>
      <c r="AA53" t="n">
        <v>-10.3072697989644</v>
      </c>
      <c r="AB53" t="n">
        <v>-6.24708696407446</v>
      </c>
      <c r="AC53" t="n">
        <v>-2.86219457743151</v>
      </c>
      <c r="AD53" t="n">
        <v>-3.66304418817123</v>
      </c>
      <c r="AE53" t="n">
        <v>-16.2243338409914</v>
      </c>
      <c r="AF53" t="n">
        <v>4.00605734861461</v>
      </c>
    </row>
    <row r="54">
      <c r="A54" t="s">
        <v>212</v>
      </c>
      <c r="B54" t="s">
        <v>283</v>
      </c>
      <c r="C54" t="s">
        <v>213</v>
      </c>
      <c r="D54" t="s">
        <v>284</v>
      </c>
      <c r="E54" t="s">
        <v>44</v>
      </c>
      <c r="F54" t="n">
        <v>-6.09566251862077</v>
      </c>
      <c r="G54" t="n">
        <v>1.21603761814857</v>
      </c>
      <c r="H54" t="n">
        <v>3.1869747194154</v>
      </c>
      <c r="I54" t="n">
        <v>3.4891420294823</v>
      </c>
      <c r="J54" t="n">
        <v>2.22286202965911</v>
      </c>
      <c r="K54" t="n">
        <v>3.24894731839791</v>
      </c>
      <c r="L54" t="n">
        <v>-2.91177878434787</v>
      </c>
      <c r="M54" t="n">
        <v>3.85004340399497</v>
      </c>
      <c r="N54" t="n">
        <v>1.33496071200909</v>
      </c>
      <c r="O54" t="n">
        <v>-2.50965586414722</v>
      </c>
      <c r="P54" t="n">
        <v>1.97183396967837</v>
      </c>
      <c r="Q54" t="n">
        <v>-4.20092456086163</v>
      </c>
      <c r="R54" t="n">
        <v>5.20270534000282</v>
      </c>
      <c r="S54" t="n">
        <v>-1.72060547807575</v>
      </c>
      <c r="T54" t="n">
        <v>-3.9527551086179</v>
      </c>
      <c r="U54" t="n">
        <v>-3.4647719339322</v>
      </c>
      <c r="V54" t="n">
        <v>1.64689052225135</v>
      </c>
      <c r="W54" t="n">
        <v>-0.071748405003369</v>
      </c>
      <c r="X54" t="n">
        <v>1.10401586658764</v>
      </c>
      <c r="Y54" t="n">
        <v>-0.160849307530064</v>
      </c>
      <c r="Z54" t="n">
        <v>-0.378165044562273</v>
      </c>
      <c r="AA54" t="n">
        <v>-3.93261851386768</v>
      </c>
      <c r="AB54" t="n">
        <v>-1.80269453483639</v>
      </c>
      <c r="AC54" t="n">
        <v>-2.48324222212624</v>
      </c>
      <c r="AD54" t="n">
        <v>-0.0968308905827442</v>
      </c>
      <c r="AE54" t="n">
        <v>-10.8639821631368</v>
      </c>
      <c r="AF54" t="n">
        <v>0.809081215047058</v>
      </c>
    </row>
    <row r="55">
      <c r="A55" t="s">
        <v>214</v>
      </c>
      <c r="B55" t="s">
        <v>283</v>
      </c>
      <c r="C55" t="s">
        <v>215</v>
      </c>
      <c r="D55" t="s">
        <v>284</v>
      </c>
      <c r="E55" t="s">
        <v>44</v>
      </c>
      <c r="F55" t="n">
        <v>-3.69438753175615</v>
      </c>
      <c r="G55" t="n">
        <v>4.84545746572849</v>
      </c>
      <c r="H55" t="n">
        <v>5.22255089013601</v>
      </c>
      <c r="I55" t="n">
        <v>5.45972845848866</v>
      </c>
      <c r="J55" t="n">
        <v>4.82795655213035</v>
      </c>
      <c r="K55" t="n">
        <v>3.20127787300013</v>
      </c>
      <c r="L55" t="n">
        <v>-2.30008796541821</v>
      </c>
      <c r="M55" t="n">
        <v>3.29878041930236</v>
      </c>
      <c r="N55" t="n">
        <v>2.89133134518451</v>
      </c>
      <c r="O55" t="n">
        <v>-2.17813481404843</v>
      </c>
      <c r="P55" t="n">
        <v>0.00333429616876657</v>
      </c>
      <c r="Q55" t="n">
        <v>-5.57431454920376</v>
      </c>
      <c r="R55" t="n">
        <v>7.06099586579025</v>
      </c>
      <c r="S55" t="n">
        <v>-1.32009009423246</v>
      </c>
      <c r="T55" t="n">
        <v>-4.49582675412383</v>
      </c>
      <c r="U55" t="n">
        <v>-3.16450169648768</v>
      </c>
      <c r="V55" t="n">
        <v>2.01791471215422</v>
      </c>
      <c r="W55" t="n">
        <v>-3.77337865735363</v>
      </c>
      <c r="X55" t="n">
        <v>-2.42944064831896</v>
      </c>
      <c r="Y55" t="n">
        <v>-1.11755212751241</v>
      </c>
      <c r="Z55" t="n">
        <v>-0.721355146825253</v>
      </c>
      <c r="AA55" t="n">
        <v>-1.21646522583099</v>
      </c>
      <c r="AB55" t="n">
        <v>0.288625626607875</v>
      </c>
      <c r="AC55" t="n">
        <v>-2.42389681503568</v>
      </c>
      <c r="AD55" t="n">
        <v>2.04964301723454</v>
      </c>
      <c r="AE55" t="n">
        <v>-7.48643958730781</v>
      </c>
      <c r="AF55" t="n">
        <v>-0.743298595258324</v>
      </c>
    </row>
    <row r="56">
      <c r="A56" t="s">
        <v>216</v>
      </c>
      <c r="B56" t="s">
        <v>283</v>
      </c>
      <c r="C56" t="s">
        <v>217</v>
      </c>
      <c r="D56" t="s">
        <v>284</v>
      </c>
      <c r="E56" t="s">
        <v>44</v>
      </c>
      <c r="F56" t="n">
        <v>-2.10316018754284</v>
      </c>
      <c r="G56" t="n">
        <v>-6.63642409217431</v>
      </c>
      <c r="H56" t="n">
        <v>-6.96143718362094</v>
      </c>
      <c r="I56" t="n">
        <v>-12.0758107752216</v>
      </c>
      <c r="J56" t="n">
        <v>-3.74750219306854</v>
      </c>
      <c r="K56" t="n">
        <v>-6.62571174395197</v>
      </c>
      <c r="L56" t="n">
        <v>-5.64744612000521</v>
      </c>
      <c r="M56" t="n">
        <v>2.36909445960318</v>
      </c>
      <c r="N56" t="n">
        <v>2.06031978401313</v>
      </c>
      <c r="O56" t="n">
        <v>8.12552113793021</v>
      </c>
      <c r="P56" t="n">
        <v>-15.7015737310127</v>
      </c>
      <c r="Q56" t="n">
        <v>-0.355112697194393</v>
      </c>
      <c r="R56" t="n">
        <v>9.2815581890827</v>
      </c>
      <c r="S56" t="n">
        <v>22.5298358792188</v>
      </c>
      <c r="T56" t="n">
        <v>9.07299060774811</v>
      </c>
      <c r="U56" t="n">
        <v>8.57022454213592</v>
      </c>
      <c r="V56" t="n">
        <v>6.82020916247943</v>
      </c>
      <c r="W56" t="n">
        <v>-1.20284189811848</v>
      </c>
      <c r="X56" t="n">
        <v>-25.7329906898239</v>
      </c>
      <c r="Y56" t="n">
        <v>-9.66896695784278</v>
      </c>
      <c r="Z56" t="n">
        <v>0.549248448343675</v>
      </c>
      <c r="AA56" t="n">
        <v>26.104114078229</v>
      </c>
      <c r="AB56" t="n">
        <v>-8.15712925712528</v>
      </c>
      <c r="AC56" t="n">
        <v>1.1817317495133</v>
      </c>
      <c r="AD56" t="n">
        <v>11.9626843442427</v>
      </c>
      <c r="AE56" t="n">
        <v>12.8497800642759</v>
      </c>
      <c r="AF56" t="n">
        <v>-6.96923317299589</v>
      </c>
    </row>
    <row r="57">
      <c r="A57" t="s">
        <v>218</v>
      </c>
      <c r="B57" t="s">
        <v>283</v>
      </c>
      <c r="C57" t="s">
        <v>219</v>
      </c>
      <c r="D57" t="s">
        <v>284</v>
      </c>
      <c r="E57" t="s">
        <v>44</v>
      </c>
      <c r="F57" t="n">
        <v>1.59268218438591</v>
      </c>
      <c r="G57" t="n">
        <v>3.13126885173744</v>
      </c>
      <c r="H57" t="n">
        <v>2.66392003098481</v>
      </c>
      <c r="I57" t="n">
        <v>0.451820650282997</v>
      </c>
      <c r="J57" t="n">
        <v>1.15580822095289</v>
      </c>
      <c r="K57" t="n">
        <v>1.40164356130157</v>
      </c>
      <c r="L57" t="n">
        <v>2.30070860132869</v>
      </c>
      <c r="M57" t="n">
        <v>2.54633143993246</v>
      </c>
      <c r="N57" t="n">
        <v>1.41392233717212</v>
      </c>
      <c r="O57" t="n">
        <v>0.656336265488733</v>
      </c>
      <c r="P57" t="n">
        <v>2.79691816249183</v>
      </c>
      <c r="Q57" t="n">
        <v>-0.259715685578854</v>
      </c>
      <c r="R57" t="n">
        <v>2.47984328590967</v>
      </c>
      <c r="S57" t="n">
        <v>0.687049876982115</v>
      </c>
      <c r="T57" t="n">
        <v>-2.58814229887712</v>
      </c>
      <c r="U57" t="n">
        <v>2.77036437048928</v>
      </c>
      <c r="V57" t="n">
        <v>0.393657463275687</v>
      </c>
      <c r="W57" t="n">
        <v>0.340174972965457</v>
      </c>
      <c r="X57" t="n">
        <v>3.42733494887817</v>
      </c>
      <c r="Y57" t="n">
        <v>0.404388567150349</v>
      </c>
      <c r="Z57" t="n">
        <v>1.35426511217638</v>
      </c>
      <c r="AA57" t="n">
        <v>0.086182699900661</v>
      </c>
      <c r="AB57" t="n">
        <v>0.569465400226221</v>
      </c>
      <c r="AC57" t="n">
        <v>1.19172465687853</v>
      </c>
      <c r="AD57" t="n">
        <v>0.70030645737198</v>
      </c>
      <c r="AE57" t="n">
        <v>0.44533834103504</v>
      </c>
      <c r="AF57" t="n">
        <v>1.89497728522952</v>
      </c>
    </row>
    <row r="58">
      <c r="A58" t="s">
        <v>220</v>
      </c>
      <c r="B58" t="s">
        <v>283</v>
      </c>
      <c r="C58" t="s">
        <v>221</v>
      </c>
      <c r="D58" t="s">
        <v>284</v>
      </c>
      <c r="E58" t="s">
        <v>44</v>
      </c>
      <c r="F58" t="n">
        <v>1.61583692932723</v>
      </c>
      <c r="G58" t="n">
        <v>3.20775913882194</v>
      </c>
      <c r="H58" t="n">
        <v>2.72861220119189</v>
      </c>
      <c r="I58" t="n">
        <v>0.520501743509527</v>
      </c>
      <c r="J58" t="n">
        <v>1.19284941617899</v>
      </c>
      <c r="K58" t="n">
        <v>1.45103713190871</v>
      </c>
      <c r="L58" t="n">
        <v>2.33507945446583</v>
      </c>
      <c r="M58" t="n">
        <v>2.57022849398325</v>
      </c>
      <c r="N58" t="n">
        <v>1.4285226561384</v>
      </c>
      <c r="O58" t="n">
        <v>0.656522946746207</v>
      </c>
      <c r="P58" t="n">
        <v>2.84713193279877</v>
      </c>
      <c r="Q58" t="n">
        <v>-0.265157860289378</v>
      </c>
      <c r="R58" t="n">
        <v>2.46889261613141</v>
      </c>
      <c r="S58" t="n">
        <v>0.60211783846924</v>
      </c>
      <c r="T58" t="n">
        <v>-2.65055619144476</v>
      </c>
      <c r="U58" t="n">
        <v>2.73969493922799</v>
      </c>
      <c r="V58" t="n">
        <v>0.35917365089837</v>
      </c>
      <c r="W58" t="n">
        <v>0.34493329840366</v>
      </c>
      <c r="X58" t="n">
        <v>3.51947174810121</v>
      </c>
      <c r="Y58" t="n">
        <v>0.431055850756934</v>
      </c>
      <c r="Z58" t="n">
        <v>1.3846781012667</v>
      </c>
      <c r="AA58" t="n">
        <v>0.0123607738206743</v>
      </c>
      <c r="AB58" t="n">
        <v>0.601793028309316</v>
      </c>
      <c r="AC58" t="n">
        <v>1.18881923506322</v>
      </c>
      <c r="AD58" t="n">
        <v>0.659328278263871</v>
      </c>
      <c r="AE58" t="n">
        <v>0.398318773143558</v>
      </c>
      <c r="AF58" t="n">
        <v>1.92772625066162</v>
      </c>
    </row>
    <row r="59">
      <c r="A59" t="s">
        <v>222</v>
      </c>
      <c r="B59" t="s">
        <v>283</v>
      </c>
      <c r="C59" t="s">
        <v>223</v>
      </c>
      <c r="D59" t="s">
        <v>284</v>
      </c>
      <c r="E59" t="s">
        <v>44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283</v>
      </c>
      <c r="C2" t="s">
        <v>108</v>
      </c>
      <c r="D2" t="s">
        <v>284</v>
      </c>
      <c r="E2" t="s">
        <v>46</v>
      </c>
      <c r="F2" t="n">
        <v>-0.0799668515398786</v>
      </c>
      <c r="G2" t="n">
        <v>-0.0312955080586569</v>
      </c>
      <c r="H2" t="n">
        <v>0.225954994062839</v>
      </c>
      <c r="I2" t="n">
        <v>-0.332652960458818</v>
      </c>
      <c r="J2" t="n">
        <v>-0.0796737501148039</v>
      </c>
      <c r="K2" t="n">
        <v>0.177383190078052</v>
      </c>
      <c r="L2" t="n">
        <v>-0.551526427196094</v>
      </c>
      <c r="M2" t="n">
        <v>0.584662240292155</v>
      </c>
      <c r="N2" t="n">
        <v>-0.0508986826228506</v>
      </c>
      <c r="O2" t="n">
        <v>0.0859881910083659</v>
      </c>
      <c r="P2" t="n">
        <v>0.0192809938402612</v>
      </c>
      <c r="Q2" t="n">
        <v>0.874495299206779</v>
      </c>
      <c r="R2" t="n">
        <v>0.186395595337898</v>
      </c>
      <c r="S2" t="n">
        <v>0.351405742425831</v>
      </c>
      <c r="T2" t="n">
        <v>0.0877699156045731</v>
      </c>
      <c r="U2" t="n">
        <v>0.602570487077069</v>
      </c>
      <c r="V2" t="n">
        <v>0.73267689945921</v>
      </c>
      <c r="W2" t="n">
        <v>0.33058710754196</v>
      </c>
      <c r="X2" t="n">
        <v>0.0723030314807074</v>
      </c>
      <c r="Y2" t="n">
        <v>0.242794330089439</v>
      </c>
      <c r="Z2" t="n">
        <v>0.0913259745600163</v>
      </c>
      <c r="AA2" t="n">
        <v>0.914801632064178</v>
      </c>
      <c r="AB2" t="n">
        <v>0.210634413007753</v>
      </c>
      <c r="AC2" t="n">
        <v>0.37257619397949</v>
      </c>
      <c r="AD2" t="n">
        <v>0.132082599192676</v>
      </c>
      <c r="AE2" t="n">
        <v>0.305818080313687</v>
      </c>
      <c r="AF2"/>
    </row>
    <row r="3">
      <c r="A3" t="s">
        <v>110</v>
      </c>
      <c r="B3" t="s">
        <v>283</v>
      </c>
      <c r="C3" t="s">
        <v>111</v>
      </c>
      <c r="D3" t="s">
        <v>284</v>
      </c>
      <c r="E3" t="s">
        <v>46</v>
      </c>
      <c r="F3" t="n">
        <v>0.105759866928409</v>
      </c>
      <c r="G3" t="n">
        <v>-0.116631550629362</v>
      </c>
      <c r="H3" t="n">
        <v>0.843575376692927</v>
      </c>
      <c r="I3" t="n">
        <v>0.355194319499418</v>
      </c>
      <c r="J3" t="n">
        <v>0.684831393961504</v>
      </c>
      <c r="K3" t="n">
        <v>0.130765838560893</v>
      </c>
      <c r="L3" t="n">
        <v>0.33892605843929</v>
      </c>
      <c r="M3" t="n">
        <v>0.588786403612525</v>
      </c>
      <c r="N3" t="n">
        <v>0.405060062880774</v>
      </c>
      <c r="O3" t="n">
        <v>0.3559279278387</v>
      </c>
      <c r="P3" t="n">
        <v>0.168840579760816</v>
      </c>
      <c r="Q3" t="n">
        <v>0.173428024689307</v>
      </c>
      <c r="R3" t="n">
        <v>0.511506273815049</v>
      </c>
      <c r="S3" t="n">
        <v>-0.711585919054021</v>
      </c>
      <c r="T3" t="n">
        <v>2.48969885477825</v>
      </c>
      <c r="U3" t="n">
        <v>-0.387320886269551</v>
      </c>
      <c r="V3" t="n">
        <v>0.459870284338936</v>
      </c>
      <c r="W3" t="n">
        <v>0.313900247158621</v>
      </c>
      <c r="X3" t="n">
        <v>-0.0612213543995513</v>
      </c>
      <c r="Y3" t="n">
        <v>0.2099524400951</v>
      </c>
      <c r="Z3" t="n">
        <v>-0.51307022863753</v>
      </c>
      <c r="AA3" t="n">
        <v>1.1698081738984</v>
      </c>
      <c r="AB3" t="n">
        <v>-0.407111668188061</v>
      </c>
      <c r="AC3" t="n">
        <v>0.658924643285299</v>
      </c>
      <c r="AD3" t="n">
        <v>0.16590598447391</v>
      </c>
      <c r="AE3" t="n">
        <v>-1.49889815711668</v>
      </c>
      <c r="AF3"/>
    </row>
    <row r="4">
      <c r="A4" t="s">
        <v>112</v>
      </c>
      <c r="B4" t="s">
        <v>283</v>
      </c>
      <c r="C4" t="s">
        <v>113</v>
      </c>
      <c r="D4" t="s">
        <v>284</v>
      </c>
      <c r="E4" t="s">
        <v>46</v>
      </c>
      <c r="F4" t="n">
        <v>0.450512786576138</v>
      </c>
      <c r="G4" t="n">
        <v>0.321926875994444</v>
      </c>
      <c r="H4" t="n">
        <v>0.471649964666556</v>
      </c>
      <c r="I4" t="n">
        <v>0.7643535477001</v>
      </c>
      <c r="J4" t="n">
        <v>0.486311581927865</v>
      </c>
      <c r="K4" t="n">
        <v>0.317136657845629</v>
      </c>
      <c r="L4" t="n">
        <v>0.634486905212956</v>
      </c>
      <c r="M4" t="n">
        <v>0.557901656681456</v>
      </c>
      <c r="N4" t="n">
        <v>0.516547331969058</v>
      </c>
      <c r="O4" t="n">
        <v>0.545414388759846</v>
      </c>
      <c r="P4" t="n">
        <v>0.613002152121276</v>
      </c>
      <c r="Q4" t="n">
        <v>0.318571331215967</v>
      </c>
      <c r="R4" t="n">
        <v>0.68256546705202</v>
      </c>
      <c r="S4" t="n">
        <v>0.375269779260971</v>
      </c>
      <c r="T4" t="n">
        <v>0.439606240808431</v>
      </c>
      <c r="U4" t="n">
        <v>0.188398887820369</v>
      </c>
      <c r="V4" t="n">
        <v>0.150500377942814</v>
      </c>
      <c r="W4" t="n">
        <v>0.618282011489258</v>
      </c>
      <c r="X4" t="n">
        <v>0.118926754851782</v>
      </c>
      <c r="Y4" t="n">
        <v>-0.0337833918733306</v>
      </c>
      <c r="Z4" t="n">
        <v>0.397477048432042</v>
      </c>
      <c r="AA4" t="n">
        <v>0.17275429440489</v>
      </c>
      <c r="AB4" t="n">
        <v>0.199058234005765</v>
      </c>
      <c r="AC4" t="n">
        <v>0.00573727222041231</v>
      </c>
      <c r="AD4" t="n">
        <v>0.0386272253067324</v>
      </c>
      <c r="AE4" t="n">
        <v>-0.272779526998459</v>
      </c>
      <c r="AF4"/>
    </row>
    <row r="5">
      <c r="A5" t="s">
        <v>114</v>
      </c>
      <c r="B5" t="s">
        <v>283</v>
      </c>
      <c r="C5" t="s">
        <v>115</v>
      </c>
      <c r="D5" t="s">
        <v>284</v>
      </c>
      <c r="E5" t="s">
        <v>46</v>
      </c>
      <c r="F5" t="n">
        <v>0.487042234590518</v>
      </c>
      <c r="G5" t="n">
        <v>0.0569693759644491</v>
      </c>
      <c r="H5" t="n">
        <v>0.257320240235125</v>
      </c>
      <c r="I5" t="n">
        <v>0.741878543714797</v>
      </c>
      <c r="J5" t="n">
        <v>0.093913368651779</v>
      </c>
      <c r="K5" t="n">
        <v>-0.0557272911936552</v>
      </c>
      <c r="L5" t="n">
        <v>0.592553402761057</v>
      </c>
      <c r="M5" t="n">
        <v>0.417788864229333</v>
      </c>
      <c r="N5" t="n">
        <v>0.483869316924879</v>
      </c>
      <c r="O5" t="n">
        <v>0.432872773443669</v>
      </c>
      <c r="P5" t="n">
        <v>0.41017857705596</v>
      </c>
      <c r="Q5" t="n">
        <v>0.264531495817842</v>
      </c>
      <c r="R5" t="n">
        <v>0.781628292712011</v>
      </c>
      <c r="S5" t="n">
        <v>0.00699311500814334</v>
      </c>
      <c r="T5" t="n">
        <v>0.277186352119212</v>
      </c>
      <c r="U5" t="n">
        <v>0.0624576276495891</v>
      </c>
      <c r="V5" t="n">
        <v>0.187656356038189</v>
      </c>
      <c r="W5" t="n">
        <v>0.834852217048474</v>
      </c>
      <c r="X5" t="n">
        <v>0.104253072388447</v>
      </c>
      <c r="Y5" t="n">
        <v>0.039351039690565</v>
      </c>
      <c r="Z5" t="n">
        <v>0.321154700996044</v>
      </c>
      <c r="AA5" t="n">
        <v>0.169897315154824</v>
      </c>
      <c r="AB5" t="n">
        <v>0.356491385814624</v>
      </c>
      <c r="AC5" t="n">
        <v>-0.357728798594045</v>
      </c>
      <c r="AD5" t="n">
        <v>0.429416977720889</v>
      </c>
      <c r="AE5" t="n">
        <v>-0.574581180425611</v>
      </c>
      <c r="AF5"/>
    </row>
    <row r="6">
      <c r="A6" t="s">
        <v>116</v>
      </c>
      <c r="B6" t="s">
        <v>283</v>
      </c>
      <c r="C6" t="s">
        <v>117</v>
      </c>
      <c r="D6" t="s">
        <v>284</v>
      </c>
      <c r="E6" t="s">
        <v>46</v>
      </c>
      <c r="F6" t="n">
        <v>0.132094773629738</v>
      </c>
      <c r="G6" t="n">
        <v>0.473353773695918</v>
      </c>
      <c r="H6" t="n">
        <v>0.448650058220144</v>
      </c>
      <c r="I6" t="n">
        <v>0.625027968050582</v>
      </c>
      <c r="J6" t="n">
        <v>0.0677592209425561</v>
      </c>
      <c r="K6" t="n">
        <v>0.209140718898158</v>
      </c>
      <c r="L6" t="n">
        <v>0.881041610004638</v>
      </c>
      <c r="M6" t="n">
        <v>0.542538699099451</v>
      </c>
      <c r="N6" t="n">
        <v>0.412886807595191</v>
      </c>
      <c r="O6" t="n">
        <v>1.08168507394917</v>
      </c>
      <c r="P6" t="n">
        <v>0.489740519774305</v>
      </c>
      <c r="Q6" t="n">
        <v>-0.0541442522705941</v>
      </c>
      <c r="R6" t="n">
        <v>0.321715724998981</v>
      </c>
      <c r="S6" t="n">
        <v>0.909565865758727</v>
      </c>
      <c r="T6" t="n">
        <v>1.19546970940667</v>
      </c>
      <c r="U6" t="n">
        <v>0.511054890303216</v>
      </c>
      <c r="V6" t="n">
        <v>-0.569266646689151</v>
      </c>
      <c r="W6" t="n">
        <v>1.11429549495344</v>
      </c>
      <c r="X6" t="n">
        <v>0.31457993712998</v>
      </c>
      <c r="Y6" t="n">
        <v>-0.330379319956257</v>
      </c>
      <c r="Z6" t="n">
        <v>-0.30908737750861</v>
      </c>
      <c r="AA6" t="n">
        <v>0.7127983052957</v>
      </c>
      <c r="AB6" t="n">
        <v>-0.00293293656837785</v>
      </c>
      <c r="AC6" t="n">
        <v>0.221030266303278</v>
      </c>
      <c r="AD6" t="n">
        <v>0.210114119923149</v>
      </c>
      <c r="AE6" t="n">
        <v>-0.473426388271968</v>
      </c>
      <c r="AF6"/>
    </row>
    <row r="7">
      <c r="A7" t="s">
        <v>118</v>
      </c>
      <c r="B7" t="s">
        <v>283</v>
      </c>
      <c r="C7" t="s">
        <v>119</v>
      </c>
      <c r="D7" t="s">
        <v>284</v>
      </c>
      <c r="E7" t="s">
        <v>46</v>
      </c>
      <c r="F7" t="n">
        <v>0.544949514313146</v>
      </c>
      <c r="G7" t="n">
        <v>0.50360726345756</v>
      </c>
      <c r="H7" t="n">
        <v>0.183008222754729</v>
      </c>
      <c r="I7" t="n">
        <v>0.816066754392482</v>
      </c>
      <c r="J7" t="n">
        <v>1.00439288864204</v>
      </c>
      <c r="K7" t="n">
        <v>0.623573740624377</v>
      </c>
      <c r="L7" t="n">
        <v>0.47158828286282</v>
      </c>
      <c r="M7" t="n">
        <v>0.129893027236239</v>
      </c>
      <c r="N7" t="n">
        <v>0.953874980208372</v>
      </c>
      <c r="O7" t="n">
        <v>0.453155352870673</v>
      </c>
      <c r="P7" t="n">
        <v>0.687365262122846</v>
      </c>
      <c r="Q7" t="n">
        <v>-0.0739852834995094</v>
      </c>
      <c r="R7" t="n">
        <v>1.52090124183988</v>
      </c>
      <c r="S7" t="n">
        <v>0.641745417926355</v>
      </c>
      <c r="T7" t="n">
        <v>0.077359362088009</v>
      </c>
      <c r="U7" t="n">
        <v>0.390492696343987</v>
      </c>
      <c r="V7" t="n">
        <v>-0.160630450758392</v>
      </c>
      <c r="W7" t="n">
        <v>0.881095725449601</v>
      </c>
      <c r="X7" t="n">
        <v>0.230548398087322</v>
      </c>
      <c r="Y7" t="n">
        <v>-0.0364205147811302</v>
      </c>
      <c r="Z7" t="n">
        <v>0.737090853063124</v>
      </c>
      <c r="AA7" t="n">
        <v>-0.393918656341147</v>
      </c>
      <c r="AB7" t="n">
        <v>0.192882448351813</v>
      </c>
      <c r="AC7" t="n">
        <v>-0.3119728795477</v>
      </c>
      <c r="AD7" t="n">
        <v>0.125579535895857</v>
      </c>
      <c r="AE7" t="n">
        <v>-0.478498298093271</v>
      </c>
      <c r="AF7"/>
    </row>
    <row r="8">
      <c r="A8" t="s">
        <v>120</v>
      </c>
      <c r="B8" t="s">
        <v>283</v>
      </c>
      <c r="C8" t="s">
        <v>121</v>
      </c>
      <c r="D8" t="s">
        <v>284</v>
      </c>
      <c r="E8" t="s">
        <v>46</v>
      </c>
      <c r="F8" t="n">
        <v>0.1587200065182</v>
      </c>
      <c r="G8" t="n">
        <v>0.0179267266051072</v>
      </c>
      <c r="H8" t="n">
        <v>0.116180501524239</v>
      </c>
      <c r="I8" t="n">
        <v>0.10308915169566</v>
      </c>
      <c r="J8" t="n">
        <v>0.182612038223103</v>
      </c>
      <c r="K8" t="n">
        <v>0.238001807581291</v>
      </c>
      <c r="L8" t="n">
        <v>0.683278388836662</v>
      </c>
      <c r="M8" t="n">
        <v>0.752172414387162</v>
      </c>
      <c r="N8" t="n">
        <v>0.834315898221668</v>
      </c>
      <c r="O8" t="n">
        <v>0.485610733527265</v>
      </c>
      <c r="P8" t="n">
        <v>0.269232496488456</v>
      </c>
      <c r="Q8" t="n">
        <v>0.0580755364254537</v>
      </c>
      <c r="R8" t="n">
        <v>0.244717379905928</v>
      </c>
      <c r="S8" t="n">
        <v>-1.07780207159009</v>
      </c>
      <c r="T8" t="n">
        <v>-0.248005594429823</v>
      </c>
      <c r="U8" t="n">
        <v>1.15186764905433</v>
      </c>
      <c r="V8" t="n">
        <v>-0.0942737833010573</v>
      </c>
      <c r="W8" t="n">
        <v>0.875966501370232</v>
      </c>
      <c r="X8" t="n">
        <v>-1.2194931653605</v>
      </c>
      <c r="Y8" t="n">
        <v>0.0397507136374851</v>
      </c>
      <c r="Z8" t="n">
        <v>-0.554398421260078</v>
      </c>
      <c r="AA8" t="n">
        <v>1.97807201940473</v>
      </c>
      <c r="AB8" t="n">
        <v>-0.939162182397331</v>
      </c>
      <c r="AC8" t="n">
        <v>-0.570103788422962</v>
      </c>
      <c r="AD8" t="n">
        <v>0.194291378682936</v>
      </c>
      <c r="AE8" t="n">
        <v>-1.15459324615976</v>
      </c>
      <c r="AF8"/>
    </row>
    <row r="9">
      <c r="A9" t="s">
        <v>122</v>
      </c>
      <c r="B9" t="s">
        <v>283</v>
      </c>
      <c r="C9" t="s">
        <v>123</v>
      </c>
      <c r="D9" t="s">
        <v>284</v>
      </c>
      <c r="E9" t="s">
        <v>46</v>
      </c>
      <c r="F9" t="n">
        <v>-0.00335419822296081</v>
      </c>
      <c r="G9" t="n">
        <v>0.0919680703330624</v>
      </c>
      <c r="H9" t="n">
        <v>0.370718007573055</v>
      </c>
      <c r="I9" t="n">
        <v>0.469873815369665</v>
      </c>
      <c r="J9" t="n">
        <v>0.432016512166605</v>
      </c>
      <c r="K9" t="n">
        <v>0.0492049757543631</v>
      </c>
      <c r="L9" t="n">
        <v>0.462554789034707</v>
      </c>
      <c r="M9" t="n">
        <v>0.343268760619279</v>
      </c>
      <c r="N9" t="n">
        <v>0.265256338756811</v>
      </c>
      <c r="O9" t="n">
        <v>0.764960507554822</v>
      </c>
      <c r="P9" t="n">
        <v>0.0358382716579285</v>
      </c>
      <c r="Q9" t="n">
        <v>0.0066579956580853</v>
      </c>
      <c r="R9" t="n">
        <v>0.719168384720125</v>
      </c>
      <c r="S9" t="n">
        <v>-0.343996730260863</v>
      </c>
      <c r="T9" t="n">
        <v>-0.151010439398401</v>
      </c>
      <c r="U9" t="n">
        <v>0.587888543754486</v>
      </c>
      <c r="V9" t="n">
        <v>-0.202891136394236</v>
      </c>
      <c r="W9" t="n">
        <v>1.57429883536445</v>
      </c>
      <c r="X9" t="n">
        <v>-1.15163364229677</v>
      </c>
      <c r="Y9" t="n">
        <v>-0.306153791998496</v>
      </c>
      <c r="Z9" t="n">
        <v>-0.131010443538985</v>
      </c>
      <c r="AA9" t="n">
        <v>1.25389672226467</v>
      </c>
      <c r="AB9" t="n">
        <v>-0.391116306480407</v>
      </c>
      <c r="AC9" t="n">
        <v>-0.606795993798354</v>
      </c>
      <c r="AD9" t="n">
        <v>-0.0900452678555991</v>
      </c>
      <c r="AE9" t="n">
        <v>0.0735016567572907</v>
      </c>
      <c r="AF9"/>
    </row>
    <row r="10">
      <c r="A10" t="s">
        <v>124</v>
      </c>
      <c r="B10" t="s">
        <v>283</v>
      </c>
      <c r="C10" t="s">
        <v>125</v>
      </c>
      <c r="D10" t="s">
        <v>284</v>
      </c>
      <c r="E10" t="s">
        <v>46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283</v>
      </c>
      <c r="C11" t="s">
        <v>127</v>
      </c>
      <c r="D11" t="s">
        <v>284</v>
      </c>
      <c r="E11" t="s">
        <v>46</v>
      </c>
      <c r="F11" t="n">
        <v>0.00384215629715318</v>
      </c>
      <c r="G11" t="n">
        <v>0.265976044849461</v>
      </c>
      <c r="H11" t="n">
        <v>0.531377922119355</v>
      </c>
      <c r="I11" t="n">
        <v>0.6087186546266</v>
      </c>
      <c r="J11" t="n">
        <v>0.57308671586879</v>
      </c>
      <c r="K11" t="n">
        <v>0.179660467521062</v>
      </c>
      <c r="L11" t="n">
        <v>0.315176223872775</v>
      </c>
      <c r="M11" t="n">
        <v>0.347631067653606</v>
      </c>
      <c r="N11" t="n">
        <v>0.0146960197172132</v>
      </c>
      <c r="O11" t="n">
        <v>0.531168266056825</v>
      </c>
      <c r="P11" t="n">
        <v>0.0499888780541856</v>
      </c>
      <c r="Q11" t="n">
        <v>0.0407309173824192</v>
      </c>
      <c r="R11" t="n">
        <v>0.700966903100327</v>
      </c>
      <c r="S11" t="n">
        <v>-0.177627106408953</v>
      </c>
      <c r="T11" t="n">
        <v>-0.232243126407794</v>
      </c>
      <c r="U11" t="n">
        <v>0.594613443205375</v>
      </c>
      <c r="V11" t="n">
        <v>-0.197653343034196</v>
      </c>
      <c r="W11" t="n">
        <v>1.36531316040618</v>
      </c>
      <c r="X11" t="n">
        <v>-0.917760349750569</v>
      </c>
      <c r="Y11" t="n">
        <v>-0.16529140582065</v>
      </c>
      <c r="Z11" t="n">
        <v>-0.201435404771723</v>
      </c>
      <c r="AA11" t="n">
        <v>1.10247818616199</v>
      </c>
      <c r="AB11" t="n">
        <v>-0.157700551139049</v>
      </c>
      <c r="AC11" t="n">
        <v>-0.356556260687861</v>
      </c>
      <c r="AD11" t="n">
        <v>0.00237443048994922</v>
      </c>
      <c r="AE11" t="n">
        <v>0.13138867151757</v>
      </c>
      <c r="AF11"/>
    </row>
    <row r="12">
      <c r="A12" t="s">
        <v>128</v>
      </c>
      <c r="B12" t="s">
        <v>283</v>
      </c>
      <c r="C12" t="s">
        <v>129</v>
      </c>
      <c r="D12" t="s">
        <v>284</v>
      </c>
      <c r="E12" t="s">
        <v>46</v>
      </c>
      <c r="F12" t="n">
        <v>0.291440848339822</v>
      </c>
      <c r="G12" t="n">
        <v>0.404914747192469</v>
      </c>
      <c r="H12" t="n">
        <v>0.350133668578878</v>
      </c>
      <c r="I12" t="n">
        <v>0.518418707968379</v>
      </c>
      <c r="J12" t="n">
        <v>0.293504037497423</v>
      </c>
      <c r="K12" t="n">
        <v>0.0316537648328895</v>
      </c>
      <c r="L12" t="n">
        <v>0.535166315588849</v>
      </c>
      <c r="M12" t="n">
        <v>0.797755673129705</v>
      </c>
      <c r="N12" t="n">
        <v>0.421433679931677</v>
      </c>
      <c r="O12" t="n">
        <v>0.163837457661628</v>
      </c>
      <c r="P12" t="n">
        <v>0.34565433993654</v>
      </c>
      <c r="Q12" t="n">
        <v>0.254981091498766</v>
      </c>
      <c r="R12" t="n">
        <v>0.708256521776244</v>
      </c>
      <c r="S12" t="n">
        <v>0.279499296335345</v>
      </c>
      <c r="T12" t="n">
        <v>0.521816716826508</v>
      </c>
      <c r="U12" t="n">
        <v>0.211551135059178</v>
      </c>
      <c r="V12" t="n">
        <v>0.243772853588211</v>
      </c>
      <c r="W12" t="n">
        <v>0.460973014066631</v>
      </c>
      <c r="X12" t="n">
        <v>0.482133308548928</v>
      </c>
      <c r="Y12" t="n">
        <v>0.215144641027131</v>
      </c>
      <c r="Z12" t="n">
        <v>0.074103240988693</v>
      </c>
      <c r="AA12" t="n">
        <v>-0.0406976503987558</v>
      </c>
      <c r="AB12" t="n">
        <v>0.281326096368719</v>
      </c>
      <c r="AC12" t="n">
        <v>0.125865729220647</v>
      </c>
      <c r="AD12" t="n">
        <v>-0.11836625906457</v>
      </c>
      <c r="AE12" t="n">
        <v>-0.45297198587713</v>
      </c>
      <c r="AF12"/>
    </row>
    <row r="13">
      <c r="A13" t="s">
        <v>130</v>
      </c>
      <c r="B13" t="s">
        <v>283</v>
      </c>
      <c r="C13" t="s">
        <v>131</v>
      </c>
      <c r="D13" t="s">
        <v>284</v>
      </c>
      <c r="E13" t="s">
        <v>46</v>
      </c>
      <c r="F13" t="n">
        <v>0.47826383523664</v>
      </c>
      <c r="G13" t="n">
        <v>-0.0399128368809996</v>
      </c>
      <c r="H13" t="n">
        <v>0.173042096546261</v>
      </c>
      <c r="I13" t="n">
        <v>0.478771957182936</v>
      </c>
      <c r="J13" t="n">
        <v>0.495146614581881</v>
      </c>
      <c r="K13" t="n">
        <v>0.0501801789226127</v>
      </c>
      <c r="L13" t="n">
        <v>0.445924273985202</v>
      </c>
      <c r="M13" t="n">
        <v>0.651034968429101</v>
      </c>
      <c r="N13" t="n">
        <v>0.438472736464818</v>
      </c>
      <c r="O13" t="n">
        <v>0.311303016204598</v>
      </c>
      <c r="P13" t="n">
        <v>0.49805134126193</v>
      </c>
      <c r="Q13" t="n">
        <v>-0.00386092809491299</v>
      </c>
      <c r="R13" t="n">
        <v>0.639667179795511</v>
      </c>
      <c r="S13" t="n">
        <v>-0.0524661082236781</v>
      </c>
      <c r="T13" t="n">
        <v>0.765753312544663</v>
      </c>
      <c r="U13" t="n">
        <v>0.313564305891513</v>
      </c>
      <c r="V13" t="n">
        <v>-0.121257331259953</v>
      </c>
      <c r="W13" t="n">
        <v>0.509529722121956</v>
      </c>
      <c r="X13" t="n">
        <v>0.0869305946063607</v>
      </c>
      <c r="Y13" t="n">
        <v>0.0634710408920749</v>
      </c>
      <c r="Z13" t="n">
        <v>0.15736321782123</v>
      </c>
      <c r="AA13" t="n">
        <v>0.43553719521607</v>
      </c>
      <c r="AB13" t="n">
        <v>-0.0148499355761064</v>
      </c>
      <c r="AC13" t="n">
        <v>-0.0279029092332308</v>
      </c>
      <c r="AD13" t="n">
        <v>0.17699813353663</v>
      </c>
      <c r="AE13" t="n">
        <v>-0.511818505983355</v>
      </c>
      <c r="AF13"/>
    </row>
    <row r="14">
      <c r="A14" t="s">
        <v>132</v>
      </c>
      <c r="B14" t="s">
        <v>283</v>
      </c>
      <c r="C14" t="s">
        <v>133</v>
      </c>
      <c r="D14" t="s">
        <v>284</v>
      </c>
      <c r="E14" t="s">
        <v>46</v>
      </c>
      <c r="F14" t="n">
        <v>0.196907034236651</v>
      </c>
      <c r="G14" t="n">
        <v>0.502556673978298</v>
      </c>
      <c r="H14" t="n">
        <v>0.464544953973123</v>
      </c>
      <c r="I14" t="n">
        <v>0.944289778229022</v>
      </c>
      <c r="J14" t="n">
        <v>0.672973614628872</v>
      </c>
      <c r="K14" t="n">
        <v>0.304907488240575</v>
      </c>
      <c r="L14" t="n">
        <v>0.83810830187838</v>
      </c>
      <c r="M14" t="n">
        <v>0.523660166574947</v>
      </c>
      <c r="N14" t="n">
        <v>0.420089712072365</v>
      </c>
      <c r="O14" t="n">
        <v>0.935034186781817</v>
      </c>
      <c r="P14" t="n">
        <v>0.969122699604517</v>
      </c>
      <c r="Q14" t="n">
        <v>0.469213528659167</v>
      </c>
      <c r="R14" t="n">
        <v>0.815451484014204</v>
      </c>
      <c r="S14" t="n">
        <v>0.321051080432382</v>
      </c>
      <c r="T14" t="n">
        <v>1.13554812651916</v>
      </c>
      <c r="U14" t="n">
        <v>-0.173697539898605</v>
      </c>
      <c r="V14" t="n">
        <v>0.553979993231523</v>
      </c>
      <c r="W14" t="n">
        <v>0.645605457235283</v>
      </c>
      <c r="X14" t="n">
        <v>0.619632858656928</v>
      </c>
      <c r="Y14" t="n">
        <v>-0.25788966812532</v>
      </c>
      <c r="Z14" t="n">
        <v>0.377233204575264</v>
      </c>
      <c r="AA14" t="n">
        <v>0.0978197373957343</v>
      </c>
      <c r="AB14" t="n">
        <v>0.25564633897245</v>
      </c>
      <c r="AC14" t="n">
        <v>0.126406232811249</v>
      </c>
      <c r="AD14" t="n">
        <v>-0.0814035851893315</v>
      </c>
      <c r="AE14" t="n">
        <v>-0.396447247437085</v>
      </c>
      <c r="AF14"/>
    </row>
    <row r="15">
      <c r="A15" t="s">
        <v>134</v>
      </c>
      <c r="B15" t="s">
        <v>283</v>
      </c>
      <c r="C15" t="s">
        <v>135</v>
      </c>
      <c r="D15" t="s">
        <v>284</v>
      </c>
      <c r="E15" t="s">
        <v>46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283</v>
      </c>
      <c r="C16" t="s">
        <v>137</v>
      </c>
      <c r="D16" t="s">
        <v>284</v>
      </c>
      <c r="E16" t="s">
        <v>46</v>
      </c>
      <c r="F16" t="n">
        <v>0.218756905075426</v>
      </c>
      <c r="G16" t="n">
        <v>0.438600105639235</v>
      </c>
      <c r="H16" t="n">
        <v>0.613396450939245</v>
      </c>
      <c r="I16" t="n">
        <v>0.82218638174989</v>
      </c>
      <c r="J16" t="n">
        <v>0.869812625007428</v>
      </c>
      <c r="K16" t="n">
        <v>0.334316081784443</v>
      </c>
      <c r="L16" t="n">
        <v>0.689493476309878</v>
      </c>
      <c r="M16" t="n">
        <v>0.598084561728593</v>
      </c>
      <c r="N16" t="n">
        <v>0.0364531813678238</v>
      </c>
      <c r="O16" t="n">
        <v>0.456065675770664</v>
      </c>
      <c r="P16" t="n">
        <v>0.634072529807169</v>
      </c>
      <c r="Q16" t="n">
        <v>1.97195352283702</v>
      </c>
      <c r="R16" t="n">
        <v>-1.42237178431015</v>
      </c>
      <c r="S16" t="n">
        <v>1.11463373886464</v>
      </c>
      <c r="T16" t="n">
        <v>0.933526818019363</v>
      </c>
      <c r="U16" t="n">
        <v>-0.255593082930495</v>
      </c>
      <c r="V16" t="n">
        <v>0.117967193595081</v>
      </c>
      <c r="W16" t="n">
        <v>0.0718381011567164</v>
      </c>
      <c r="X16" t="n">
        <v>0.215531559145872</v>
      </c>
      <c r="Y16" t="n">
        <v>0.0328706523459382</v>
      </c>
      <c r="Z16" t="n">
        <v>0.584050271713279</v>
      </c>
      <c r="AA16" t="n">
        <v>0.038804282420294</v>
      </c>
      <c r="AB16" t="n">
        <v>0.194154612712682</v>
      </c>
      <c r="AC16" t="n">
        <v>0.487238199369544</v>
      </c>
      <c r="AD16" t="n">
        <v>-0.0235446734927795</v>
      </c>
      <c r="AE16" t="n">
        <v>-0.0589347089312061</v>
      </c>
      <c r="AF16"/>
    </row>
    <row r="17">
      <c r="A17" t="s">
        <v>138</v>
      </c>
      <c r="B17" t="s">
        <v>283</v>
      </c>
      <c r="C17" t="s">
        <v>139</v>
      </c>
      <c r="D17" t="s">
        <v>284</v>
      </c>
      <c r="E17" t="s">
        <v>46</v>
      </c>
      <c r="F17" t="n">
        <v>0.577178485632301</v>
      </c>
      <c r="G17" t="n">
        <v>0.020509359145952</v>
      </c>
      <c r="H17" t="n">
        <v>0.379651766973565</v>
      </c>
      <c r="I17" t="n">
        <v>0.703672352702741</v>
      </c>
      <c r="J17" t="n">
        <v>0.282054283162004</v>
      </c>
      <c r="K17" t="n">
        <v>0.25345887334775</v>
      </c>
      <c r="L17" t="n">
        <v>0.707475268479332</v>
      </c>
      <c r="M17" t="n">
        <v>0.48672023278277</v>
      </c>
      <c r="N17" t="n">
        <v>0.435072268725939</v>
      </c>
      <c r="O17" t="n">
        <v>0.589382222587085</v>
      </c>
      <c r="P17" t="n">
        <v>0.346716665043677</v>
      </c>
      <c r="Q17" t="n">
        <v>0.0266346858328109</v>
      </c>
      <c r="R17" t="n">
        <v>0.83168515185684</v>
      </c>
      <c r="S17" t="n">
        <v>0.42935274131449</v>
      </c>
      <c r="T17" t="n">
        <v>0.387577355451919</v>
      </c>
      <c r="U17" t="n">
        <v>0.232130538321199</v>
      </c>
      <c r="V17" t="n">
        <v>0.0536956473951257</v>
      </c>
      <c r="W17" t="n">
        <v>0.785698884994149</v>
      </c>
      <c r="X17" t="n">
        <v>-0.171617224647501</v>
      </c>
      <c r="Y17" t="n">
        <v>0.258684030729526</v>
      </c>
      <c r="Z17" t="n">
        <v>0.282860490881638</v>
      </c>
      <c r="AA17" t="n">
        <v>0.212793998502567</v>
      </c>
      <c r="AB17" t="n">
        <v>0.225118100673357</v>
      </c>
      <c r="AC17" t="n">
        <v>0.154908721427105</v>
      </c>
      <c r="AD17" t="n">
        <v>-0.426773298478048</v>
      </c>
      <c r="AE17" t="n">
        <v>-0.32078437918977</v>
      </c>
      <c r="AF17"/>
    </row>
    <row r="18">
      <c r="A18" t="s">
        <v>140</v>
      </c>
      <c r="B18" t="s">
        <v>283</v>
      </c>
      <c r="C18" t="s">
        <v>141</v>
      </c>
      <c r="D18" t="s">
        <v>284</v>
      </c>
      <c r="E18" t="s">
        <v>46</v>
      </c>
      <c r="F18" t="n">
        <v>0.29902400141157</v>
      </c>
      <c r="G18" t="n">
        <v>-0.0583658126271901</v>
      </c>
      <c r="H18" t="n">
        <v>0.252290412634347</v>
      </c>
      <c r="I18" t="n">
        <v>0.903504926083089</v>
      </c>
      <c r="J18" t="n">
        <v>0.356450803274426</v>
      </c>
      <c r="K18" t="n">
        <v>0.0584146232406973</v>
      </c>
      <c r="L18" t="n">
        <v>0.384548665961823</v>
      </c>
      <c r="M18" t="n">
        <v>0.261721110004718</v>
      </c>
      <c r="N18" t="n">
        <v>0.41196469338317</v>
      </c>
      <c r="O18" t="n">
        <v>0.0605076318798873</v>
      </c>
      <c r="P18" t="n">
        <v>0.291937384105108</v>
      </c>
      <c r="Q18" t="n">
        <v>0.186804346900645</v>
      </c>
      <c r="R18" t="n">
        <v>0.298602251993002</v>
      </c>
      <c r="S18" t="n">
        <v>0.304241356403159</v>
      </c>
      <c r="T18" t="n">
        <v>0.556163647315171</v>
      </c>
      <c r="U18" t="n">
        <v>-0.214617552833075</v>
      </c>
      <c r="V18" t="n">
        <v>0.232681715371517</v>
      </c>
      <c r="W18" t="n">
        <v>0.341927206745729</v>
      </c>
      <c r="X18" t="n">
        <v>0.354510375270145</v>
      </c>
      <c r="Y18" t="n">
        <v>-0.28387249739365</v>
      </c>
      <c r="Z18" t="n">
        <v>0.625368898394477</v>
      </c>
      <c r="AA18" t="n">
        <v>-0.0760801839983452</v>
      </c>
      <c r="AB18" t="n">
        <v>0.189880355663323</v>
      </c>
      <c r="AC18" t="n">
        <v>0.0738336710800562</v>
      </c>
      <c r="AD18" t="n">
        <v>0.11878698112681</v>
      </c>
      <c r="AE18" t="n">
        <v>0.316320883484816</v>
      </c>
      <c r="AF18"/>
    </row>
    <row r="19">
      <c r="A19" t="s">
        <v>142</v>
      </c>
      <c r="B19" t="s">
        <v>283</v>
      </c>
      <c r="C19" t="s">
        <v>143</v>
      </c>
      <c r="D19" t="s">
        <v>284</v>
      </c>
      <c r="E19" t="s">
        <v>46</v>
      </c>
      <c r="F19" t="n">
        <v>0.226674152315792</v>
      </c>
      <c r="G19" t="n">
        <v>0.250207097624568</v>
      </c>
      <c r="H19" t="n">
        <v>0.36735799321413</v>
      </c>
      <c r="I19" t="n">
        <v>0.929396175076961</v>
      </c>
      <c r="J19" t="n">
        <v>-0.0410682162754039</v>
      </c>
      <c r="K19" t="n">
        <v>0.296630710126367</v>
      </c>
      <c r="L19" t="n">
        <v>0.63245354663361</v>
      </c>
      <c r="M19" t="n">
        <v>1.7406544320728</v>
      </c>
      <c r="N19" t="n">
        <v>0.196342881043966</v>
      </c>
      <c r="O19" t="n">
        <v>0.191161973895948</v>
      </c>
      <c r="P19" t="n">
        <v>1.38624330061628</v>
      </c>
      <c r="Q19" t="n">
        <v>0.31223075887351</v>
      </c>
      <c r="R19" t="n">
        <v>0.199581900473114</v>
      </c>
      <c r="S19" t="n">
        <v>0.753372141245281</v>
      </c>
      <c r="T19" t="n">
        <v>0.9762809065872</v>
      </c>
      <c r="U19" t="n">
        <v>-0.13700789511337</v>
      </c>
      <c r="V19" t="n">
        <v>0.105433563277501</v>
      </c>
      <c r="W19" t="n">
        <v>1.33590183025911</v>
      </c>
      <c r="X19" t="n">
        <v>-0.225538100034665</v>
      </c>
      <c r="Y19" t="n">
        <v>-0.150751277049394</v>
      </c>
      <c r="Z19" t="n">
        <v>0.632927805310806</v>
      </c>
      <c r="AA19" t="n">
        <v>-0.0602405490221712</v>
      </c>
      <c r="AB19" t="n">
        <v>1.03184471650665</v>
      </c>
      <c r="AC19" t="n">
        <v>0.293644363941466</v>
      </c>
      <c r="AD19" t="n">
        <v>-0.824619338641558</v>
      </c>
      <c r="AE19" t="n">
        <v>-1.03580191372783</v>
      </c>
      <c r="AF19"/>
    </row>
    <row r="20">
      <c r="A20" t="s">
        <v>144</v>
      </c>
      <c r="B20" t="s">
        <v>283</v>
      </c>
      <c r="C20" t="s">
        <v>145</v>
      </c>
      <c r="D20" t="s">
        <v>284</v>
      </c>
      <c r="E20" t="s">
        <v>46</v>
      </c>
      <c r="F20" t="n">
        <v>0.165646538164889</v>
      </c>
      <c r="G20" t="n">
        <v>-0.459353402868807</v>
      </c>
      <c r="H20" t="n">
        <v>0.256176900494647</v>
      </c>
      <c r="I20" t="n">
        <v>0.531138732103747</v>
      </c>
      <c r="J20" t="n">
        <v>-0.173171876265933</v>
      </c>
      <c r="K20" t="n">
        <v>0.0544352716348121</v>
      </c>
      <c r="L20" t="n">
        <v>0.415444116535223</v>
      </c>
      <c r="M20" t="n">
        <v>-0.048467037187707</v>
      </c>
      <c r="N20" t="n">
        <v>0.147358079149759</v>
      </c>
      <c r="O20" t="n">
        <v>0.369750185732498</v>
      </c>
      <c r="P20" t="n">
        <v>0.372392949722879</v>
      </c>
      <c r="Q20" t="n">
        <v>0.220864142709092</v>
      </c>
      <c r="R20" t="n">
        <v>0.379955831643431</v>
      </c>
      <c r="S20" t="n">
        <v>-0.00253692079487332</v>
      </c>
      <c r="T20" t="n">
        <v>-0.0685357646762463</v>
      </c>
      <c r="U20" t="n">
        <v>0.15628653909387</v>
      </c>
      <c r="V20" t="n">
        <v>-0.0380668213059562</v>
      </c>
      <c r="W20" t="n">
        <v>-0.0583713524378558</v>
      </c>
      <c r="X20" t="n">
        <v>-0.0506593226087486</v>
      </c>
      <c r="Y20" t="n">
        <v>0.0312009655193516</v>
      </c>
      <c r="Z20" t="n">
        <v>0.00337572110908113</v>
      </c>
      <c r="AA20" t="n">
        <v>0.0149475062343447</v>
      </c>
      <c r="AB20" t="n">
        <v>0.320514120838035</v>
      </c>
      <c r="AC20" t="n">
        <v>-0.406703971931354</v>
      </c>
      <c r="AD20" t="n">
        <v>0.381877135215138</v>
      </c>
      <c r="AE20" t="n">
        <v>-0.249888533999952</v>
      </c>
      <c r="AF20"/>
    </row>
    <row r="21">
      <c r="A21" t="s">
        <v>146</v>
      </c>
      <c r="B21" t="s">
        <v>283</v>
      </c>
      <c r="C21" t="s">
        <v>147</v>
      </c>
      <c r="D21" t="s">
        <v>284</v>
      </c>
      <c r="E21" t="s">
        <v>46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283</v>
      </c>
      <c r="C22" t="s">
        <v>149</v>
      </c>
      <c r="D22" t="s">
        <v>284</v>
      </c>
      <c r="E22" t="s">
        <v>46</v>
      </c>
      <c r="F22" t="n">
        <v>0.0871519924472493</v>
      </c>
      <c r="G22" t="n">
        <v>-0.188859038085239</v>
      </c>
      <c r="H22" t="n">
        <v>0.111678952842994</v>
      </c>
      <c r="I22" t="n">
        <v>0.25148029862694</v>
      </c>
      <c r="J22" t="n">
        <v>-0.0391991626817092</v>
      </c>
      <c r="K22" t="n">
        <v>0.0100479133028379</v>
      </c>
      <c r="L22" t="n">
        <v>0.484184130798388</v>
      </c>
      <c r="M22" t="n">
        <v>0.00784423629152044</v>
      </c>
      <c r="N22" t="n">
        <v>0.196046740538589</v>
      </c>
      <c r="O22" t="n">
        <v>0.391443769060723</v>
      </c>
      <c r="P22" t="n">
        <v>0.0904307045495472</v>
      </c>
      <c r="Q22" t="n">
        <v>0.873270498240079</v>
      </c>
      <c r="R22" t="n">
        <v>0.275626887156988</v>
      </c>
      <c r="S22" t="n">
        <v>-0.115961304401799</v>
      </c>
      <c r="T22" t="n">
        <v>0.19674679311497</v>
      </c>
      <c r="U22" t="n">
        <v>0.15369334595691</v>
      </c>
      <c r="V22" t="n">
        <v>0.0457566987376063</v>
      </c>
      <c r="W22" t="n">
        <v>-0.0727150971774904</v>
      </c>
      <c r="X22" t="n">
        <v>0.084530564657623</v>
      </c>
      <c r="Y22" t="n">
        <v>0.0586926284915857</v>
      </c>
      <c r="Z22" t="n">
        <v>-0.048401315203814</v>
      </c>
      <c r="AA22" t="n">
        <v>0.196560320803983</v>
      </c>
      <c r="AB22" t="n">
        <v>0.0685997181593291</v>
      </c>
      <c r="AC22" t="n">
        <v>-0.170276823049782</v>
      </c>
      <c r="AD22" t="n">
        <v>0.241320903140101</v>
      </c>
      <c r="AE22" t="n">
        <v>-0.270973536301668</v>
      </c>
      <c r="AF22"/>
    </row>
    <row r="23">
      <c r="A23" t="s">
        <v>150</v>
      </c>
      <c r="B23" t="s">
        <v>283</v>
      </c>
      <c r="C23" t="s">
        <v>151</v>
      </c>
      <c r="D23" t="s">
        <v>284</v>
      </c>
      <c r="E23" t="s">
        <v>46</v>
      </c>
      <c r="F23" t="n">
        <v>0.958407938199528</v>
      </c>
      <c r="G23" t="n">
        <v>-0.107761858482707</v>
      </c>
      <c r="H23" t="n">
        <v>1.06697979889852</v>
      </c>
      <c r="I23" t="n">
        <v>0.372597360965039</v>
      </c>
      <c r="J23" t="n">
        <v>0.605947849815613</v>
      </c>
      <c r="K23" t="n">
        <v>1.24357565139863</v>
      </c>
      <c r="L23" t="n">
        <v>0.889753430919432</v>
      </c>
      <c r="M23" t="n">
        <v>0.849974880336972</v>
      </c>
      <c r="N23" t="n">
        <v>1.1652843198873</v>
      </c>
      <c r="O23" t="n">
        <v>0.148369508736954</v>
      </c>
      <c r="P23" t="n">
        <v>1.73321462354481</v>
      </c>
      <c r="Q23" t="n">
        <v>0.881348246956711</v>
      </c>
      <c r="R23" t="n">
        <v>0.130214039798382</v>
      </c>
      <c r="S23" t="n">
        <v>0.174614963300124</v>
      </c>
      <c r="T23" t="n">
        <v>1.08695578560906</v>
      </c>
      <c r="U23" t="n">
        <v>-0.116717083732256</v>
      </c>
      <c r="V23" t="n">
        <v>0.393392916389266</v>
      </c>
      <c r="W23" t="n">
        <v>-0.568780587200053</v>
      </c>
      <c r="X23" t="n">
        <v>1.06712201592643</v>
      </c>
      <c r="Y23" t="n">
        <v>0.646683394991599</v>
      </c>
      <c r="Z23" t="n">
        <v>0.444676622479914</v>
      </c>
      <c r="AA23" t="n">
        <v>0.495748991099298</v>
      </c>
      <c r="AB23" t="n">
        <v>-0.670154771261721</v>
      </c>
      <c r="AC23" t="n">
        <v>0.283097447892571</v>
      </c>
      <c r="AD23" t="n">
        <v>-0.619101995868384</v>
      </c>
      <c r="AE23" t="n">
        <v>-1.82642526132478</v>
      </c>
      <c r="AF23"/>
    </row>
    <row r="24">
      <c r="A24" t="s">
        <v>152</v>
      </c>
      <c r="B24" t="s">
        <v>283</v>
      </c>
      <c r="C24" t="s">
        <v>153</v>
      </c>
      <c r="D24" t="s">
        <v>284</v>
      </c>
      <c r="E24" t="s">
        <v>46</v>
      </c>
      <c r="F24" t="n">
        <v>0.44607366846657</v>
      </c>
      <c r="G24" t="n">
        <v>0.0694382650856529</v>
      </c>
      <c r="H24" t="n">
        <v>0.298206512650882</v>
      </c>
      <c r="I24" t="n">
        <v>0.463403738642603</v>
      </c>
      <c r="J24" t="n">
        <v>0.641431878287846</v>
      </c>
      <c r="K24" t="n">
        <v>0.69324462507346</v>
      </c>
      <c r="L24" t="n">
        <v>0.227858395839987</v>
      </c>
      <c r="M24" t="n">
        <v>0.379909311148092</v>
      </c>
      <c r="N24" t="n">
        <v>0.547005429128807</v>
      </c>
      <c r="O24" t="n">
        <v>0.754660787313477</v>
      </c>
      <c r="P24" t="n">
        <v>0.648607916356438</v>
      </c>
      <c r="Q24" t="n">
        <v>0.17784501755431</v>
      </c>
      <c r="R24" t="n">
        <v>0.545265959487469</v>
      </c>
      <c r="S24" t="n">
        <v>0.726584512653001</v>
      </c>
      <c r="T24" t="n">
        <v>0.173378292916109</v>
      </c>
      <c r="U24" t="n">
        <v>0.589049875935226</v>
      </c>
      <c r="V24" t="n">
        <v>0.107286810408381</v>
      </c>
      <c r="W24" t="n">
        <v>0.455864852403167</v>
      </c>
      <c r="X24" t="n">
        <v>-0.293211168791166</v>
      </c>
      <c r="Y24" t="n">
        <v>0.585613936922542</v>
      </c>
      <c r="Z24" t="n">
        <v>0.724169541496482</v>
      </c>
      <c r="AA24" t="n">
        <v>0.0350874447299095</v>
      </c>
      <c r="AB24" t="n">
        <v>0.168877138284546</v>
      </c>
      <c r="AC24" t="n">
        <v>-0.423034793971333</v>
      </c>
      <c r="AD24" t="n">
        <v>-0.212541693917043</v>
      </c>
      <c r="AE24" t="n">
        <v>-0.374348856300212</v>
      </c>
      <c r="AF24"/>
    </row>
    <row r="25">
      <c r="A25" t="s">
        <v>154</v>
      </c>
      <c r="B25" t="s">
        <v>283</v>
      </c>
      <c r="C25" t="s">
        <v>155</v>
      </c>
      <c r="D25" t="s">
        <v>284</v>
      </c>
      <c r="E25" t="s">
        <v>46</v>
      </c>
      <c r="F25" t="n">
        <v>0.310029576124478</v>
      </c>
      <c r="G25" t="n">
        <v>0.143110380601805</v>
      </c>
      <c r="H25" t="n">
        <v>0.359828710092901</v>
      </c>
      <c r="I25" t="n">
        <v>0.529831554028611</v>
      </c>
      <c r="J25" t="n">
        <v>0.783151131602402</v>
      </c>
      <c r="K25" t="n">
        <v>0.339342606584885</v>
      </c>
      <c r="L25" t="n">
        <v>0.930407986771528</v>
      </c>
      <c r="M25" t="n">
        <v>0.98163348222787</v>
      </c>
      <c r="N25" t="n">
        <v>0.768962360858801</v>
      </c>
      <c r="O25" t="n">
        <v>1.74842055644002</v>
      </c>
      <c r="P25" t="n">
        <v>-0.614949128063883</v>
      </c>
      <c r="Q25" t="n">
        <v>0.462751774362681</v>
      </c>
      <c r="R25" t="n">
        <v>1.14278630226665</v>
      </c>
      <c r="S25" t="n">
        <v>0.400711027799457</v>
      </c>
      <c r="T25" t="n">
        <v>0.278590316165505</v>
      </c>
      <c r="U25" t="n">
        <v>0.563092223129375</v>
      </c>
      <c r="V25" t="n">
        <v>-0.175668918121775</v>
      </c>
      <c r="W25" t="n">
        <v>0.250321216514958</v>
      </c>
      <c r="X25" t="n">
        <v>0.414210110216624</v>
      </c>
      <c r="Y25" t="n">
        <v>0.302294575364219</v>
      </c>
      <c r="Z25" t="n">
        <v>0.205593074638063</v>
      </c>
      <c r="AA25" t="n">
        <v>0.0282397673212804</v>
      </c>
      <c r="AB25" t="n">
        <v>-0.0481902939132307</v>
      </c>
      <c r="AC25" t="n">
        <v>-0.0938173889240245</v>
      </c>
      <c r="AD25" t="n">
        <v>-0.13868721059327</v>
      </c>
      <c r="AE25" t="n">
        <v>-0.383598254268526</v>
      </c>
      <c r="AF25"/>
    </row>
    <row r="26">
      <c r="A26" t="s">
        <v>156</v>
      </c>
      <c r="B26" t="s">
        <v>283</v>
      </c>
      <c r="C26" t="s">
        <v>157</v>
      </c>
      <c r="D26" t="s">
        <v>284</v>
      </c>
      <c r="E26" t="s">
        <v>46</v>
      </c>
      <c r="F26" t="n">
        <v>0.517631783815382</v>
      </c>
      <c r="G26" t="n">
        <v>0.250495472465426</v>
      </c>
      <c r="H26" t="n">
        <v>0.684749555581378</v>
      </c>
      <c r="I26" t="n">
        <v>1.30183019962378</v>
      </c>
      <c r="J26" t="n">
        <v>1.2319055849564</v>
      </c>
      <c r="K26" t="n">
        <v>1.58138645951564</v>
      </c>
      <c r="L26" t="n">
        <v>0.127929774708469</v>
      </c>
      <c r="M26" t="n">
        <v>0.364400257897232</v>
      </c>
      <c r="N26" t="n">
        <v>0.352726143454847</v>
      </c>
      <c r="O26" t="n">
        <v>1.0792100491614</v>
      </c>
      <c r="P26" t="n">
        <v>1.44584827991801</v>
      </c>
      <c r="Q26" t="n">
        <v>-0.941680587427747</v>
      </c>
      <c r="R26" t="n">
        <v>0.313119439076872</v>
      </c>
      <c r="S26" t="n">
        <v>1.62396559727204</v>
      </c>
      <c r="T26" t="n">
        <v>0.0109479450929411</v>
      </c>
      <c r="U26" t="n">
        <v>0.559102563565732</v>
      </c>
      <c r="V26" t="n">
        <v>-0.341661978600604</v>
      </c>
      <c r="W26" t="n">
        <v>1.04237842977502</v>
      </c>
      <c r="X26" t="n">
        <v>-0.696026676170091</v>
      </c>
      <c r="Y26" t="n">
        <v>1.54375933792306</v>
      </c>
      <c r="Z26" t="n">
        <v>1.07759460093601</v>
      </c>
      <c r="AA26" t="n">
        <v>0.181377645015331</v>
      </c>
      <c r="AB26" t="n">
        <v>-0.316773925670182</v>
      </c>
      <c r="AC26" t="n">
        <v>-0.395001502685009</v>
      </c>
      <c r="AD26" t="n">
        <v>0.511663208783071</v>
      </c>
      <c r="AE26" t="n">
        <v>-0.61613626344468</v>
      </c>
      <c r="AF26"/>
    </row>
    <row r="27">
      <c r="A27" t="s">
        <v>158</v>
      </c>
      <c r="B27" t="s">
        <v>283</v>
      </c>
      <c r="C27" t="s">
        <v>159</v>
      </c>
      <c r="D27" t="s">
        <v>284</v>
      </c>
      <c r="E27" t="s">
        <v>46</v>
      </c>
      <c r="F27" t="n">
        <v>0.233472450704202</v>
      </c>
      <c r="G27" t="n">
        <v>-0.0417742599299001</v>
      </c>
      <c r="H27" t="n">
        <v>0.00127322944549852</v>
      </c>
      <c r="I27" t="n">
        <v>-0.0195789183536548</v>
      </c>
      <c r="J27" t="n">
        <v>0.260417354180727</v>
      </c>
      <c r="K27" t="n">
        <v>0.313091332008336</v>
      </c>
      <c r="L27" t="n">
        <v>0.252922637184319</v>
      </c>
      <c r="M27" t="n">
        <v>0.39193876052455</v>
      </c>
      <c r="N27" t="n">
        <v>0.530895575038373</v>
      </c>
      <c r="O27" t="n">
        <v>0.494869105519424</v>
      </c>
      <c r="P27" t="n">
        <v>0.12240190442608</v>
      </c>
      <c r="Q27" t="n">
        <v>0.570617041582771</v>
      </c>
      <c r="R27" t="n">
        <v>0.306544302427341</v>
      </c>
      <c r="S27" t="n">
        <v>0.0645104517169504</v>
      </c>
      <c r="T27" t="n">
        <v>0.190654168315686</v>
      </c>
      <c r="U27" t="n">
        <v>0.446262958538548</v>
      </c>
      <c r="V27" t="n">
        <v>0.27953801899065</v>
      </c>
      <c r="W27" t="n">
        <v>0.19294739878147</v>
      </c>
      <c r="X27" t="n">
        <v>-0.208320186162068</v>
      </c>
      <c r="Y27" t="n">
        <v>0.0335879724797151</v>
      </c>
      <c r="Z27" t="n">
        <v>0.309421464257619</v>
      </c>
      <c r="AA27" t="n">
        <v>-0.0981442205754339</v>
      </c>
      <c r="AB27" t="n">
        <v>0.399879032302544</v>
      </c>
      <c r="AC27" t="n">
        <v>-0.544393075042201</v>
      </c>
      <c r="AD27" t="n">
        <v>-0.50869355011264</v>
      </c>
      <c r="AE27" t="n">
        <v>-0.399030410092992</v>
      </c>
      <c r="AF27"/>
    </row>
    <row r="28">
      <c r="A28" t="s">
        <v>160</v>
      </c>
      <c r="B28" t="s">
        <v>283</v>
      </c>
      <c r="C28" t="s">
        <v>161</v>
      </c>
      <c r="D28" t="s">
        <v>284</v>
      </c>
      <c r="E28" t="s">
        <v>46</v>
      </c>
      <c r="F28" t="n">
        <v>-0.0515762317033624</v>
      </c>
      <c r="G28" t="n">
        <v>0.341712809473646</v>
      </c>
      <c r="H28" t="n">
        <v>0.162943783224598</v>
      </c>
      <c r="I28" t="n">
        <v>0.134549128414118</v>
      </c>
      <c r="J28" t="n">
        <v>0.514432500767212</v>
      </c>
      <c r="K28" t="n">
        <v>0.533559357661843</v>
      </c>
      <c r="L28" t="n">
        <v>0.558704019116672</v>
      </c>
      <c r="M28" t="n">
        <v>0.57322148111158</v>
      </c>
      <c r="N28" t="n">
        <v>0.671990301515697</v>
      </c>
      <c r="O28" t="n">
        <v>-0.03224626079843</v>
      </c>
      <c r="P28" t="n">
        <v>-0.0491801285379986</v>
      </c>
      <c r="Q28" t="n">
        <v>0.444384854609066</v>
      </c>
      <c r="R28" t="n">
        <v>0.397756800024722</v>
      </c>
      <c r="S28" t="n">
        <v>0.0350010472549508</v>
      </c>
      <c r="T28" t="n">
        <v>0.515415213167862</v>
      </c>
      <c r="U28" t="n">
        <v>0.275359099313394</v>
      </c>
      <c r="V28" t="n">
        <v>-0.00882228741745693</v>
      </c>
      <c r="W28" t="n">
        <v>0.297318063279755</v>
      </c>
      <c r="X28" t="n">
        <v>0.27343089445676</v>
      </c>
      <c r="Y28" t="n">
        <v>-0.0366805784513445</v>
      </c>
      <c r="Z28" t="n">
        <v>-0.0930781569103237</v>
      </c>
      <c r="AA28" t="n">
        <v>0.0278119874823833</v>
      </c>
      <c r="AB28" t="n">
        <v>-0.0086555423872846</v>
      </c>
      <c r="AC28" t="n">
        <v>-0.0441083879401954</v>
      </c>
      <c r="AD28" t="n">
        <v>-0.221715471793842</v>
      </c>
      <c r="AE28" t="n">
        <v>-0.566149628984406</v>
      </c>
      <c r="AF28"/>
    </row>
    <row r="29">
      <c r="A29" t="s">
        <v>162</v>
      </c>
      <c r="B29" t="s">
        <v>283</v>
      </c>
      <c r="C29" t="s">
        <v>163</v>
      </c>
      <c r="D29" t="s">
        <v>284</v>
      </c>
      <c r="E29" t="s">
        <v>46</v>
      </c>
      <c r="F29" t="n">
        <v>-0.0717400511461576</v>
      </c>
      <c r="G29" t="n">
        <v>0.16051910624663</v>
      </c>
      <c r="H29" t="n">
        <v>-0.00334758903512295</v>
      </c>
      <c r="I29" t="n">
        <v>-0.0463628447094274</v>
      </c>
      <c r="J29" t="n">
        <v>0.253944867732691</v>
      </c>
      <c r="K29" t="n">
        <v>0.257751177149577</v>
      </c>
      <c r="L29" t="n">
        <v>0.270488598699743</v>
      </c>
      <c r="M29" t="n">
        <v>0.272390736561847</v>
      </c>
      <c r="N29" t="n">
        <v>0.44909114361554</v>
      </c>
      <c r="O29" t="n">
        <v>0.0696417493530663</v>
      </c>
      <c r="P29" t="n">
        <v>-0.131259637135769</v>
      </c>
      <c r="Q29" t="n">
        <v>0.315866830115311</v>
      </c>
      <c r="R29" t="n">
        <v>0.235839502370831</v>
      </c>
      <c r="S29" t="n">
        <v>0.103589935242757</v>
      </c>
      <c r="T29" t="n">
        <v>0.269572873555839</v>
      </c>
      <c r="U29" t="n">
        <v>0.10878626166837</v>
      </c>
      <c r="V29" t="n">
        <v>0.174044622122592</v>
      </c>
      <c r="W29" t="n">
        <v>0.0399685394053985</v>
      </c>
      <c r="X29" t="n">
        <v>0.278223522049971</v>
      </c>
      <c r="Y29" t="n">
        <v>-0.156947642430897</v>
      </c>
      <c r="Z29" t="n">
        <v>0.0431122244604374</v>
      </c>
      <c r="AA29" t="n">
        <v>-0.131605579892911</v>
      </c>
      <c r="AB29" t="n">
        <v>-0.131031824994276</v>
      </c>
      <c r="AC29" t="n">
        <v>-0.145123533338299</v>
      </c>
      <c r="AD29" t="n">
        <v>-0.143900037301697</v>
      </c>
      <c r="AE29" t="n">
        <v>-0.468559288737005</v>
      </c>
      <c r="AF29"/>
    </row>
    <row r="30">
      <c r="A30" t="s">
        <v>164</v>
      </c>
      <c r="B30" t="s">
        <v>283</v>
      </c>
      <c r="C30" t="s">
        <v>165</v>
      </c>
      <c r="D30" t="s">
        <v>284</v>
      </c>
      <c r="E30" t="s">
        <v>46</v>
      </c>
      <c r="F30" t="n">
        <v>-0.835009946326972</v>
      </c>
      <c r="G30" t="n">
        <v>0.775046229672793</v>
      </c>
      <c r="H30" t="n">
        <v>0.47233188733316</v>
      </c>
      <c r="I30" t="n">
        <v>0.402503676537939</v>
      </c>
      <c r="J30" t="n">
        <v>1.21626609182437</v>
      </c>
      <c r="K30" t="n">
        <v>1.51725801988708</v>
      </c>
      <c r="L30" t="n">
        <v>1.7960796824216</v>
      </c>
      <c r="M30" t="n">
        <v>1.46498489245904</v>
      </c>
      <c r="N30" t="n">
        <v>0.0566153381689537</v>
      </c>
      <c r="O30" t="n">
        <v>0.294771564756052</v>
      </c>
      <c r="P30" t="n">
        <v>0.541440870451539</v>
      </c>
      <c r="Q30" t="n">
        <v>0.91370536230578</v>
      </c>
      <c r="R30" t="n">
        <v>1.50333091671368</v>
      </c>
      <c r="S30" t="n">
        <v>-2.61778282894286</v>
      </c>
      <c r="T30" t="n">
        <v>3.6132934329379</v>
      </c>
      <c r="U30" t="n">
        <v>3.94174744124753</v>
      </c>
      <c r="V30" t="n">
        <v>-7.096560900127</v>
      </c>
      <c r="W30" t="n">
        <v>2.21637369032263</v>
      </c>
      <c r="X30" t="n">
        <v>-1.76679402678536</v>
      </c>
      <c r="Y30" t="n">
        <v>1.84783339952263</v>
      </c>
      <c r="Z30" t="n">
        <v>-1.15565757574298</v>
      </c>
      <c r="AA30" t="n">
        <v>1.30712992366173</v>
      </c>
      <c r="AB30" t="n">
        <v>-1.12120056931416</v>
      </c>
      <c r="AC30" t="n">
        <v>1.106256496579</v>
      </c>
      <c r="AD30" t="n">
        <v>-0.901220722084191</v>
      </c>
      <c r="AE30" t="n">
        <v>-1.8068145196924</v>
      </c>
      <c r="AF30"/>
    </row>
    <row r="31">
      <c r="A31" t="s">
        <v>166</v>
      </c>
      <c r="B31" t="s">
        <v>283</v>
      </c>
      <c r="C31" t="s">
        <v>167</v>
      </c>
      <c r="D31" t="s">
        <v>284</v>
      </c>
      <c r="E31" t="s">
        <v>46</v>
      </c>
      <c r="F31" t="n">
        <v>-0.737466809198278</v>
      </c>
      <c r="G31" t="n">
        <v>0.700809121278983</v>
      </c>
      <c r="H31" t="n">
        <v>0.236541717423708</v>
      </c>
      <c r="I31" t="n">
        <v>0.976228283467245</v>
      </c>
      <c r="J31" t="n">
        <v>1.47567809108912</v>
      </c>
      <c r="K31" t="n">
        <v>1.3770953095618</v>
      </c>
      <c r="L31" t="n">
        <v>1.11092520412653</v>
      </c>
      <c r="M31" t="n">
        <v>1.49201643737093</v>
      </c>
      <c r="N31" t="n">
        <v>0.904213077361911</v>
      </c>
      <c r="O31" t="n">
        <v>-0.0615519004097787</v>
      </c>
      <c r="P31" t="n">
        <v>0.582672077611176</v>
      </c>
      <c r="Q31" t="n">
        <v>0.595836540659777</v>
      </c>
      <c r="R31" t="n">
        <v>0.851874289724265</v>
      </c>
      <c r="S31" t="n">
        <v>-1.52079748645807</v>
      </c>
      <c r="T31" t="n">
        <v>-0.255779552979421</v>
      </c>
      <c r="U31" t="n">
        <v>0.60646426797287</v>
      </c>
      <c r="V31" t="n">
        <v>0.014348268198765</v>
      </c>
      <c r="W31" t="n">
        <v>-0.0294820286682732</v>
      </c>
      <c r="X31" t="n">
        <v>1.31184883762896</v>
      </c>
      <c r="Y31" t="n">
        <v>-0.46772330810137</v>
      </c>
      <c r="Z31" t="n">
        <v>-0.894685990373539</v>
      </c>
      <c r="AA31" t="n">
        <v>0.920952408950641</v>
      </c>
      <c r="AB31" t="n">
        <v>-0.450812971583608</v>
      </c>
      <c r="AC31" t="n">
        <v>-0.411705730319179</v>
      </c>
      <c r="AD31" t="n">
        <v>-0.508200150249158</v>
      </c>
      <c r="AE31" t="n">
        <v>0.148946931640959</v>
      </c>
      <c r="AF31"/>
    </row>
    <row r="32">
      <c r="A32" t="s">
        <v>168</v>
      </c>
      <c r="B32" t="s">
        <v>283</v>
      </c>
      <c r="C32" t="s">
        <v>169</v>
      </c>
      <c r="D32" t="s">
        <v>284</v>
      </c>
      <c r="E32" t="s">
        <v>46</v>
      </c>
      <c r="F32" t="n">
        <v>0.147376114861569</v>
      </c>
      <c r="G32" t="n">
        <v>0.251278666893113</v>
      </c>
      <c r="H32" t="n">
        <v>-0.271912431598667</v>
      </c>
      <c r="I32" t="n">
        <v>-0.0239458104625236</v>
      </c>
      <c r="J32" t="n">
        <v>0.675806692999522</v>
      </c>
      <c r="K32" t="n">
        <v>0.0306989057032637</v>
      </c>
      <c r="L32" t="n">
        <v>0.364746328800207</v>
      </c>
      <c r="M32" t="n">
        <v>0.430502048730538</v>
      </c>
      <c r="N32" t="n">
        <v>0.730372522431313</v>
      </c>
      <c r="O32" t="n">
        <v>-0.390611131671435</v>
      </c>
      <c r="P32" t="n">
        <v>-0.430209598935918</v>
      </c>
      <c r="Q32" t="n">
        <v>0.286523797743422</v>
      </c>
      <c r="R32" t="n">
        <v>-0.0123629171428502</v>
      </c>
      <c r="S32" t="n">
        <v>-0.222650658481284</v>
      </c>
      <c r="T32" t="n">
        <v>0.275750716079616</v>
      </c>
      <c r="U32" t="n">
        <v>0.298390987967784</v>
      </c>
      <c r="V32" t="n">
        <v>0.372387451755312</v>
      </c>
      <c r="W32" t="n">
        <v>-0.222603218473202</v>
      </c>
      <c r="X32" t="n">
        <v>-0.0606464124333771</v>
      </c>
      <c r="Y32" t="n">
        <v>-0.049845945746188</v>
      </c>
      <c r="Z32" t="n">
        <v>0.325268000903313</v>
      </c>
      <c r="AA32" t="n">
        <v>-0.011727532976813</v>
      </c>
      <c r="AB32" t="n">
        <v>0.167755323655649</v>
      </c>
      <c r="AC32" t="n">
        <v>-0.372090561677985</v>
      </c>
      <c r="AD32" t="n">
        <v>-0.0819079966603148</v>
      </c>
      <c r="AE32" t="n">
        <v>-0.238624382839281</v>
      </c>
      <c r="AF32"/>
    </row>
    <row r="33">
      <c r="A33" t="s">
        <v>170</v>
      </c>
      <c r="B33" t="s">
        <v>283</v>
      </c>
      <c r="C33" t="s">
        <v>171</v>
      </c>
      <c r="D33" t="s">
        <v>284</v>
      </c>
      <c r="E33" t="s">
        <v>46</v>
      </c>
      <c r="F33" t="n">
        <v>0.0612871507946542</v>
      </c>
      <c r="G33" t="n">
        <v>-0.638279399433214</v>
      </c>
      <c r="H33" t="n">
        <v>-0.541941771114987</v>
      </c>
      <c r="I33" t="n">
        <v>-0.445716114414223</v>
      </c>
      <c r="J33" t="n">
        <v>0.228560009603366</v>
      </c>
      <c r="K33" t="n">
        <v>0.240965237270424</v>
      </c>
      <c r="L33" t="n">
        <v>0.603158006134572</v>
      </c>
      <c r="M33" t="n">
        <v>0.333745035857562</v>
      </c>
      <c r="N33" t="n">
        <v>1.11942631289309</v>
      </c>
      <c r="O33" t="n">
        <v>0.288818028674663</v>
      </c>
      <c r="P33" t="n">
        <v>0.639613584929075</v>
      </c>
      <c r="Q33" t="n">
        <v>0.38963522357768</v>
      </c>
      <c r="R33" t="n">
        <v>0.638062359055713</v>
      </c>
      <c r="S33" t="n">
        <v>-0.183718428167704</v>
      </c>
      <c r="T33" t="n">
        <v>-0.265102373037592</v>
      </c>
      <c r="U33" t="n">
        <v>0.317873006285043</v>
      </c>
      <c r="V33" t="n">
        <v>0.623487531280859</v>
      </c>
      <c r="W33" t="n">
        <v>-0.407105643340717</v>
      </c>
      <c r="X33" t="n">
        <v>-0.254677195701544</v>
      </c>
      <c r="Y33" t="n">
        <v>-0.1577932355427</v>
      </c>
      <c r="Z33" t="n">
        <v>0.652966842731297</v>
      </c>
      <c r="AA33" t="n">
        <v>0.24194842830143</v>
      </c>
      <c r="AB33" t="n">
        <v>0.224704117862812</v>
      </c>
      <c r="AC33" t="n">
        <v>-0.469196143838193</v>
      </c>
      <c r="AD33" t="n">
        <v>0.240592637147625</v>
      </c>
      <c r="AE33" t="n">
        <v>-0.0247667515362636</v>
      </c>
      <c r="AF33"/>
    </row>
    <row r="34">
      <c r="A34" t="s">
        <v>172</v>
      </c>
      <c r="B34" t="s">
        <v>283</v>
      </c>
      <c r="C34" t="s">
        <v>173</v>
      </c>
      <c r="D34" t="s">
        <v>284</v>
      </c>
      <c r="E34" t="s">
        <v>46</v>
      </c>
      <c r="F34" t="n">
        <v>0.162381588262304</v>
      </c>
      <c r="G34" t="n">
        <v>0.541044812907827</v>
      </c>
      <c r="H34" t="n">
        <v>-0.110245432647804</v>
      </c>
      <c r="I34" t="n">
        <v>-0.0351664609854821</v>
      </c>
      <c r="J34" t="n">
        <v>-0.211154402928691</v>
      </c>
      <c r="K34" t="n">
        <v>1.10820321572336</v>
      </c>
      <c r="L34" t="n">
        <v>0.622585865239312</v>
      </c>
      <c r="M34" t="n">
        <v>-0.336366727994601</v>
      </c>
      <c r="N34" t="n">
        <v>0.0860207068062048</v>
      </c>
      <c r="O34" t="n">
        <v>0.658126066637052</v>
      </c>
      <c r="P34" t="n">
        <v>0.0464518456579404</v>
      </c>
      <c r="Q34" t="n">
        <v>0.35948527034456</v>
      </c>
      <c r="R34" t="n">
        <v>0.131015520923291</v>
      </c>
      <c r="S34" t="n">
        <v>0.213089605241436</v>
      </c>
      <c r="T34" t="n">
        <v>-0.0390955586637105</v>
      </c>
      <c r="U34" t="n">
        <v>0.0923836683680474</v>
      </c>
      <c r="V34" t="n">
        <v>0.0775674369168525</v>
      </c>
      <c r="W34" t="n">
        <v>0.280353112636817</v>
      </c>
      <c r="X34" t="n">
        <v>-0.301417034678187</v>
      </c>
      <c r="Y34" t="n">
        <v>0.430140038130157</v>
      </c>
      <c r="Z34" t="n">
        <v>-0.0166334651415804</v>
      </c>
      <c r="AA34" t="n">
        <v>-0.2879514828878</v>
      </c>
      <c r="AB34" t="n">
        <v>0.0241311207805576</v>
      </c>
      <c r="AC34" t="n">
        <v>-0.305939822284933</v>
      </c>
      <c r="AD34" t="n">
        <v>-0.0205362870322282</v>
      </c>
      <c r="AE34" t="n">
        <v>-0.64769930631324</v>
      </c>
      <c r="AF34"/>
    </row>
    <row r="35">
      <c r="A35" t="s">
        <v>174</v>
      </c>
      <c r="B35" t="s">
        <v>283</v>
      </c>
      <c r="C35" t="s">
        <v>175</v>
      </c>
      <c r="D35" t="s">
        <v>284</v>
      </c>
      <c r="E35" t="s">
        <v>46</v>
      </c>
      <c r="F35" t="n">
        <v>0.00687949785280791</v>
      </c>
      <c r="G35" t="n">
        <v>0.221513439428012</v>
      </c>
      <c r="H35" t="n">
        <v>0.397594295441106</v>
      </c>
      <c r="I35" t="n">
        <v>0.888923333316734</v>
      </c>
      <c r="J35" t="n">
        <v>0.428181425613751</v>
      </c>
      <c r="K35" t="n">
        <v>0.273138322603831</v>
      </c>
      <c r="L35" t="n">
        <v>0.643447432915141</v>
      </c>
      <c r="M35" t="n">
        <v>0.873699378649289</v>
      </c>
      <c r="N35" t="n">
        <v>0.467302150075339</v>
      </c>
      <c r="O35" t="n">
        <v>0.642008041726745</v>
      </c>
      <c r="P35" t="n">
        <v>0.794725346610623</v>
      </c>
      <c r="Q35" t="n">
        <v>0.432969205727429</v>
      </c>
      <c r="R35" t="n">
        <v>0.529515365538445</v>
      </c>
      <c r="S35" t="n">
        <v>0.125765131482871</v>
      </c>
      <c r="T35" t="n">
        <v>0.737851816654037</v>
      </c>
      <c r="U35" t="n">
        <v>0.109451808860631</v>
      </c>
      <c r="V35" t="n">
        <v>0.902759758210149</v>
      </c>
      <c r="W35" t="n">
        <v>0.0084789094887692</v>
      </c>
      <c r="X35" t="n">
        <v>0.699195530045978</v>
      </c>
      <c r="Y35" t="n">
        <v>0.705080945057579</v>
      </c>
      <c r="Z35" t="n">
        <v>0.542781288677906</v>
      </c>
      <c r="AA35" t="n">
        <v>-0.0579589874161084</v>
      </c>
      <c r="AB35" t="n">
        <v>-0.386609184858795</v>
      </c>
      <c r="AC35" t="n">
        <v>-0.391769417482624</v>
      </c>
      <c r="AD35" t="n">
        <v>-0.200646377031943</v>
      </c>
      <c r="AE35" t="n">
        <v>0.219867714905505</v>
      </c>
      <c r="AF35"/>
    </row>
    <row r="36">
      <c r="A36" t="s">
        <v>176</v>
      </c>
      <c r="B36" t="s">
        <v>283</v>
      </c>
      <c r="C36" t="s">
        <v>177</v>
      </c>
      <c r="D36" t="s">
        <v>284</v>
      </c>
      <c r="E36" t="s">
        <v>46</v>
      </c>
      <c r="F36" t="n">
        <v>0.5602120438549</v>
      </c>
      <c r="G36" t="n">
        <v>0.345662384461131</v>
      </c>
      <c r="H36" t="n">
        <v>0.225381119115876</v>
      </c>
      <c r="I36" t="n">
        <v>1.60288681268523</v>
      </c>
      <c r="J36" t="n">
        <v>0.273752961709511</v>
      </c>
      <c r="K36" t="n">
        <v>-0.0684126197539924</v>
      </c>
      <c r="L36" t="n">
        <v>0.666599093355755</v>
      </c>
      <c r="M36" t="n">
        <v>1.76273228507241</v>
      </c>
      <c r="N36" t="n">
        <v>-0.481550554285426</v>
      </c>
      <c r="O36" t="n">
        <v>4.01040508297421</v>
      </c>
      <c r="P36" t="n">
        <v>0.743421662201782</v>
      </c>
      <c r="Q36" t="n">
        <v>0.953684262570352</v>
      </c>
      <c r="R36" t="n">
        <v>0.637690815996363</v>
      </c>
      <c r="S36" t="n">
        <v>-0.0437082274673903</v>
      </c>
      <c r="T36" t="n">
        <v>0.415979374993576</v>
      </c>
      <c r="U36" t="n">
        <v>0.0901765823421285</v>
      </c>
      <c r="V36" t="n">
        <v>1.05626296596513</v>
      </c>
      <c r="W36" t="n">
        <v>0.508298892745443</v>
      </c>
      <c r="X36" t="n">
        <v>0.0344110323234204</v>
      </c>
      <c r="Y36" t="n">
        <v>0.470546636341493</v>
      </c>
      <c r="Z36" t="n">
        <v>0.524093508414091</v>
      </c>
      <c r="AA36" t="n">
        <v>0.193485335906767</v>
      </c>
      <c r="AB36" t="n">
        <v>-0.292323119236434</v>
      </c>
      <c r="AC36" t="n">
        <v>-0.825493238930701</v>
      </c>
      <c r="AD36" t="n">
        <v>-0.688498447473552</v>
      </c>
      <c r="AE36" t="n">
        <v>0.559522831182393</v>
      </c>
      <c r="AF36"/>
    </row>
    <row r="37">
      <c r="A37" t="s">
        <v>178</v>
      </c>
      <c r="B37" t="s">
        <v>283</v>
      </c>
      <c r="C37" t="s">
        <v>179</v>
      </c>
      <c r="D37" t="s">
        <v>284</v>
      </c>
      <c r="E37" t="s">
        <v>46</v>
      </c>
      <c r="F37" t="n">
        <v>-0.743463178987211</v>
      </c>
      <c r="G37" t="n">
        <v>-0.405392131091859</v>
      </c>
      <c r="H37" t="n">
        <v>-0.713657089983188</v>
      </c>
      <c r="I37" t="n">
        <v>-0.275785262471546</v>
      </c>
      <c r="J37" t="n">
        <v>0.0359925574471187</v>
      </c>
      <c r="K37" t="n">
        <v>-0.567824229451357</v>
      </c>
      <c r="L37" t="n">
        <v>0.107920438374371</v>
      </c>
      <c r="M37" t="n">
        <v>-0.139865321654883</v>
      </c>
      <c r="N37" t="n">
        <v>0.403622196807891</v>
      </c>
      <c r="O37" t="n">
        <v>-0.992641458408839</v>
      </c>
      <c r="P37" t="n">
        <v>1.11687516471993</v>
      </c>
      <c r="Q37" t="n">
        <v>0.432290398137311</v>
      </c>
      <c r="R37" t="n">
        <v>0.277506510230983</v>
      </c>
      <c r="S37" t="n">
        <v>-0.942570110681785</v>
      </c>
      <c r="T37" t="n">
        <v>0.43011007252164</v>
      </c>
      <c r="U37" t="n">
        <v>0.0134337501216025</v>
      </c>
      <c r="V37" t="n">
        <v>1.08649391711589</v>
      </c>
      <c r="W37" t="n">
        <v>-0.35191798878282</v>
      </c>
      <c r="X37" t="n">
        <v>0.191821214947004</v>
      </c>
      <c r="Y37" t="n">
        <v>0.435017813203929</v>
      </c>
      <c r="Z37" t="n">
        <v>0.694312267092743</v>
      </c>
      <c r="AA37" t="n">
        <v>0.27827301516452</v>
      </c>
      <c r="AB37" t="n">
        <v>-0.590625512238979</v>
      </c>
      <c r="AC37" t="n">
        <v>-0.55361654656941</v>
      </c>
      <c r="AD37" t="n">
        <v>0.332726850901105</v>
      </c>
      <c r="AE37" t="n">
        <v>1.20563542844597</v>
      </c>
      <c r="AF37"/>
    </row>
    <row r="38">
      <c r="A38" t="s">
        <v>180</v>
      </c>
      <c r="B38" t="s">
        <v>283</v>
      </c>
      <c r="C38" t="s">
        <v>181</v>
      </c>
      <c r="D38" t="s">
        <v>284</v>
      </c>
      <c r="E38" t="s">
        <v>46</v>
      </c>
      <c r="F38" t="n">
        <v>0.340504677343528</v>
      </c>
      <c r="G38" t="n">
        <v>0.354736927917806</v>
      </c>
      <c r="H38" t="n">
        <v>1.19317566142069</v>
      </c>
      <c r="I38" t="n">
        <v>1.33958721544687</v>
      </c>
      <c r="J38" t="n">
        <v>0.59629483417212</v>
      </c>
      <c r="K38" t="n">
        <v>0.835640219940384</v>
      </c>
      <c r="L38" t="n">
        <v>0.872862977586734</v>
      </c>
      <c r="M38" t="n">
        <v>1.29106883854427</v>
      </c>
      <c r="N38" t="n">
        <v>0.788766253894263</v>
      </c>
      <c r="O38" t="n">
        <v>0.625551154167167</v>
      </c>
      <c r="P38" t="n">
        <v>0.841494659590227</v>
      </c>
      <c r="Q38" t="n">
        <v>0.505922674254394</v>
      </c>
      <c r="R38" t="n">
        <v>0.692773425375195</v>
      </c>
      <c r="S38" t="n">
        <v>0.729802746302439</v>
      </c>
      <c r="T38" t="n">
        <v>0.973851977978392</v>
      </c>
      <c r="U38" t="n">
        <v>0.0766185164197163</v>
      </c>
      <c r="V38" t="n">
        <v>0.820696063512188</v>
      </c>
      <c r="W38" t="n">
        <v>0.138694475720286</v>
      </c>
      <c r="X38" t="n">
        <v>1.25495907800683</v>
      </c>
      <c r="Y38" t="n">
        <v>0.962629517731695</v>
      </c>
      <c r="Z38" t="n">
        <v>0.447211458668168</v>
      </c>
      <c r="AA38" t="n">
        <v>-0.174326112509578</v>
      </c>
      <c r="AB38" t="n">
        <v>-0.21965675140471</v>
      </c>
      <c r="AC38" t="n">
        <v>-0.255265661625029</v>
      </c>
      <c r="AD38" t="n">
        <v>-0.272544025998038</v>
      </c>
      <c r="AE38" t="n">
        <v>-0.0167194892497794</v>
      </c>
      <c r="AF38"/>
    </row>
    <row r="39">
      <c r="A39" t="s">
        <v>182</v>
      </c>
      <c r="B39" t="s">
        <v>283</v>
      </c>
      <c r="C39" t="s">
        <v>183</v>
      </c>
      <c r="D39" t="s">
        <v>284</v>
      </c>
      <c r="E39" t="s">
        <v>46</v>
      </c>
      <c r="F39" t="n">
        <v>0.251042127084352</v>
      </c>
      <c r="G39" t="n">
        <v>0.253486929610306</v>
      </c>
      <c r="H39" t="n">
        <v>1.0997599196863</v>
      </c>
      <c r="I39" t="n">
        <v>1.91148921874048</v>
      </c>
      <c r="J39" t="n">
        <v>1.07089808936595</v>
      </c>
      <c r="K39" t="n">
        <v>1.15949761642658</v>
      </c>
      <c r="L39" t="n">
        <v>-0.205447054880072</v>
      </c>
      <c r="M39" t="n">
        <v>0.898772976510888</v>
      </c>
      <c r="N39" t="n">
        <v>1.47564369070781</v>
      </c>
      <c r="O39" t="n">
        <v>0.715744171100028</v>
      </c>
      <c r="P39" t="n">
        <v>0.788549268120645</v>
      </c>
      <c r="Q39" t="n">
        <v>0.0678785546158095</v>
      </c>
      <c r="R39" t="n">
        <v>-0.196559488066096</v>
      </c>
      <c r="S39" t="n">
        <v>-0.991044392102279</v>
      </c>
      <c r="T39" t="n">
        <v>-0.224237540877516</v>
      </c>
      <c r="U39" t="n">
        <v>-0.572040830381785</v>
      </c>
      <c r="V39" t="n">
        <v>0.220801264412467</v>
      </c>
      <c r="W39" t="n">
        <v>-0.148815958365799</v>
      </c>
      <c r="X39" t="n">
        <v>0.361169470136012</v>
      </c>
      <c r="Y39" t="n">
        <v>0.64080119515094</v>
      </c>
      <c r="Z39" t="n">
        <v>-0.346466212794727</v>
      </c>
      <c r="AA39" t="n">
        <v>-0.0435307933260343</v>
      </c>
      <c r="AB39" t="n">
        <v>-0.413494181190812</v>
      </c>
      <c r="AC39" t="n">
        <v>-0.0856577386286332</v>
      </c>
      <c r="AD39" t="n">
        <v>-0.0433528895479403</v>
      </c>
      <c r="AE39" t="n">
        <v>-0.944620995417968</v>
      </c>
      <c r="AF39"/>
    </row>
    <row r="40">
      <c r="A40" t="s">
        <v>184</v>
      </c>
      <c r="B40" t="s">
        <v>283</v>
      </c>
      <c r="C40" t="s">
        <v>185</v>
      </c>
      <c r="D40" t="s">
        <v>284</v>
      </c>
      <c r="E40" t="s">
        <v>46</v>
      </c>
      <c r="F40" t="n">
        <v>0.0230048121622582</v>
      </c>
      <c r="G40" t="n">
        <v>-0.0909392230238792</v>
      </c>
      <c r="H40" t="n">
        <v>0.0302537097427661</v>
      </c>
      <c r="I40" t="n">
        <v>0.203843006687297</v>
      </c>
      <c r="J40" t="n">
        <v>0.0217524374656686</v>
      </c>
      <c r="K40" t="n">
        <v>0.0245479837963152</v>
      </c>
      <c r="L40" t="n">
        <v>-0.0788124212980839</v>
      </c>
      <c r="M40" t="n">
        <v>0.0597596624868856</v>
      </c>
      <c r="N40" t="n">
        <v>0.169304530850308</v>
      </c>
      <c r="O40" t="n">
        <v>0.118329912336862</v>
      </c>
      <c r="P40" t="n">
        <v>0.00611425751459725</v>
      </c>
      <c r="Q40" t="n">
        <v>0.00255720665939378</v>
      </c>
      <c r="R40" t="n">
        <v>0.117953267979487</v>
      </c>
      <c r="S40" t="n">
        <v>-0.125472934766856</v>
      </c>
      <c r="T40" t="n">
        <v>0.119360571618982</v>
      </c>
      <c r="U40" t="n">
        <v>-0.0368119856037141</v>
      </c>
      <c r="V40" t="n">
        <v>0.182939338231154</v>
      </c>
      <c r="W40" t="n">
        <v>0.0705504815591406</v>
      </c>
      <c r="X40" t="n">
        <v>0.207199094947576</v>
      </c>
      <c r="Y40" t="n">
        <v>-0.0195104350890598</v>
      </c>
      <c r="Z40" t="n">
        <v>0.0561816178768537</v>
      </c>
      <c r="AA40" t="n">
        <v>-0.045554561495131</v>
      </c>
      <c r="AB40" t="n">
        <v>-0.0242277426216014</v>
      </c>
      <c r="AC40" t="n">
        <v>0.100349448199755</v>
      </c>
      <c r="AD40" t="n">
        <v>-0.203064931714428</v>
      </c>
      <c r="AE40" t="n">
        <v>-0.183412131233757</v>
      </c>
      <c r="AF40"/>
    </row>
    <row r="41">
      <c r="A41" t="s">
        <v>186</v>
      </c>
      <c r="B41" t="s">
        <v>283</v>
      </c>
      <c r="C41" t="s">
        <v>187</v>
      </c>
      <c r="D41" t="s">
        <v>284</v>
      </c>
      <c r="E41" t="s">
        <v>46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283</v>
      </c>
      <c r="C42" t="s">
        <v>189</v>
      </c>
      <c r="D42" t="s">
        <v>284</v>
      </c>
      <c r="E42" t="s">
        <v>46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283</v>
      </c>
      <c r="C43" t="s">
        <v>191</v>
      </c>
      <c r="D43" t="s">
        <v>284</v>
      </c>
      <c r="E43" t="s">
        <v>46</v>
      </c>
      <c r="F43" t="n">
        <v>0.642440283897711</v>
      </c>
      <c r="G43" t="n">
        <v>-0.252611997665898</v>
      </c>
      <c r="H43" t="n">
        <v>0.633491245327231</v>
      </c>
      <c r="I43" t="n">
        <v>-0.00931399812049412</v>
      </c>
      <c r="J43" t="n">
        <v>0.00109976413390898</v>
      </c>
      <c r="K43" t="n">
        <v>0.493386703548422</v>
      </c>
      <c r="L43" t="n">
        <v>0.733056687087326</v>
      </c>
      <c r="M43" t="n">
        <v>0.0842207055324945</v>
      </c>
      <c r="N43" t="n">
        <v>0.730634907688563</v>
      </c>
      <c r="O43" t="n">
        <v>0.582966616841113</v>
      </c>
      <c r="P43" t="n">
        <v>0.555949148774582</v>
      </c>
      <c r="Q43" t="n">
        <v>0.333430124587066</v>
      </c>
      <c r="R43" t="n">
        <v>0.285738852080556</v>
      </c>
      <c r="S43" t="n">
        <v>-0.520287778494034</v>
      </c>
      <c r="T43" t="n">
        <v>0.983436916870238</v>
      </c>
      <c r="U43" t="n">
        <v>0.756929314830424</v>
      </c>
      <c r="V43" t="n">
        <v>-0.158549875154329</v>
      </c>
      <c r="W43" t="n">
        <v>-0.774999551344759</v>
      </c>
      <c r="X43" t="n">
        <v>0.650729518570476</v>
      </c>
      <c r="Y43" t="n">
        <v>0.20502310585016</v>
      </c>
      <c r="Z43" t="n">
        <v>0.38597691241007</v>
      </c>
      <c r="AA43" t="n">
        <v>-0.102474328902265</v>
      </c>
      <c r="AB43" t="n">
        <v>0.21062911667606</v>
      </c>
      <c r="AC43" t="n">
        <v>-0.421410208664749</v>
      </c>
      <c r="AD43" t="n">
        <v>-0.352306183186449</v>
      </c>
      <c r="AE43" t="n">
        <v>-0.53972252002525</v>
      </c>
      <c r="AF43"/>
    </row>
    <row r="44">
      <c r="A44" t="s">
        <v>192</v>
      </c>
      <c r="B44" t="s">
        <v>283</v>
      </c>
      <c r="C44" t="s">
        <v>193</v>
      </c>
      <c r="D44" t="s">
        <v>284</v>
      </c>
      <c r="E44" t="s">
        <v>46</v>
      </c>
      <c r="F44" t="n">
        <v>0.531075486144154</v>
      </c>
      <c r="G44" t="n">
        <v>0.211483947272165</v>
      </c>
      <c r="H44" t="n">
        <v>0.519606079850315</v>
      </c>
      <c r="I44" t="n">
        <v>0.525041027173948</v>
      </c>
      <c r="J44" t="n">
        <v>0.479535594743034</v>
      </c>
      <c r="K44" t="n">
        <v>0.697863384635897</v>
      </c>
      <c r="L44" t="n">
        <v>0.528596671914287</v>
      </c>
      <c r="M44" t="n">
        <v>0.554039010736167</v>
      </c>
      <c r="N44" t="n">
        <v>0.754177024201209</v>
      </c>
      <c r="O44" t="n">
        <v>0.583510163054625</v>
      </c>
      <c r="P44" t="n">
        <v>0.644868207284643</v>
      </c>
      <c r="Q44" t="n">
        <v>0.564759152807176</v>
      </c>
      <c r="R44" t="n">
        <v>0.512103963637879</v>
      </c>
      <c r="S44" t="n">
        <v>0.295245621572754</v>
      </c>
      <c r="T44" t="n">
        <v>0.445701825671427</v>
      </c>
      <c r="U44" t="n">
        <v>0.38761763928187</v>
      </c>
      <c r="V44" t="n">
        <v>0.217685192776656</v>
      </c>
      <c r="W44" t="n">
        <v>0.27943955342361</v>
      </c>
      <c r="X44" t="n">
        <v>0.225812252055943</v>
      </c>
      <c r="Y44" t="n">
        <v>0.357935418624951</v>
      </c>
      <c r="Z44" t="n">
        <v>0.338598704790119</v>
      </c>
      <c r="AA44" t="n">
        <v>0.151796406448772</v>
      </c>
      <c r="AB44" t="n">
        <v>0.104581995937804</v>
      </c>
      <c r="AC44" t="n">
        <v>-0.184160883316108</v>
      </c>
      <c r="AD44" t="n">
        <v>-0.182906553146059</v>
      </c>
      <c r="AE44" t="n">
        <v>-0.480842598769106</v>
      </c>
      <c r="AF44"/>
    </row>
    <row r="45">
      <c r="A45" t="s">
        <v>194</v>
      </c>
      <c r="B45" t="s">
        <v>283</v>
      </c>
      <c r="C45" t="s">
        <v>195</v>
      </c>
      <c r="D45" t="s">
        <v>284</v>
      </c>
      <c r="E45" t="s">
        <v>46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283</v>
      </c>
      <c r="C46" t="s">
        <v>197</v>
      </c>
      <c r="D46" t="s">
        <v>284</v>
      </c>
      <c r="E46" t="s">
        <v>46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283</v>
      </c>
      <c r="C47" t="s">
        <v>199</v>
      </c>
      <c r="D47" t="s">
        <v>284</v>
      </c>
      <c r="E47" t="s">
        <v>46</v>
      </c>
      <c r="F47" t="n">
        <v>0.230939694222055</v>
      </c>
      <c r="G47" t="n">
        <v>-0.0409113338305447</v>
      </c>
      <c r="H47" t="n">
        <v>0.242957926503681</v>
      </c>
      <c r="I47" t="n">
        <v>0.55260701491928</v>
      </c>
      <c r="J47" t="n">
        <v>0.491442398879875</v>
      </c>
      <c r="K47" t="n">
        <v>0.478745962992408</v>
      </c>
      <c r="L47" t="n">
        <v>0.347996973057802</v>
      </c>
      <c r="M47" t="n">
        <v>0.366133634045659</v>
      </c>
      <c r="N47" t="n">
        <v>0.391249687381852</v>
      </c>
      <c r="O47" t="n">
        <v>0.300021724075642</v>
      </c>
      <c r="P47" t="n">
        <v>0.258150726063834</v>
      </c>
      <c r="Q47" t="n">
        <v>0.184731399371835</v>
      </c>
      <c r="R47" t="n">
        <v>0.057565623346866</v>
      </c>
      <c r="S47" t="n">
        <v>0.0201687430814802</v>
      </c>
      <c r="T47" t="n">
        <v>0.100284753366156</v>
      </c>
      <c r="U47" t="n">
        <v>0.00747159885490001</v>
      </c>
      <c r="V47" t="n">
        <v>-0.136682245858482</v>
      </c>
      <c r="W47" t="n">
        <v>-0.21544882121143</v>
      </c>
      <c r="X47" t="n">
        <v>-0.171957291005809</v>
      </c>
      <c r="Y47" t="n">
        <v>-0.18471530536513</v>
      </c>
      <c r="Z47" t="n">
        <v>-0.12962634648187</v>
      </c>
      <c r="AA47" t="n">
        <v>-0.101988393223932</v>
      </c>
      <c r="AB47" t="n">
        <v>0.00721540865815372</v>
      </c>
      <c r="AC47" t="n">
        <v>-0.0625924602649559</v>
      </c>
      <c r="AD47" t="n">
        <v>-0.150209521193926</v>
      </c>
      <c r="AE47" t="n">
        <v>-0.0526132571004508</v>
      </c>
      <c r="AF47"/>
    </row>
    <row r="48">
      <c r="A48" t="s">
        <v>200</v>
      </c>
      <c r="B48" t="s">
        <v>283</v>
      </c>
      <c r="C48" t="s">
        <v>201</v>
      </c>
      <c r="D48" t="s">
        <v>284</v>
      </c>
      <c r="E48" t="s">
        <v>46</v>
      </c>
      <c r="F48" t="n">
        <v>0.231650077181829</v>
      </c>
      <c r="G48" t="n">
        <v>-0.184632465389412</v>
      </c>
      <c r="H48" t="n">
        <v>0.357478913178088</v>
      </c>
      <c r="I48" t="n">
        <v>0.332639338993645</v>
      </c>
      <c r="J48" t="n">
        <v>0.291359453176078</v>
      </c>
      <c r="K48" t="n">
        <v>0.148816857766063</v>
      </c>
      <c r="L48" t="n">
        <v>0.151683822421238</v>
      </c>
      <c r="M48" t="n">
        <v>0.344428332779111</v>
      </c>
      <c r="N48" t="n">
        <v>0.604904383696344</v>
      </c>
      <c r="O48" t="n">
        <v>0.279386941534922</v>
      </c>
      <c r="P48" t="n">
        <v>0.118464118232448</v>
      </c>
      <c r="Q48" t="n">
        <v>0.224025161536889</v>
      </c>
      <c r="R48" t="n">
        <v>0.45363424610186</v>
      </c>
      <c r="S48" t="n">
        <v>0.145180199531099</v>
      </c>
      <c r="T48" t="n">
        <v>0.326064517757227</v>
      </c>
      <c r="U48" t="n">
        <v>0.0822627570428834</v>
      </c>
      <c r="V48" t="n">
        <v>0.127652163802188</v>
      </c>
      <c r="W48" t="n">
        <v>0.0644423291087243</v>
      </c>
      <c r="X48" t="n">
        <v>-0.404874598310808</v>
      </c>
      <c r="Y48" t="n">
        <v>-0.0390955460874036</v>
      </c>
      <c r="Z48" t="n">
        <v>0.294114566587703</v>
      </c>
      <c r="AA48" t="n">
        <v>-0.0806739813361333</v>
      </c>
      <c r="AB48" t="n">
        <v>0.0666086765059129</v>
      </c>
      <c r="AC48" t="n">
        <v>-0.173569948363839</v>
      </c>
      <c r="AD48" t="n">
        <v>0.0607518883823884</v>
      </c>
      <c r="AE48" t="n">
        <v>-0.754865014666648</v>
      </c>
      <c r="AF48"/>
    </row>
    <row r="49">
      <c r="A49" t="s">
        <v>202</v>
      </c>
      <c r="B49" t="s">
        <v>283</v>
      </c>
      <c r="C49" t="s">
        <v>203</v>
      </c>
      <c r="D49" t="s">
        <v>284</v>
      </c>
      <c r="E49" t="s">
        <v>46</v>
      </c>
      <c r="F49" t="n">
        <v>0.571633519201363</v>
      </c>
      <c r="G49" t="n">
        <v>0.290944121278092</v>
      </c>
      <c r="H49" t="n">
        <v>0.550599166299326</v>
      </c>
      <c r="I49" t="n">
        <v>0.783823140286127</v>
      </c>
      <c r="J49" t="n">
        <v>0.33601248491847</v>
      </c>
      <c r="K49" t="n">
        <v>0.582195987164352</v>
      </c>
      <c r="L49" t="n">
        <v>0.446701736567862</v>
      </c>
      <c r="M49" t="n">
        <v>0.597984233468788</v>
      </c>
      <c r="N49" t="n">
        <v>0.335916154555642</v>
      </c>
      <c r="O49" t="n">
        <v>0.109521967969577</v>
      </c>
      <c r="P49" t="n">
        <v>1.26275189527629</v>
      </c>
      <c r="Q49" t="n">
        <v>0.387918791292638</v>
      </c>
      <c r="R49" t="n">
        <v>0.824533753597629</v>
      </c>
      <c r="S49" t="n">
        <v>0.155070552498458</v>
      </c>
      <c r="T49" t="n">
        <v>0.576276626070848</v>
      </c>
      <c r="U49" t="n">
        <v>0.144690600292258</v>
      </c>
      <c r="V49" t="n">
        <v>0.306644219523425</v>
      </c>
      <c r="W49" t="n">
        <v>0.11856740767929</v>
      </c>
      <c r="X49" t="n">
        <v>-0.52231067721601</v>
      </c>
      <c r="Y49" t="n">
        <v>0.403921238204273</v>
      </c>
      <c r="Z49" t="n">
        <v>0.454102896630222</v>
      </c>
      <c r="AA49" t="n">
        <v>-0.461969764436993</v>
      </c>
      <c r="AB49" t="n">
        <v>0.059222708537567</v>
      </c>
      <c r="AC49" t="n">
        <v>-0.469177790601154</v>
      </c>
      <c r="AD49" t="n">
        <v>-0.0338252131775558</v>
      </c>
      <c r="AE49" t="n">
        <v>-0.907071376717875</v>
      </c>
      <c r="AF49"/>
    </row>
    <row r="50">
      <c r="A50" t="s">
        <v>204</v>
      </c>
      <c r="B50" t="s">
        <v>283</v>
      </c>
      <c r="C50" t="s">
        <v>205</v>
      </c>
      <c r="D50" t="s">
        <v>284</v>
      </c>
      <c r="E50" t="s">
        <v>46</v>
      </c>
      <c r="F50" t="n">
        <v>0.380499183940425</v>
      </c>
      <c r="G50" t="n">
        <v>-0.258007041027208</v>
      </c>
      <c r="H50" t="n">
        <v>0.493330174810201</v>
      </c>
      <c r="I50" t="n">
        <v>0.162017826088194</v>
      </c>
      <c r="J50" t="n">
        <v>0.209701035723246</v>
      </c>
      <c r="K50" t="n">
        <v>-0.0247849270451985</v>
      </c>
      <c r="L50" t="n">
        <v>-0.0743940405348367</v>
      </c>
      <c r="M50" t="n">
        <v>0.477110928557088</v>
      </c>
      <c r="N50" t="n">
        <v>0.787458870548347</v>
      </c>
      <c r="O50" t="n">
        <v>0.447371798622553</v>
      </c>
      <c r="P50" t="n">
        <v>-0.0237318867348393</v>
      </c>
      <c r="Q50" t="n">
        <v>0.534857078176147</v>
      </c>
      <c r="R50" t="n">
        <v>0.559189921180776</v>
      </c>
      <c r="S50" t="n">
        <v>0.254610571894527</v>
      </c>
      <c r="T50" t="n">
        <v>0.475889321316133</v>
      </c>
      <c r="U50" t="n">
        <v>0.349879475191022</v>
      </c>
      <c r="V50" t="n">
        <v>0.219336521676127</v>
      </c>
      <c r="W50" t="n">
        <v>0.588196042176903</v>
      </c>
      <c r="X50" t="n">
        <v>-0.355101364317172</v>
      </c>
      <c r="Y50" t="n">
        <v>-0.144296912292265</v>
      </c>
      <c r="Z50" t="n">
        <v>0.62714081003625</v>
      </c>
      <c r="AA50" t="n">
        <v>0.0881095693869571</v>
      </c>
      <c r="AB50" t="n">
        <v>0.155879837769126</v>
      </c>
      <c r="AC50" t="n">
        <v>-0.17545860719473</v>
      </c>
      <c r="AD50" t="n">
        <v>0.178054532491765</v>
      </c>
      <c r="AE50" t="n">
        <v>-1.39880685107709</v>
      </c>
      <c r="AF50"/>
    </row>
    <row r="51">
      <c r="A51" t="s">
        <v>206</v>
      </c>
      <c r="B51" t="s">
        <v>283</v>
      </c>
      <c r="C51" t="s">
        <v>207</v>
      </c>
      <c r="D51" t="s">
        <v>284</v>
      </c>
      <c r="E51" t="s">
        <v>46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283</v>
      </c>
      <c r="C52" t="s">
        <v>209</v>
      </c>
      <c r="D52" t="s">
        <v>284</v>
      </c>
      <c r="E52" t="s">
        <v>46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283</v>
      </c>
      <c r="C53" t="s">
        <v>211</v>
      </c>
      <c r="D53" t="s">
        <v>284</v>
      </c>
      <c r="E53" t="s">
        <v>46</v>
      </c>
      <c r="F53" t="n">
        <v>0.255669794152548</v>
      </c>
      <c r="G53" t="n">
        <v>-0.129180619964027</v>
      </c>
      <c r="H53" t="n">
        <v>0.0433735068624144</v>
      </c>
      <c r="I53" t="n">
        <v>0.057453763969411</v>
      </c>
      <c r="J53" t="n">
        <v>0.130543496727492</v>
      </c>
      <c r="K53" t="n">
        <v>-0.0656919416656909</v>
      </c>
      <c r="L53" t="n">
        <v>0.208818908205078</v>
      </c>
      <c r="M53" t="n">
        <v>0.224170392206067</v>
      </c>
      <c r="N53" t="n">
        <v>0.237408136744471</v>
      </c>
      <c r="O53" t="n">
        <v>0.298134704347006</v>
      </c>
      <c r="P53" t="n">
        <v>-0.079642538427009</v>
      </c>
      <c r="Q53" t="n">
        <v>0.172978289736026</v>
      </c>
      <c r="R53" t="n">
        <v>0.0681761736779228</v>
      </c>
      <c r="S53" t="n">
        <v>-0.0561519426284653</v>
      </c>
      <c r="T53" t="n">
        <v>0.144519703041115</v>
      </c>
      <c r="U53" t="n">
        <v>0.0785699166385849</v>
      </c>
      <c r="V53" t="n">
        <v>0.15414617553898</v>
      </c>
      <c r="W53" t="n">
        <v>0.306068209713864</v>
      </c>
      <c r="X53" t="n">
        <v>0.0720339149197439</v>
      </c>
      <c r="Y53" t="n">
        <v>0.299717007356453</v>
      </c>
      <c r="Z53" t="n">
        <v>0.165497203069424</v>
      </c>
      <c r="AA53" t="n">
        <v>-0.0386252303048075</v>
      </c>
      <c r="AB53" t="n">
        <v>0.126056100475694</v>
      </c>
      <c r="AC53" t="n">
        <v>-0.113553343575017</v>
      </c>
      <c r="AD53" t="n">
        <v>-0.110541337279312</v>
      </c>
      <c r="AE53" t="n">
        <v>-0.0368276727780053</v>
      </c>
      <c r="AF53"/>
    </row>
    <row r="54">
      <c r="A54" t="s">
        <v>212</v>
      </c>
      <c r="B54" t="s">
        <v>283</v>
      </c>
      <c r="C54" t="s">
        <v>213</v>
      </c>
      <c r="D54" t="s">
        <v>284</v>
      </c>
      <c r="E54" t="s">
        <v>46</v>
      </c>
      <c r="F54" t="n">
        <v>0.357370868516526</v>
      </c>
      <c r="G54" t="n">
        <v>-0.0606333729059052</v>
      </c>
      <c r="H54" t="n">
        <v>0.14947634909501</v>
      </c>
      <c r="I54" t="n">
        <v>0.314003655229024</v>
      </c>
      <c r="J54" t="n">
        <v>0.0928163381015283</v>
      </c>
      <c r="K54" t="n">
        <v>0.222614465031448</v>
      </c>
      <c r="L54" t="n">
        <v>0.367414034419951</v>
      </c>
      <c r="M54" t="n">
        <v>0.400222935088359</v>
      </c>
      <c r="N54" t="n">
        <v>0.325211172819435</v>
      </c>
      <c r="O54" t="n">
        <v>0.726723904183985</v>
      </c>
      <c r="P54" t="n">
        <v>-0.0622087398542992</v>
      </c>
      <c r="Q54" t="n">
        <v>0.412221872842274</v>
      </c>
      <c r="R54" t="n">
        <v>0.356824702083393</v>
      </c>
      <c r="S54" t="n">
        <v>0.0794603218793048</v>
      </c>
      <c r="T54" t="n">
        <v>0.162963551622168</v>
      </c>
      <c r="U54" t="n">
        <v>0.368947571876949</v>
      </c>
      <c r="V54" t="n">
        <v>0.0613116534456563</v>
      </c>
      <c r="W54" t="n">
        <v>0.355906235789023</v>
      </c>
      <c r="X54" t="n">
        <v>0.0110263377817137</v>
      </c>
      <c r="Y54" t="n">
        <v>0.331345936626283</v>
      </c>
      <c r="Z54" t="n">
        <v>0.17160007490889</v>
      </c>
      <c r="AA54" t="n">
        <v>0.040660913507453</v>
      </c>
      <c r="AB54" t="n">
        <v>0.245869706435452</v>
      </c>
      <c r="AC54" t="n">
        <v>-0.199795022118776</v>
      </c>
      <c r="AD54" t="n">
        <v>-0.0213655642400942</v>
      </c>
      <c r="AE54" t="n">
        <v>-0.28721326276087</v>
      </c>
      <c r="AF54"/>
    </row>
    <row r="55">
      <c r="A55" t="s">
        <v>214</v>
      </c>
      <c r="B55" t="s">
        <v>283</v>
      </c>
      <c r="C55" t="s">
        <v>215</v>
      </c>
      <c r="D55" t="s">
        <v>284</v>
      </c>
      <c r="E55" t="s">
        <v>46</v>
      </c>
      <c r="F55" t="n">
        <v>0.371542405686386</v>
      </c>
      <c r="G55" t="n">
        <v>0.0110244491637576</v>
      </c>
      <c r="H55" t="n">
        <v>0.15770660512405</v>
      </c>
      <c r="I55" t="n">
        <v>0.510320552551142</v>
      </c>
      <c r="J55" t="n">
        <v>0.0263749838938515</v>
      </c>
      <c r="K55" t="n">
        <v>0.397848084622029</v>
      </c>
      <c r="L55" t="n">
        <v>0.4153489978823</v>
      </c>
      <c r="M55" t="n">
        <v>0.513164810633215</v>
      </c>
      <c r="N55" t="n">
        <v>0.300596433961153</v>
      </c>
      <c r="O55" t="n">
        <v>0.984395680081488</v>
      </c>
      <c r="P55" t="n">
        <v>-0.0140925921601194</v>
      </c>
      <c r="Q55" t="n">
        <v>0.527401919623089</v>
      </c>
      <c r="R55" t="n">
        <v>0.447293711663259</v>
      </c>
      <c r="S55" t="n">
        <v>0.216883249984722</v>
      </c>
      <c r="T55" t="n">
        <v>0.113692734943134</v>
      </c>
      <c r="U55" t="n">
        <v>0.53899138753594</v>
      </c>
      <c r="V55" t="n">
        <v>-0.0386908895759183</v>
      </c>
      <c r="W55" t="n">
        <v>0.332982629980819</v>
      </c>
      <c r="X55" t="n">
        <v>-0.0341699799739202</v>
      </c>
      <c r="Y55" t="n">
        <v>0.302968337406162</v>
      </c>
      <c r="Z55" t="n">
        <v>0.224263119974172</v>
      </c>
      <c r="AA55" t="n">
        <v>0.0297670694789881</v>
      </c>
      <c r="AB55" t="n">
        <v>0.340135902227487</v>
      </c>
      <c r="AC55" t="n">
        <v>-0.264991169347255</v>
      </c>
      <c r="AD55" t="n">
        <v>0.0232380898259021</v>
      </c>
      <c r="AE55" t="n">
        <v>-0.466967055516101</v>
      </c>
      <c r="AF55"/>
    </row>
    <row r="56">
      <c r="A56" t="s">
        <v>216</v>
      </c>
      <c r="B56" t="s">
        <v>283</v>
      </c>
      <c r="C56" t="s">
        <v>217</v>
      </c>
      <c r="D56" t="s">
        <v>284</v>
      </c>
      <c r="E56" t="s">
        <v>46</v>
      </c>
      <c r="F56" t="n">
        <v>1.18826480459033</v>
      </c>
      <c r="G56" t="n">
        <v>-0.186614022450943</v>
      </c>
      <c r="H56" t="n">
        <v>1.04293547020552</v>
      </c>
      <c r="I56" t="n">
        <v>0.562809276194203</v>
      </c>
      <c r="J56" t="n">
        <v>0.820758524898771</v>
      </c>
      <c r="K56" t="n">
        <v>0.91228087946761</v>
      </c>
      <c r="L56" t="n">
        <v>1.1240244487808</v>
      </c>
      <c r="M56" t="n">
        <v>0.833427174537604</v>
      </c>
      <c r="N56" t="n">
        <v>0.808200833979366</v>
      </c>
      <c r="O56" t="n">
        <v>1.0900955416328</v>
      </c>
      <c r="P56" t="n">
        <v>0.75112577702631</v>
      </c>
      <c r="Q56" t="n">
        <v>-1.29976277217566</v>
      </c>
      <c r="R56" t="n">
        <v>-0.132704107155054</v>
      </c>
      <c r="S56" t="n">
        <v>-1.24820352078603</v>
      </c>
      <c r="T56" t="n">
        <v>0.60908841870209</v>
      </c>
      <c r="U56" t="n">
        <v>0.52789522392382</v>
      </c>
      <c r="V56" t="n">
        <v>-0.815618940398898</v>
      </c>
      <c r="W56" t="n">
        <v>-0.862275343912353</v>
      </c>
      <c r="X56" t="n">
        <v>-0.271350440210976</v>
      </c>
      <c r="Y56" t="n">
        <v>0.215008206847409</v>
      </c>
      <c r="Z56" t="n">
        <v>0.501922014936369</v>
      </c>
      <c r="AA56" t="n">
        <v>-0.102963388805875</v>
      </c>
      <c r="AB56" t="n">
        <v>-0.0266308706630541</v>
      </c>
      <c r="AC56" t="n">
        <v>-0.641886406230192</v>
      </c>
      <c r="AD56" t="n">
        <v>-0.428710150611332</v>
      </c>
      <c r="AE56" t="n">
        <v>-1.37163734705756</v>
      </c>
      <c r="AF56"/>
    </row>
    <row r="57">
      <c r="A57" t="s">
        <v>218</v>
      </c>
      <c r="B57" t="s">
        <v>283</v>
      </c>
      <c r="C57" t="s">
        <v>219</v>
      </c>
      <c r="D57" t="s">
        <v>284</v>
      </c>
      <c r="E57" t="s">
        <v>46</v>
      </c>
      <c r="F57" t="n">
        <v>0.524887639277815</v>
      </c>
      <c r="G57" t="n">
        <v>0.175768134745751</v>
      </c>
      <c r="H57" t="n">
        <v>0.546475163894722</v>
      </c>
      <c r="I57" t="n">
        <v>0.602651414247897</v>
      </c>
      <c r="J57" t="n">
        <v>0.520085883718148</v>
      </c>
      <c r="K57" t="n">
        <v>0.672759780867915</v>
      </c>
      <c r="L57" t="n">
        <v>0.521502718055879</v>
      </c>
      <c r="M57" t="n">
        <v>0.574950254956428</v>
      </c>
      <c r="N57" t="n">
        <v>0.822722525279427</v>
      </c>
      <c r="O57" t="n">
        <v>0.662563302795987</v>
      </c>
      <c r="P57" t="n">
        <v>0.569087622064002</v>
      </c>
      <c r="Q57" t="n">
        <v>0.517701666879765</v>
      </c>
      <c r="R57" t="n">
        <v>0.542815211719705</v>
      </c>
      <c r="S57" t="n">
        <v>0.292683076673041</v>
      </c>
      <c r="T57" t="n">
        <v>0.552797558778611</v>
      </c>
      <c r="U57" t="n">
        <v>0.336401326294636</v>
      </c>
      <c r="V57" t="n">
        <v>0.237166532604355</v>
      </c>
      <c r="W57" t="n">
        <v>0.307232349951663</v>
      </c>
      <c r="X57" t="n">
        <v>0.19832801959794</v>
      </c>
      <c r="Y57" t="n">
        <v>0.325947722548139</v>
      </c>
      <c r="Z57" t="n">
        <v>0.403765572521756</v>
      </c>
      <c r="AA57" t="n">
        <v>0.163994247844388</v>
      </c>
      <c r="AB57" t="n">
        <v>0.166269033081442</v>
      </c>
      <c r="AC57" t="n">
        <v>-0.151210114729006</v>
      </c>
      <c r="AD57" t="n">
        <v>-0.100001790205984</v>
      </c>
      <c r="AE57" t="n">
        <v>-0.576228924047727</v>
      </c>
      <c r="AF57"/>
    </row>
    <row r="58">
      <c r="A58" t="s">
        <v>220</v>
      </c>
      <c r="B58" t="s">
        <v>283</v>
      </c>
      <c r="C58" t="s">
        <v>221</v>
      </c>
      <c r="D58" t="s">
        <v>284</v>
      </c>
      <c r="E58" t="s">
        <v>46</v>
      </c>
      <c r="F58" t="n">
        <v>0.524813478423397</v>
      </c>
      <c r="G58" t="n">
        <v>0.175846496190348</v>
      </c>
      <c r="H58" t="n">
        <v>0.54645717995783</v>
      </c>
      <c r="I58" t="n">
        <v>0.60271359695542</v>
      </c>
      <c r="J58" t="n">
        <v>0.52015756999374</v>
      </c>
      <c r="K58" t="n">
        <v>0.672858384863265</v>
      </c>
      <c r="L58" t="n">
        <v>0.521506350515413</v>
      </c>
      <c r="M58" t="n">
        <v>0.5750965996463</v>
      </c>
      <c r="N58" t="n">
        <v>0.822887849253073</v>
      </c>
      <c r="O58" t="n">
        <v>0.66268475668846</v>
      </c>
      <c r="P58" t="n">
        <v>0.569091834986914</v>
      </c>
      <c r="Q58" t="n">
        <v>0.517905941826762</v>
      </c>
      <c r="R58" t="n">
        <v>0.542969050754582</v>
      </c>
      <c r="S58" t="n">
        <v>0.292861036309537</v>
      </c>
      <c r="T58" t="n">
        <v>0.552777353600321</v>
      </c>
      <c r="U58" t="n">
        <v>0.336382665522525</v>
      </c>
      <c r="V58" t="n">
        <v>0.237249029089356</v>
      </c>
      <c r="W58" t="n">
        <v>0.307339538134886</v>
      </c>
      <c r="X58" t="n">
        <v>0.19834271077561</v>
      </c>
      <c r="Y58" t="n">
        <v>0.325913779334672</v>
      </c>
      <c r="Z58" t="n">
        <v>0.403740818317235</v>
      </c>
      <c r="AA58" t="n">
        <v>0.164027682829908</v>
      </c>
      <c r="AB58" t="n">
        <v>0.166264671888199</v>
      </c>
      <c r="AC58" t="n">
        <v>-0.151182097812473</v>
      </c>
      <c r="AD58" t="n">
        <v>-0.0999907891460566</v>
      </c>
      <c r="AE58" t="n">
        <v>-0.576122081263719</v>
      </c>
      <c r="AF58"/>
    </row>
    <row r="59">
      <c r="A59" t="s">
        <v>222</v>
      </c>
      <c r="B59" t="s">
        <v>283</v>
      </c>
      <c r="C59" t="s">
        <v>223</v>
      </c>
      <c r="D59" t="s">
        <v>284</v>
      </c>
      <c r="E59" t="s">
        <v>46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283</v>
      </c>
      <c r="C2" t="s">
        <v>108</v>
      </c>
      <c r="D2" t="s">
        <v>284</v>
      </c>
      <c r="E2" t="s">
        <v>47</v>
      </c>
      <c r="F2" t="n">
        <v>-1.31206022327535</v>
      </c>
      <c r="G2" t="n">
        <v>-1.21887486948937</v>
      </c>
      <c r="H2" t="n">
        <v>2.60012194257733</v>
      </c>
      <c r="I2" t="n">
        <v>-0.977013967741037</v>
      </c>
      <c r="J2" t="n">
        <v>0.381414736060103</v>
      </c>
      <c r="K2" t="n">
        <v>0.0222263293911568</v>
      </c>
      <c r="L2" t="n">
        <v>-1.34998055634919</v>
      </c>
      <c r="M2" t="n">
        <v>2.55196476257834</v>
      </c>
      <c r="N2" t="n">
        <v>-2.52737948235201</v>
      </c>
      <c r="O2" t="n">
        <v>-1.88018764655531</v>
      </c>
      <c r="P2" t="n">
        <v>-2.11225936896422</v>
      </c>
      <c r="Q2" t="n">
        <v>0.510422762702922</v>
      </c>
      <c r="R2" t="n">
        <v>-2.49601084771571</v>
      </c>
      <c r="S2" t="n">
        <v>-0.791991731102532</v>
      </c>
      <c r="T2" t="n">
        <v>-1.38116169035018</v>
      </c>
      <c r="U2" t="n">
        <v>0.680752079293999</v>
      </c>
      <c r="V2" t="n">
        <v>-0.858120103866683</v>
      </c>
      <c r="W2" t="n">
        <v>0.275740027298408</v>
      </c>
      <c r="X2" t="n">
        <v>0.996866057697018</v>
      </c>
      <c r="Y2" t="n">
        <v>-0.819338288807599</v>
      </c>
      <c r="Z2" t="n">
        <v>-0.640721492668945</v>
      </c>
      <c r="AA2" t="n">
        <v>0.891817683944755</v>
      </c>
      <c r="AB2" t="n">
        <v>-0.37589885902344</v>
      </c>
      <c r="AC2" t="n">
        <v>-0.600474497524667</v>
      </c>
      <c r="AD2" t="n">
        <v>0.431367843120068</v>
      </c>
      <c r="AE2" t="n">
        <v>1.24862229444759</v>
      </c>
      <c r="AF2"/>
    </row>
    <row r="3">
      <c r="A3" t="s">
        <v>110</v>
      </c>
      <c r="B3" t="s">
        <v>283</v>
      </c>
      <c r="C3" t="s">
        <v>111</v>
      </c>
      <c r="D3" t="s">
        <v>284</v>
      </c>
      <c r="E3" t="s">
        <v>47</v>
      </c>
      <c r="F3" t="n">
        <v>-0.0106954495581874</v>
      </c>
      <c r="G3" t="n">
        <v>-2.07418131401572</v>
      </c>
      <c r="H3" t="n">
        <v>-5.60217034097683</v>
      </c>
      <c r="I3" t="n">
        <v>2.34600936247486</v>
      </c>
      <c r="J3" t="n">
        <v>-0.671714088481985</v>
      </c>
      <c r="K3" t="n">
        <v>-0.257890979637754</v>
      </c>
      <c r="L3" t="n">
        <v>-0.11508707729086</v>
      </c>
      <c r="M3" t="n">
        <v>5.69041213171947</v>
      </c>
      <c r="N3" t="n">
        <v>-1.94786772115176</v>
      </c>
      <c r="O3" t="n">
        <v>6.46066200740287</v>
      </c>
      <c r="P3" t="n">
        <v>-1.71106124834563</v>
      </c>
      <c r="Q3" t="n">
        <v>-1.26385237961625</v>
      </c>
      <c r="R3" t="n">
        <v>-0.39527302737645</v>
      </c>
      <c r="S3" t="n">
        <v>10.6763642891819</v>
      </c>
      <c r="T3" t="n">
        <v>-7.65418582360577</v>
      </c>
      <c r="U3" t="n">
        <v>-0.797685407242786</v>
      </c>
      <c r="V3" t="n">
        <v>4.78408924172131</v>
      </c>
      <c r="W3" t="n">
        <v>-1.08031593426196</v>
      </c>
      <c r="X3" t="n">
        <v>1.36527074797857</v>
      </c>
      <c r="Y3" t="n">
        <v>-8.29786232255675</v>
      </c>
      <c r="Z3" t="n">
        <v>0.916572851108413</v>
      </c>
      <c r="AA3" t="n">
        <v>8.30652620138843</v>
      </c>
      <c r="AB3" t="n">
        <v>-6.1450004134334</v>
      </c>
      <c r="AC3" t="n">
        <v>7.19268589250911</v>
      </c>
      <c r="AD3" t="n">
        <v>-1.99644066924759</v>
      </c>
      <c r="AE3" t="n">
        <v>-1.50286942225969</v>
      </c>
      <c r="AF3"/>
    </row>
    <row r="4">
      <c r="A4" t="s">
        <v>112</v>
      </c>
      <c r="B4" t="s">
        <v>283</v>
      </c>
      <c r="C4" t="s">
        <v>113</v>
      </c>
      <c r="D4" t="s">
        <v>284</v>
      </c>
      <c r="E4" t="s">
        <v>47</v>
      </c>
      <c r="F4" t="n">
        <v>0.378505908059948</v>
      </c>
      <c r="G4" t="n">
        <v>0.245507424245832</v>
      </c>
      <c r="H4" t="n">
        <v>0.573730196075691</v>
      </c>
      <c r="I4" t="n">
        <v>1.69586326776291</v>
      </c>
      <c r="J4" t="n">
        <v>0.450966741855483</v>
      </c>
      <c r="K4" t="n">
        <v>-0.0661152579808089</v>
      </c>
      <c r="L4" t="n">
        <v>1.16308115883585</v>
      </c>
      <c r="M4" t="n">
        <v>0.695797536796744</v>
      </c>
      <c r="N4" t="n">
        <v>0.262265226716269</v>
      </c>
      <c r="O4" t="n">
        <v>0.385274462999077</v>
      </c>
      <c r="P4" t="n">
        <v>0.695962011727799</v>
      </c>
      <c r="Q4" t="n">
        <v>-0.225297800774669</v>
      </c>
      <c r="R4" t="n">
        <v>0.696624741805931</v>
      </c>
      <c r="S4" t="n">
        <v>1.20457053035651</v>
      </c>
      <c r="T4" t="n">
        <v>2.36706210183114</v>
      </c>
      <c r="U4" t="n">
        <v>-1.66362141067848</v>
      </c>
      <c r="V4" t="n">
        <v>-0.18821269971792</v>
      </c>
      <c r="W4" t="n">
        <v>-0.181491149295534</v>
      </c>
      <c r="X4" t="n">
        <v>0.509011101286762</v>
      </c>
      <c r="Y4" t="n">
        <v>-0.0611951272440544</v>
      </c>
      <c r="Z4" t="n">
        <v>0.361419319493729</v>
      </c>
      <c r="AA4" t="n">
        <v>0.17286505490296</v>
      </c>
      <c r="AB4" t="n">
        <v>0.0251030501115108</v>
      </c>
      <c r="AC4" t="n">
        <v>0.488850754263706</v>
      </c>
      <c r="AD4" t="n">
        <v>0.735715595669918</v>
      </c>
      <c r="AE4" t="n">
        <v>1.35982683516251</v>
      </c>
      <c r="AF4"/>
    </row>
    <row r="5">
      <c r="A5" t="s">
        <v>114</v>
      </c>
      <c r="B5" t="s">
        <v>283</v>
      </c>
      <c r="C5" t="s">
        <v>115</v>
      </c>
      <c r="D5" t="s">
        <v>284</v>
      </c>
      <c r="E5" t="s">
        <v>47</v>
      </c>
      <c r="F5" t="n">
        <v>0.303607308682522</v>
      </c>
      <c r="G5" t="n">
        <v>0.2123636367041</v>
      </c>
      <c r="H5" t="n">
        <v>1.08452630773379</v>
      </c>
      <c r="I5" t="n">
        <v>0.814551610253676</v>
      </c>
      <c r="J5" t="n">
        <v>0.293319198626347</v>
      </c>
      <c r="K5" t="n">
        <v>-0.0376203643425031</v>
      </c>
      <c r="L5" t="n">
        <v>0.516693995707968</v>
      </c>
      <c r="M5" t="n">
        <v>0.341808365614938</v>
      </c>
      <c r="N5" t="n">
        <v>0.309584712068148</v>
      </c>
      <c r="O5" t="n">
        <v>0.220098507318157</v>
      </c>
      <c r="P5" t="n">
        <v>0.713592251811405</v>
      </c>
      <c r="Q5" t="n">
        <v>0.0518588994218677</v>
      </c>
      <c r="R5" t="n">
        <v>1.10568015339729</v>
      </c>
      <c r="S5" t="n">
        <v>0.285583155904606</v>
      </c>
      <c r="T5" t="n">
        <v>1.00731655147283</v>
      </c>
      <c r="U5" t="n">
        <v>-1.19267569018579</v>
      </c>
      <c r="V5" t="n">
        <v>1.29921012386126</v>
      </c>
      <c r="W5" t="n">
        <v>-0.868569615821065</v>
      </c>
      <c r="X5" t="n">
        <v>0.391840711331091</v>
      </c>
      <c r="Y5" t="n">
        <v>0.0423527941344793</v>
      </c>
      <c r="Z5" t="n">
        <v>0.189856313194798</v>
      </c>
      <c r="AA5" t="n">
        <v>0.480279339065129</v>
      </c>
      <c r="AB5" t="n">
        <v>0.23573751712973</v>
      </c>
      <c r="AC5" t="n">
        <v>0.834188180822457</v>
      </c>
      <c r="AD5" t="n">
        <v>0.74138168539267</v>
      </c>
      <c r="AE5" t="n">
        <v>1.11585836007711</v>
      </c>
      <c r="AF5"/>
    </row>
    <row r="6">
      <c r="A6" t="s">
        <v>116</v>
      </c>
      <c r="B6" t="s">
        <v>283</v>
      </c>
      <c r="C6" t="s">
        <v>117</v>
      </c>
      <c r="D6" t="s">
        <v>284</v>
      </c>
      <c r="E6" t="s">
        <v>47</v>
      </c>
      <c r="F6" t="n">
        <v>0.498801786727727</v>
      </c>
      <c r="G6" t="n">
        <v>-0.38816134355538</v>
      </c>
      <c r="H6" t="n">
        <v>0.529462271210416</v>
      </c>
      <c r="I6" t="n">
        <v>1.54265677978034</v>
      </c>
      <c r="J6" t="n">
        <v>0.224693694181957</v>
      </c>
      <c r="K6" t="n">
        <v>0.481923601895452</v>
      </c>
      <c r="L6" t="n">
        <v>0.51920257052175</v>
      </c>
      <c r="M6" t="n">
        <v>0.782053126382662</v>
      </c>
      <c r="N6" t="n">
        <v>-0.348961812413809</v>
      </c>
      <c r="O6" t="n">
        <v>0.189630555895474</v>
      </c>
      <c r="P6" t="n">
        <v>0.687422422204096</v>
      </c>
      <c r="Q6" t="n">
        <v>-1.09118853301162</v>
      </c>
      <c r="R6" t="n">
        <v>0.198384861923276</v>
      </c>
      <c r="S6" t="n">
        <v>0.546135608285541</v>
      </c>
      <c r="T6" t="n">
        <v>1.03809755778695</v>
      </c>
      <c r="U6" t="n">
        <v>-0.874988757049951</v>
      </c>
      <c r="V6" t="n">
        <v>-0.394189902510368</v>
      </c>
      <c r="W6" t="n">
        <v>-0.760233475445154</v>
      </c>
      <c r="X6" t="n">
        <v>0.596447041650716</v>
      </c>
      <c r="Y6" t="n">
        <v>0.0583957123581999</v>
      </c>
      <c r="Z6" t="n">
        <v>0.994613916059686</v>
      </c>
      <c r="AA6" t="n">
        <v>-0.241491298080969</v>
      </c>
      <c r="AB6" t="n">
        <v>0.105035706604682</v>
      </c>
      <c r="AC6" t="n">
        <v>0.175015930915718</v>
      </c>
      <c r="AD6" t="n">
        <v>0.64462210736303</v>
      </c>
      <c r="AE6" t="n">
        <v>2.22648095189246</v>
      </c>
      <c r="AF6"/>
    </row>
    <row r="7">
      <c r="A7" t="s">
        <v>118</v>
      </c>
      <c r="B7" t="s">
        <v>283</v>
      </c>
      <c r="C7" t="s">
        <v>119</v>
      </c>
      <c r="D7" t="s">
        <v>284</v>
      </c>
      <c r="E7" t="s">
        <v>47</v>
      </c>
      <c r="F7" t="n">
        <v>0.124145421438758</v>
      </c>
      <c r="G7" t="n">
        <v>0.0181492513740543</v>
      </c>
      <c r="H7" t="n">
        <v>1.09769195381227</v>
      </c>
      <c r="I7" t="n">
        <v>1.17542145361842</v>
      </c>
      <c r="J7" t="n">
        <v>0.144154227532864</v>
      </c>
      <c r="K7" t="n">
        <v>-0.118957997424203</v>
      </c>
      <c r="L7" t="n">
        <v>0.223634433418928</v>
      </c>
      <c r="M7" t="n">
        <v>0.13452030827253</v>
      </c>
      <c r="N7" t="n">
        <v>-0.124541890916346</v>
      </c>
      <c r="O7" t="n">
        <v>-0.0522031336451338</v>
      </c>
      <c r="P7" t="n">
        <v>0.482586073478614</v>
      </c>
      <c r="Q7" t="n">
        <v>-0.21902287350849</v>
      </c>
      <c r="R7" t="n">
        <v>1.21553972438064</v>
      </c>
      <c r="S7" t="n">
        <v>0.727785731135464</v>
      </c>
      <c r="T7" t="n">
        <v>0.885452039450514</v>
      </c>
      <c r="U7" t="n">
        <v>-0.709914702623335</v>
      </c>
      <c r="V7" t="n">
        <v>-0.0122741732119043</v>
      </c>
      <c r="W7" t="n">
        <v>-1.07606144474516</v>
      </c>
      <c r="X7" t="n">
        <v>0.931471224644514</v>
      </c>
      <c r="Y7" t="n">
        <v>0.392423492015626</v>
      </c>
      <c r="Z7" t="n">
        <v>0.459269242858516</v>
      </c>
      <c r="AA7" t="n">
        <v>0.143202110356097</v>
      </c>
      <c r="AB7" t="n">
        <v>-0.170738312830522</v>
      </c>
      <c r="AC7" t="n">
        <v>0.276348326863549</v>
      </c>
      <c r="AD7" t="n">
        <v>0.28549647531302</v>
      </c>
      <c r="AE7" t="n">
        <v>1.67976199206825</v>
      </c>
      <c r="AF7"/>
    </row>
    <row r="8">
      <c r="A8" t="s">
        <v>120</v>
      </c>
      <c r="B8" t="s">
        <v>283</v>
      </c>
      <c r="C8" t="s">
        <v>121</v>
      </c>
      <c r="D8" t="s">
        <v>284</v>
      </c>
      <c r="E8" t="s">
        <v>47</v>
      </c>
      <c r="F8" t="n">
        <v>2.9616834610917</v>
      </c>
      <c r="G8" t="n">
        <v>0.319437458787045</v>
      </c>
      <c r="H8" t="n">
        <v>-1.6422823462508</v>
      </c>
      <c r="I8" t="n">
        <v>-0.255134755581006</v>
      </c>
      <c r="J8" t="n">
        <v>0.449314118395581</v>
      </c>
      <c r="K8" t="n">
        <v>-0.723217633911228</v>
      </c>
      <c r="L8" t="n">
        <v>-1.20694930691497</v>
      </c>
      <c r="M8" t="n">
        <v>1.41485822120949</v>
      </c>
      <c r="N8" t="n">
        <v>0.501356208970408</v>
      </c>
      <c r="O8" t="n">
        <v>1.99473240279978</v>
      </c>
      <c r="P8" t="n">
        <v>0.885606414925986</v>
      </c>
      <c r="Q8" t="n">
        <v>1.74847184156056</v>
      </c>
      <c r="R8" t="n">
        <v>3.2644063643057</v>
      </c>
      <c r="S8" t="n">
        <v>1.61759900317137</v>
      </c>
      <c r="T8" t="n">
        <v>2.99254522713198</v>
      </c>
      <c r="U8" t="n">
        <v>-3.78957549997031</v>
      </c>
      <c r="V8" t="n">
        <v>-6.1727516392066</v>
      </c>
      <c r="W8" t="n">
        <v>1.14600914564126</v>
      </c>
      <c r="X8" t="n">
        <v>0.829155516406298</v>
      </c>
      <c r="Y8" t="n">
        <v>-1.69597263915518</v>
      </c>
      <c r="Z8" t="n">
        <v>1.42270178602562</v>
      </c>
      <c r="AA8" t="n">
        <v>-1.9338468022958</v>
      </c>
      <c r="AB8" t="n">
        <v>-0.916344552157242</v>
      </c>
      <c r="AC8" t="n">
        <v>-1.13781487779947</v>
      </c>
      <c r="AD8" t="n">
        <v>-1.49566682539072</v>
      </c>
      <c r="AE8" t="n">
        <v>-1.75587638820145</v>
      </c>
      <c r="AF8"/>
    </row>
    <row r="9">
      <c r="A9" t="s">
        <v>122</v>
      </c>
      <c r="B9" t="s">
        <v>283</v>
      </c>
      <c r="C9" t="s">
        <v>123</v>
      </c>
      <c r="D9" t="s">
        <v>284</v>
      </c>
      <c r="E9" t="s">
        <v>47</v>
      </c>
      <c r="F9" t="n">
        <v>0.672888795014903</v>
      </c>
      <c r="G9" t="n">
        <v>-0.455015842720192</v>
      </c>
      <c r="H9" t="n">
        <v>0.0287157758191138</v>
      </c>
      <c r="I9" t="n">
        <v>1.3159704290489</v>
      </c>
      <c r="J9" t="n">
        <v>-0.213756747348141</v>
      </c>
      <c r="K9" t="n">
        <v>-0.243112573494961</v>
      </c>
      <c r="L9" t="n">
        <v>0.504924694903088</v>
      </c>
      <c r="M9" t="n">
        <v>0.718611662629584</v>
      </c>
      <c r="N9" t="n">
        <v>0.693681599402841</v>
      </c>
      <c r="O9" t="n">
        <v>-0.13195320625308</v>
      </c>
      <c r="P9" t="n">
        <v>-0.0322506928356669</v>
      </c>
      <c r="Q9" t="n">
        <v>-0.397599964906383</v>
      </c>
      <c r="R9" t="n">
        <v>1.2897983501203</v>
      </c>
      <c r="S9" t="n">
        <v>1.18080882460604</v>
      </c>
      <c r="T9" t="n">
        <v>1.88482012468205</v>
      </c>
      <c r="U9" t="n">
        <v>-0.834318917905562</v>
      </c>
      <c r="V9" t="n">
        <v>-0.633322263564286</v>
      </c>
      <c r="W9" t="n">
        <v>-0.0241893082678626</v>
      </c>
      <c r="X9" t="n">
        <v>0.461537503953698</v>
      </c>
      <c r="Y9" t="n">
        <v>-0.297350313781769</v>
      </c>
      <c r="Z9" t="n">
        <v>-0.782140937060979</v>
      </c>
      <c r="AA9" t="n">
        <v>-0.818129842272045</v>
      </c>
      <c r="AB9" t="n">
        <v>-0.829683726865988</v>
      </c>
      <c r="AC9" t="n">
        <v>0.217228558306292</v>
      </c>
      <c r="AD9" t="n">
        <v>1.12101361500169</v>
      </c>
      <c r="AE9" t="n">
        <v>0.0510730128371592</v>
      </c>
      <c r="AF9"/>
    </row>
    <row r="10">
      <c r="A10" t="s">
        <v>124</v>
      </c>
      <c r="B10" t="s">
        <v>283</v>
      </c>
      <c r="C10" t="s">
        <v>125</v>
      </c>
      <c r="D10" t="s">
        <v>284</v>
      </c>
      <c r="E10" t="s">
        <v>47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283</v>
      </c>
      <c r="C11" t="s">
        <v>127</v>
      </c>
      <c r="D11" t="s">
        <v>284</v>
      </c>
      <c r="E11" t="s">
        <v>47</v>
      </c>
      <c r="F11" t="n">
        <v>1.38412862546486</v>
      </c>
      <c r="G11" t="n">
        <v>0.365646037503388</v>
      </c>
      <c r="H11" t="n">
        <v>1.27860632704988</v>
      </c>
      <c r="I11" t="n">
        <v>1.67828161614554</v>
      </c>
      <c r="J11" t="n">
        <v>-0.120694600884762</v>
      </c>
      <c r="K11" t="n">
        <v>0.656220495409427</v>
      </c>
      <c r="L11" t="n">
        <v>0.597089612365336</v>
      </c>
      <c r="M11" t="n">
        <v>1.03967671001353</v>
      </c>
      <c r="N11" t="n">
        <v>1.56660581422847</v>
      </c>
      <c r="O11" t="n">
        <v>0.130437366368666</v>
      </c>
      <c r="P11" t="n">
        <v>0.375567163540945</v>
      </c>
      <c r="Q11" t="n">
        <v>0.233503702293546</v>
      </c>
      <c r="R11" t="n">
        <v>2.41379609080958</v>
      </c>
      <c r="S11" t="n">
        <v>0.636544056907492</v>
      </c>
      <c r="T11" t="n">
        <v>1.21212025233075</v>
      </c>
      <c r="U11" t="n">
        <v>-1.21296088475687</v>
      </c>
      <c r="V11" t="n">
        <v>0.622772691017726</v>
      </c>
      <c r="W11" t="n">
        <v>1.36269330673589</v>
      </c>
      <c r="X11" t="n">
        <v>2.46295442558246</v>
      </c>
      <c r="Y11" t="n">
        <v>0.663160062879071</v>
      </c>
      <c r="Z11" t="n">
        <v>0.664483954769173</v>
      </c>
      <c r="AA11" t="n">
        <v>2.10725836567497</v>
      </c>
      <c r="AB11" t="n">
        <v>1.55290659782907</v>
      </c>
      <c r="AC11" t="n">
        <v>1.21844825405751</v>
      </c>
      <c r="AD11" t="n">
        <v>0.618349565105357</v>
      </c>
      <c r="AE11" t="n">
        <v>0.378128067860968</v>
      </c>
      <c r="AF11"/>
    </row>
    <row r="12">
      <c r="A12" t="s">
        <v>128</v>
      </c>
      <c r="B12" t="s">
        <v>283</v>
      </c>
      <c r="C12" t="s">
        <v>129</v>
      </c>
      <c r="D12" t="s">
        <v>284</v>
      </c>
      <c r="E12" t="s">
        <v>47</v>
      </c>
      <c r="F12" t="n">
        <v>0.277895524335553</v>
      </c>
      <c r="G12" t="n">
        <v>0.366080188687345</v>
      </c>
      <c r="H12" t="n">
        <v>0.748071828840658</v>
      </c>
      <c r="I12" t="n">
        <v>1.72503026563907</v>
      </c>
      <c r="J12" t="n">
        <v>0.0449532058343193</v>
      </c>
      <c r="K12" t="n">
        <v>-0.300306087697252</v>
      </c>
      <c r="L12" t="n">
        <v>0.930098434311633</v>
      </c>
      <c r="M12" t="n">
        <v>0.519696867763447</v>
      </c>
      <c r="N12" t="n">
        <v>0.31702030975639</v>
      </c>
      <c r="O12" t="n">
        <v>0.607100058825444</v>
      </c>
      <c r="P12" t="n">
        <v>0.785803531741396</v>
      </c>
      <c r="Q12" t="n">
        <v>0.157375818604524</v>
      </c>
      <c r="R12" t="n">
        <v>0.144955088889829</v>
      </c>
      <c r="S12" t="n">
        <v>1.3382723784891</v>
      </c>
      <c r="T12" t="n">
        <v>2.45864132763334</v>
      </c>
      <c r="U12" t="n">
        <v>-1.97493056177495</v>
      </c>
      <c r="V12" t="n">
        <v>-0.501097453506736</v>
      </c>
      <c r="W12" t="n">
        <v>-0.500561427962412</v>
      </c>
      <c r="X12" t="n">
        <v>0.0882377950471697</v>
      </c>
      <c r="Y12" t="n">
        <v>0.349700880216263</v>
      </c>
      <c r="Z12" t="n">
        <v>0.116991218705753</v>
      </c>
      <c r="AA12" t="n">
        <v>-0.14203236442113</v>
      </c>
      <c r="AB12" t="n">
        <v>-0.27860820847984</v>
      </c>
      <c r="AC12" t="n">
        <v>0.0413079337189597</v>
      </c>
      <c r="AD12" t="n">
        <v>0.509979729131195</v>
      </c>
      <c r="AE12" t="n">
        <v>1.47428356295139</v>
      </c>
      <c r="AF12"/>
    </row>
    <row r="13">
      <c r="A13" t="s">
        <v>130</v>
      </c>
      <c r="B13" t="s">
        <v>283</v>
      </c>
      <c r="C13" t="s">
        <v>131</v>
      </c>
      <c r="D13" t="s">
        <v>284</v>
      </c>
      <c r="E13" t="s">
        <v>47</v>
      </c>
      <c r="F13" t="n">
        <v>-0.237436570193119</v>
      </c>
      <c r="G13" t="n">
        <v>-0.174039696810458</v>
      </c>
      <c r="H13" t="n">
        <v>-0.179020061847752</v>
      </c>
      <c r="I13" t="n">
        <v>1.94649215236595</v>
      </c>
      <c r="J13" t="n">
        <v>0.677992808555096</v>
      </c>
      <c r="K13" t="n">
        <v>-1.22386482741217</v>
      </c>
      <c r="L13" t="n">
        <v>1.04540217565939</v>
      </c>
      <c r="M13" t="n">
        <v>0.218575307057872</v>
      </c>
      <c r="N13" t="n">
        <v>-0.316612825057495</v>
      </c>
      <c r="O13" t="n">
        <v>-0.0486444159140344</v>
      </c>
      <c r="P13" t="n">
        <v>-0.183456235319824</v>
      </c>
      <c r="Q13" t="n">
        <v>-0.704350281607284</v>
      </c>
      <c r="R13" t="n">
        <v>0.795134679728842</v>
      </c>
      <c r="S13" t="n">
        <v>1.50380955435338</v>
      </c>
      <c r="T13" t="n">
        <v>4.15001819940021</v>
      </c>
      <c r="U13" t="n">
        <v>-1.76052891820641</v>
      </c>
      <c r="V13" t="n">
        <v>-0.264022114435183</v>
      </c>
      <c r="W13" t="n">
        <v>-0.773887104085389</v>
      </c>
      <c r="X13" t="n">
        <v>0.210029142835792</v>
      </c>
      <c r="Y13" t="n">
        <v>-0.284984990646917</v>
      </c>
      <c r="Z13" t="n">
        <v>0.948500744598164</v>
      </c>
      <c r="AA13" t="n">
        <v>-0.422477873755878</v>
      </c>
      <c r="AB13" t="n">
        <v>0.215543670707051</v>
      </c>
      <c r="AC13" t="n">
        <v>0.00526266167456253</v>
      </c>
      <c r="AD13" t="n">
        <v>0.88966875510196</v>
      </c>
      <c r="AE13" t="n">
        <v>2.1417659696354</v>
      </c>
      <c r="AF13"/>
    </row>
    <row r="14">
      <c r="A14" t="s">
        <v>132</v>
      </c>
      <c r="B14" t="s">
        <v>283</v>
      </c>
      <c r="C14" t="s">
        <v>133</v>
      </c>
      <c r="D14" t="s">
        <v>284</v>
      </c>
      <c r="E14" t="s">
        <v>47</v>
      </c>
      <c r="F14" t="n">
        <v>0.847624924369432</v>
      </c>
      <c r="G14" t="n">
        <v>1.04536913372449</v>
      </c>
      <c r="H14" t="n">
        <v>0.336000901766462</v>
      </c>
      <c r="I14" t="n">
        <v>1.41911198868661</v>
      </c>
      <c r="J14" t="n">
        <v>0.2392852334427</v>
      </c>
      <c r="K14" t="n">
        <v>0.666957473613622</v>
      </c>
      <c r="L14" t="n">
        <v>2.61386743189373</v>
      </c>
      <c r="M14" t="n">
        <v>1.24630465809803</v>
      </c>
      <c r="N14" t="n">
        <v>0.0933682832645044</v>
      </c>
      <c r="O14" t="n">
        <v>0.946147502463878</v>
      </c>
      <c r="P14" t="n">
        <v>1.37585090611447</v>
      </c>
      <c r="Q14" t="n">
        <v>-0.30512208449999</v>
      </c>
      <c r="R14" t="n">
        <v>0.125975891841562</v>
      </c>
      <c r="S14" t="n">
        <v>1.49562003980392</v>
      </c>
      <c r="T14" t="n">
        <v>2.50149519342574</v>
      </c>
      <c r="U14" t="n">
        <v>-1.56679633402212</v>
      </c>
      <c r="V14" t="n">
        <v>-0.237923259650267</v>
      </c>
      <c r="W14" t="n">
        <v>1.98103198071316</v>
      </c>
      <c r="X14" t="n">
        <v>0.596139691098716</v>
      </c>
      <c r="Y14" t="n">
        <v>0.0871749777929162</v>
      </c>
      <c r="Z14" t="n">
        <v>0.72213683980556</v>
      </c>
      <c r="AA14" t="n">
        <v>0.0659224230255653</v>
      </c>
      <c r="AB14" t="n">
        <v>-0.158838424051305</v>
      </c>
      <c r="AC14" t="n">
        <v>0.763539781929692</v>
      </c>
      <c r="AD14" t="n">
        <v>0.80393730083642</v>
      </c>
      <c r="AE14" t="n">
        <v>0.924685210821134</v>
      </c>
      <c r="AF14"/>
    </row>
    <row r="15">
      <c r="A15" t="s">
        <v>134</v>
      </c>
      <c r="B15" t="s">
        <v>283</v>
      </c>
      <c r="C15" t="s">
        <v>135</v>
      </c>
      <c r="D15" t="s">
        <v>284</v>
      </c>
      <c r="E15" t="s">
        <v>47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283</v>
      </c>
      <c r="C16" t="s">
        <v>137</v>
      </c>
      <c r="D16" t="s">
        <v>284</v>
      </c>
      <c r="E16" t="s">
        <v>47</v>
      </c>
      <c r="F16" t="n">
        <v>1.50034293200531</v>
      </c>
      <c r="G16" t="n">
        <v>1.53364380497077</v>
      </c>
      <c r="H16" t="n">
        <v>1.10109227114094</v>
      </c>
      <c r="I16" t="n">
        <v>2.12262649118968</v>
      </c>
      <c r="J16" t="n">
        <v>0.67035248628187</v>
      </c>
      <c r="K16" t="n">
        <v>0.365734926558904</v>
      </c>
      <c r="L16" t="n">
        <v>1.86338797845498</v>
      </c>
      <c r="M16" t="n">
        <v>0.957318444253691</v>
      </c>
      <c r="N16" t="n">
        <v>1.05211719257989</v>
      </c>
      <c r="O16" t="n">
        <v>0.295902056972866</v>
      </c>
      <c r="P16" t="n">
        <v>-0.255259624285405</v>
      </c>
      <c r="Q16" t="n">
        <v>-0.574841830846973</v>
      </c>
      <c r="R16" t="n">
        <v>0.545119988680264</v>
      </c>
      <c r="S16" t="n">
        <v>1.38518734994417</v>
      </c>
      <c r="T16" t="n">
        <v>1.60259437406967</v>
      </c>
      <c r="U16" t="n">
        <v>-2.08166712781467</v>
      </c>
      <c r="V16" t="n">
        <v>-0.0182912612719469</v>
      </c>
      <c r="W16" t="n">
        <v>0.0646821125566186</v>
      </c>
      <c r="X16" t="n">
        <v>0.315246453669426</v>
      </c>
      <c r="Y16" t="n">
        <v>-0.270186972506867</v>
      </c>
      <c r="Z16" t="n">
        <v>0.0381760205940465</v>
      </c>
      <c r="AA16" t="n">
        <v>0.375177786297544</v>
      </c>
      <c r="AB16" t="n">
        <v>0.921525152900487</v>
      </c>
      <c r="AC16" t="n">
        <v>0.142010598089317</v>
      </c>
      <c r="AD16" t="n">
        <v>0.106671549230103</v>
      </c>
      <c r="AE16" t="n">
        <v>0.710533799726041</v>
      </c>
      <c r="AF16"/>
    </row>
    <row r="17">
      <c r="A17" t="s">
        <v>138</v>
      </c>
      <c r="B17" t="s">
        <v>283</v>
      </c>
      <c r="C17" t="s">
        <v>139</v>
      </c>
      <c r="D17" t="s">
        <v>284</v>
      </c>
      <c r="E17" t="s">
        <v>47</v>
      </c>
      <c r="F17" t="n">
        <v>-0.208831935051848</v>
      </c>
      <c r="G17" t="n">
        <v>-0.352363606667587</v>
      </c>
      <c r="H17" t="n">
        <v>0.272807931582224</v>
      </c>
      <c r="I17" t="n">
        <v>1.6792797575319</v>
      </c>
      <c r="J17" t="n">
        <v>0.51036293594434</v>
      </c>
      <c r="K17" t="n">
        <v>-0.577131056204271</v>
      </c>
      <c r="L17" t="n">
        <v>0.906953652008776</v>
      </c>
      <c r="M17" t="n">
        <v>0.628483597631608</v>
      </c>
      <c r="N17" t="n">
        <v>-0.0498181279347265</v>
      </c>
      <c r="O17" t="n">
        <v>0.282074644620941</v>
      </c>
      <c r="P17" t="n">
        <v>0.942559271801069</v>
      </c>
      <c r="Q17" t="n">
        <v>-0.646462040997598</v>
      </c>
      <c r="R17" t="n">
        <v>0.448986987358982</v>
      </c>
      <c r="S17" t="n">
        <v>1.02815360083491</v>
      </c>
      <c r="T17" t="n">
        <v>3.28458323917404</v>
      </c>
      <c r="U17" t="n">
        <v>-2.36007789511809</v>
      </c>
      <c r="V17" t="n">
        <v>-0.539775405232016</v>
      </c>
      <c r="W17" t="n">
        <v>-0.0267818265253783</v>
      </c>
      <c r="X17" t="n">
        <v>0.448368589457128</v>
      </c>
      <c r="Y17" t="n">
        <v>-0.400062551686391</v>
      </c>
      <c r="Z17" t="n">
        <v>0.39500892300899</v>
      </c>
      <c r="AA17" t="n">
        <v>0.100266847500036</v>
      </c>
      <c r="AB17" t="n">
        <v>-0.984946132404487</v>
      </c>
      <c r="AC17" t="n">
        <v>0.171992995628001</v>
      </c>
      <c r="AD17" t="n">
        <v>0.66078044909966</v>
      </c>
      <c r="AE17" t="n">
        <v>0.494772683066122</v>
      </c>
      <c r="AF17"/>
    </row>
    <row r="18">
      <c r="A18" t="s">
        <v>140</v>
      </c>
      <c r="B18" t="s">
        <v>283</v>
      </c>
      <c r="C18" t="s">
        <v>141</v>
      </c>
      <c r="D18" t="s">
        <v>284</v>
      </c>
      <c r="E18" t="s">
        <v>47</v>
      </c>
      <c r="F18" t="n">
        <v>0.120513849487114</v>
      </c>
      <c r="G18" t="n">
        <v>0.00357894234719155</v>
      </c>
      <c r="H18" t="n">
        <v>-0.240198249042462</v>
      </c>
      <c r="I18" t="n">
        <v>2.52028914774219</v>
      </c>
      <c r="J18" t="n">
        <v>0.660655336341201</v>
      </c>
      <c r="K18" t="n">
        <v>-0.392750108330275</v>
      </c>
      <c r="L18" t="n">
        <v>0.738072185101019</v>
      </c>
      <c r="M18" t="n">
        <v>0.248455978501693</v>
      </c>
      <c r="N18" t="n">
        <v>0.135248180199334</v>
      </c>
      <c r="O18" t="n">
        <v>-0.0626726320523578</v>
      </c>
      <c r="P18" t="n">
        <v>0.640557552111343</v>
      </c>
      <c r="Q18" t="n">
        <v>0.216724700186485</v>
      </c>
      <c r="R18" t="n">
        <v>0.774301865247233</v>
      </c>
      <c r="S18" t="n">
        <v>1.32517811456818</v>
      </c>
      <c r="T18" t="n">
        <v>3.20612988918219</v>
      </c>
      <c r="U18" t="n">
        <v>-2.84152550755653</v>
      </c>
      <c r="V18" t="n">
        <v>-1.0126660090017</v>
      </c>
      <c r="W18" t="n">
        <v>-0.314471651266841</v>
      </c>
      <c r="X18" t="n">
        <v>0.278377644626287</v>
      </c>
      <c r="Y18" t="n">
        <v>-0.580606521789574</v>
      </c>
      <c r="Z18" t="n">
        <v>-0.604033952372865</v>
      </c>
      <c r="AA18" t="n">
        <v>0.425263770088617</v>
      </c>
      <c r="AB18" t="n">
        <v>0.331809059331866</v>
      </c>
      <c r="AC18" t="n">
        <v>0.824661126728071</v>
      </c>
      <c r="AD18" t="n">
        <v>0.907619080596877</v>
      </c>
      <c r="AE18" t="n">
        <v>1.38740918182087</v>
      </c>
      <c r="AF18"/>
    </row>
    <row r="19">
      <c r="A19" t="s">
        <v>142</v>
      </c>
      <c r="B19" t="s">
        <v>283</v>
      </c>
      <c r="C19" t="s">
        <v>143</v>
      </c>
      <c r="D19" t="s">
        <v>284</v>
      </c>
      <c r="E19" t="s">
        <v>47</v>
      </c>
      <c r="F19" t="n">
        <v>-0.0120472389194576</v>
      </c>
      <c r="G19" t="n">
        <v>-0.0195444925809713</v>
      </c>
      <c r="H19" t="n">
        <v>0.57318064277969</v>
      </c>
      <c r="I19" t="n">
        <v>1.23447145166162</v>
      </c>
      <c r="J19" t="n">
        <v>0.600798371734126</v>
      </c>
      <c r="K19" t="n">
        <v>-0.248675694659475</v>
      </c>
      <c r="L19" t="n">
        <v>0.643086091769825</v>
      </c>
      <c r="M19" t="n">
        <v>0.650652280921011</v>
      </c>
      <c r="N19" t="n">
        <v>0.430324649236711</v>
      </c>
      <c r="O19" t="n">
        <v>0.713961850052461</v>
      </c>
      <c r="P19" t="n">
        <v>0.821973562955536</v>
      </c>
      <c r="Q19" t="n">
        <v>-0.00699642906706092</v>
      </c>
      <c r="R19" t="n">
        <v>0.258950544692151</v>
      </c>
      <c r="S19" t="n">
        <v>0.758450960571476</v>
      </c>
      <c r="T19" t="n">
        <v>0.860217697561542</v>
      </c>
      <c r="U19" t="n">
        <v>0.3479546761256</v>
      </c>
      <c r="V19" t="n">
        <v>0.238243909735898</v>
      </c>
      <c r="W19" t="n">
        <v>-0.471738825804841</v>
      </c>
      <c r="X19" t="n">
        <v>0.995567299455702</v>
      </c>
      <c r="Y19" t="n">
        <v>0.415935691458215</v>
      </c>
      <c r="Z19" t="n">
        <v>1.1091630504347</v>
      </c>
      <c r="AA19" t="n">
        <v>0.147058828774339</v>
      </c>
      <c r="AB19" t="n">
        <v>-0.0980609949899025</v>
      </c>
      <c r="AC19" t="n">
        <v>-0.091069919478107</v>
      </c>
      <c r="AD19" t="n">
        <v>0.360545138641554</v>
      </c>
      <c r="AE19" t="n">
        <v>1.89006672098456</v>
      </c>
      <c r="AF19"/>
    </row>
    <row r="20">
      <c r="A20" t="s">
        <v>144</v>
      </c>
      <c r="B20" t="s">
        <v>283</v>
      </c>
      <c r="C20" t="s">
        <v>145</v>
      </c>
      <c r="D20" t="s">
        <v>284</v>
      </c>
      <c r="E20" t="s">
        <v>47</v>
      </c>
      <c r="F20" t="n">
        <v>-2.09144077201986</v>
      </c>
      <c r="G20" t="n">
        <v>12.4531843824071</v>
      </c>
      <c r="H20" t="n">
        <v>8.12479570270295</v>
      </c>
      <c r="I20" t="n">
        <v>0.243673673783062</v>
      </c>
      <c r="J20" t="n">
        <v>2.67698517018104</v>
      </c>
      <c r="K20" t="n">
        <v>4.25890901120731</v>
      </c>
      <c r="L20" t="n">
        <v>2.51376566153614</v>
      </c>
      <c r="M20" t="n">
        <v>1.02602216612479</v>
      </c>
      <c r="N20" t="n">
        <v>4.50022711073715</v>
      </c>
      <c r="O20" t="n">
        <v>-1.2538657848718</v>
      </c>
      <c r="P20" t="n">
        <v>-9.90354360103518</v>
      </c>
      <c r="Q20" t="n">
        <v>-4.29480489142481</v>
      </c>
      <c r="R20" t="n">
        <v>8.23920519397181</v>
      </c>
      <c r="S20" t="n">
        <v>-0.234058383162479</v>
      </c>
      <c r="T20" t="n">
        <v>-3.39127564979723</v>
      </c>
      <c r="U20" t="n">
        <v>-0.849203018045067</v>
      </c>
      <c r="V20" t="n">
        <v>5.05742257911201</v>
      </c>
      <c r="W20" t="n">
        <v>-2.16609120391074</v>
      </c>
      <c r="X20" t="n">
        <v>5.14684632041234</v>
      </c>
      <c r="Y20" t="n">
        <v>1.30352471799429</v>
      </c>
      <c r="Z20" t="n">
        <v>0.322960374029231</v>
      </c>
      <c r="AA20" t="n">
        <v>-2.88945670721702</v>
      </c>
      <c r="AB20" t="n">
        <v>5.15037279262839</v>
      </c>
      <c r="AC20" t="n">
        <v>-0.182658668813984</v>
      </c>
      <c r="AD20" t="n">
        <v>3.55621272070682</v>
      </c>
      <c r="AE20" t="n">
        <v>-11.2712880129355</v>
      </c>
      <c r="AF20"/>
    </row>
    <row r="21">
      <c r="A21" t="s">
        <v>146</v>
      </c>
      <c r="B21" t="s">
        <v>283</v>
      </c>
      <c r="C21" t="s">
        <v>147</v>
      </c>
      <c r="D21" t="s">
        <v>284</v>
      </c>
      <c r="E21" t="s">
        <v>47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283</v>
      </c>
      <c r="C22" t="s">
        <v>149</v>
      </c>
      <c r="D22" t="s">
        <v>284</v>
      </c>
      <c r="E22" t="s">
        <v>47</v>
      </c>
      <c r="F22" t="n">
        <v>-2.26456488419946</v>
      </c>
      <c r="G22" t="n">
        <v>4.55088015306662</v>
      </c>
      <c r="H22" t="n">
        <v>1.39695488563577</v>
      </c>
      <c r="I22" t="n">
        <v>-0.726916797288166</v>
      </c>
      <c r="J22" t="n">
        <v>0.172024877910458</v>
      </c>
      <c r="K22" t="n">
        <v>0.708712605039944</v>
      </c>
      <c r="L22" t="n">
        <v>0.840551249270951</v>
      </c>
      <c r="M22" t="n">
        <v>0.626834642062043</v>
      </c>
      <c r="N22" t="n">
        <v>0.487302824683465</v>
      </c>
      <c r="O22" t="n">
        <v>-1.66571509218467</v>
      </c>
      <c r="P22" t="n">
        <v>-3.5393537859451</v>
      </c>
      <c r="Q22" t="n">
        <v>-1.90179230623328</v>
      </c>
      <c r="R22" t="n">
        <v>1.96210081375952</v>
      </c>
      <c r="S22" t="n">
        <v>-1.60615332063405</v>
      </c>
      <c r="T22" t="n">
        <v>-1.75470324948623</v>
      </c>
      <c r="U22" t="n">
        <v>-1.19234407593887</v>
      </c>
      <c r="V22" t="n">
        <v>1.20209964104459</v>
      </c>
      <c r="W22" t="n">
        <v>0.176978319152853</v>
      </c>
      <c r="X22" t="n">
        <v>2.3537945136581</v>
      </c>
      <c r="Y22" t="n">
        <v>1.09508741412269</v>
      </c>
      <c r="Z22" t="n">
        <v>0.451904006553549</v>
      </c>
      <c r="AA22" t="n">
        <v>0.189033672559124</v>
      </c>
      <c r="AB22" t="n">
        <v>1.47511309378394</v>
      </c>
      <c r="AC22" t="n">
        <v>-0.209809147096222</v>
      </c>
      <c r="AD22" t="n">
        <v>0.41300477550674</v>
      </c>
      <c r="AE22" t="n">
        <v>0.901615340050491</v>
      </c>
      <c r="AF22"/>
    </row>
    <row r="23">
      <c r="A23" t="s">
        <v>150</v>
      </c>
      <c r="B23" t="s">
        <v>283</v>
      </c>
      <c r="C23" t="s">
        <v>151</v>
      </c>
      <c r="D23" t="s">
        <v>284</v>
      </c>
      <c r="E23" t="s">
        <v>47</v>
      </c>
      <c r="F23" t="n">
        <v>0.2070980783861</v>
      </c>
      <c r="G23" t="n">
        <v>-0.0385467979739024</v>
      </c>
      <c r="H23" t="n">
        <v>-0.161097171369347</v>
      </c>
      <c r="I23" t="n">
        <v>0.119665366848169</v>
      </c>
      <c r="J23" t="n">
        <v>-0.0505967117387491</v>
      </c>
      <c r="K23" t="n">
        <v>-0.0915307149524964</v>
      </c>
      <c r="L23" t="n">
        <v>0.403529505870831</v>
      </c>
      <c r="M23" t="n">
        <v>0.0334561310207029</v>
      </c>
      <c r="N23" t="n">
        <v>-0.331766932369537</v>
      </c>
      <c r="O23" t="n">
        <v>-0.574051585250799</v>
      </c>
      <c r="P23" t="n">
        <v>0.20176833080572</v>
      </c>
      <c r="Q23" t="n">
        <v>-0.116790581310625</v>
      </c>
      <c r="R23" t="n">
        <v>0.213068811127004</v>
      </c>
      <c r="S23" t="n">
        <v>0.144780366487879</v>
      </c>
      <c r="T23" t="n">
        <v>0.336173674489327</v>
      </c>
      <c r="U23" t="n">
        <v>0.291106791687561</v>
      </c>
      <c r="V23" t="n">
        <v>-0.0883302601288622</v>
      </c>
      <c r="W23" t="n">
        <v>0.0426398306875983</v>
      </c>
      <c r="X23" t="n">
        <v>0.609832661102322</v>
      </c>
      <c r="Y23" t="n">
        <v>0.133239610749459</v>
      </c>
      <c r="Z23" t="n">
        <v>0.336204549698215</v>
      </c>
      <c r="AA23" t="n">
        <v>0.302137857067004</v>
      </c>
      <c r="AB23" t="n">
        <v>0.280811153237116</v>
      </c>
      <c r="AC23" t="n">
        <v>0.387186144759925</v>
      </c>
      <c r="AD23" t="n">
        <v>0.363904213859021</v>
      </c>
      <c r="AE23" t="n">
        <v>0.620395063164633</v>
      </c>
      <c r="AF23"/>
    </row>
    <row r="24">
      <c r="A24" t="s">
        <v>152</v>
      </c>
      <c r="B24" t="s">
        <v>283</v>
      </c>
      <c r="C24" t="s">
        <v>153</v>
      </c>
      <c r="D24" t="s">
        <v>284</v>
      </c>
      <c r="E24" t="s">
        <v>47</v>
      </c>
      <c r="F24" t="n">
        <v>0.412910319223019</v>
      </c>
      <c r="G24" t="n">
        <v>0.404367200702658</v>
      </c>
      <c r="H24" t="n">
        <v>0.566012208735539</v>
      </c>
      <c r="I24" t="n">
        <v>0.0359531216665078</v>
      </c>
      <c r="J24" t="n">
        <v>-0.103425676278403</v>
      </c>
      <c r="K24" t="n">
        <v>0.541675127728376</v>
      </c>
      <c r="L24" t="n">
        <v>0.415060381991282</v>
      </c>
      <c r="M24" t="n">
        <v>0.501440257791312</v>
      </c>
      <c r="N24" t="n">
        <v>0.0316013118801269</v>
      </c>
      <c r="O24" t="n">
        <v>-0.0145533182812197</v>
      </c>
      <c r="P24" t="n">
        <v>0.448495881559309</v>
      </c>
      <c r="Q24" t="n">
        <v>0.438013158454309</v>
      </c>
      <c r="R24" t="n">
        <v>0.24615718834575</v>
      </c>
      <c r="S24" t="n">
        <v>0.363202663464473</v>
      </c>
      <c r="T24" t="n">
        <v>0.364285515230598</v>
      </c>
      <c r="U24" t="n">
        <v>-0.371406812529049</v>
      </c>
      <c r="V24" t="n">
        <v>0.0199857499878541</v>
      </c>
      <c r="W24" t="n">
        <v>0.412654834262503</v>
      </c>
      <c r="X24" t="n">
        <v>0.301617719933658</v>
      </c>
      <c r="Y24" t="n">
        <v>0.388829310333935</v>
      </c>
      <c r="Z24" t="n">
        <v>-0.0742359837510095</v>
      </c>
      <c r="AA24" t="n">
        <v>-0.011271207388343</v>
      </c>
      <c r="AB24" t="n">
        <v>0.0518995888878181</v>
      </c>
      <c r="AC24" t="n">
        <v>0.246925254159432</v>
      </c>
      <c r="AD24" t="n">
        <v>0.440990933435234</v>
      </c>
      <c r="AE24" t="n">
        <v>0.747188517839063</v>
      </c>
      <c r="AF24"/>
    </row>
    <row r="25">
      <c r="A25" t="s">
        <v>154</v>
      </c>
      <c r="B25" t="s">
        <v>283</v>
      </c>
      <c r="C25" t="s">
        <v>155</v>
      </c>
      <c r="D25" t="s">
        <v>284</v>
      </c>
      <c r="E25" t="s">
        <v>47</v>
      </c>
      <c r="F25" t="n">
        <v>1.13467117459787</v>
      </c>
      <c r="G25" t="n">
        <v>1.7989703890395</v>
      </c>
      <c r="H25" t="n">
        <v>1.26615596848648</v>
      </c>
      <c r="I25" t="n">
        <v>-0.0302472386288053</v>
      </c>
      <c r="J25" t="n">
        <v>0.944277781195653</v>
      </c>
      <c r="K25" t="n">
        <v>1.47867067209871</v>
      </c>
      <c r="L25" t="n">
        <v>0.52957513705549</v>
      </c>
      <c r="M25" t="n">
        <v>0.223145862700141</v>
      </c>
      <c r="N25" t="n">
        <v>0.0440977972919142</v>
      </c>
      <c r="O25" t="n">
        <v>0.686217489371768</v>
      </c>
      <c r="P25" t="n">
        <v>0.797080593489397</v>
      </c>
      <c r="Q25" t="n">
        <v>-0.03410847514025</v>
      </c>
      <c r="R25" t="n">
        <v>0.211133264949875</v>
      </c>
      <c r="S25" t="n">
        <v>1.65483385926486</v>
      </c>
      <c r="T25" t="n">
        <v>0.269668277597565</v>
      </c>
      <c r="U25" t="n">
        <v>-1.75438733326065</v>
      </c>
      <c r="V25" t="n">
        <v>-1.37910609651833</v>
      </c>
      <c r="W25" t="n">
        <v>-1.01201833447638</v>
      </c>
      <c r="X25" t="n">
        <v>-0.597022719055114</v>
      </c>
      <c r="Y25" t="n">
        <v>0.40372101125552</v>
      </c>
      <c r="Z25" t="n">
        <v>-0.349030764900492</v>
      </c>
      <c r="AA25" t="n">
        <v>-0.436970322069309</v>
      </c>
      <c r="AB25" t="n">
        <v>-0.329171490962754</v>
      </c>
      <c r="AC25" t="n">
        <v>-0.97280732926707</v>
      </c>
      <c r="AD25" t="n">
        <v>0.735052941632057</v>
      </c>
      <c r="AE25" t="n">
        <v>0.290336369744863</v>
      </c>
      <c r="AF25"/>
    </row>
    <row r="26">
      <c r="A26" t="s">
        <v>156</v>
      </c>
      <c r="B26" t="s">
        <v>283</v>
      </c>
      <c r="C26" t="s">
        <v>157</v>
      </c>
      <c r="D26" t="s">
        <v>284</v>
      </c>
      <c r="E26" t="s">
        <v>47</v>
      </c>
      <c r="F26" t="n">
        <v>0.411994083390206</v>
      </c>
      <c r="G26" t="n">
        <v>0.439711799243433</v>
      </c>
      <c r="H26" t="n">
        <v>0.677449241989858</v>
      </c>
      <c r="I26" t="n">
        <v>0.27383419244335</v>
      </c>
      <c r="J26" t="n">
        <v>0.0550061086724063</v>
      </c>
      <c r="K26" t="n">
        <v>0.578109041380126</v>
      </c>
      <c r="L26" t="n">
        <v>0.223643009785147</v>
      </c>
      <c r="M26" t="n">
        <v>0.677941560830063</v>
      </c>
      <c r="N26" t="n">
        <v>-0.0814010090324927</v>
      </c>
      <c r="O26" t="n">
        <v>-0.246246357633478</v>
      </c>
      <c r="P26" t="n">
        <v>0.0558655968196804</v>
      </c>
      <c r="Q26" t="n">
        <v>0.214893686199982</v>
      </c>
      <c r="R26" t="n">
        <v>0.0423416390496805</v>
      </c>
      <c r="S26" t="n">
        <v>0.276830478144203</v>
      </c>
      <c r="T26" t="n">
        <v>0.383230904509158</v>
      </c>
      <c r="U26" t="n">
        <v>-0.131531456678181</v>
      </c>
      <c r="V26" t="n">
        <v>-0.146690957698951</v>
      </c>
      <c r="W26" t="n">
        <v>0.446792357757853</v>
      </c>
      <c r="X26" t="n">
        <v>0.155411623039928</v>
      </c>
      <c r="Y26" t="n">
        <v>0.119606400505238</v>
      </c>
      <c r="Z26" t="n">
        <v>-0.347170097493405</v>
      </c>
      <c r="AA26" t="n">
        <v>-0.17415028284023</v>
      </c>
      <c r="AB26" t="n">
        <v>-0.100486359918132</v>
      </c>
      <c r="AC26" t="n">
        <v>-0.052878882977011</v>
      </c>
      <c r="AD26" t="n">
        <v>0.265530392577901</v>
      </c>
      <c r="AE26" t="n">
        <v>0.0551088561225843</v>
      </c>
      <c r="AF26"/>
    </row>
    <row r="27">
      <c r="A27" t="s">
        <v>158</v>
      </c>
      <c r="B27" t="s">
        <v>283</v>
      </c>
      <c r="C27" t="s">
        <v>159</v>
      </c>
      <c r="D27" t="s">
        <v>284</v>
      </c>
      <c r="E27" t="s">
        <v>47</v>
      </c>
      <c r="F27" t="n">
        <v>0.338017571071075</v>
      </c>
      <c r="G27" t="n">
        <v>0.231185802368876</v>
      </c>
      <c r="H27" t="n">
        <v>0.321123854542099</v>
      </c>
      <c r="I27" t="n">
        <v>-0.180371202894909</v>
      </c>
      <c r="J27" t="n">
        <v>-0.354844599324669</v>
      </c>
      <c r="K27" t="n">
        <v>0.556006817502678</v>
      </c>
      <c r="L27" t="n">
        <v>0.668531434572541</v>
      </c>
      <c r="M27" t="n">
        <v>0.476610183238433</v>
      </c>
      <c r="N27" t="n">
        <v>0.183091659366094</v>
      </c>
      <c r="O27" t="n">
        <v>0.181815088483026</v>
      </c>
      <c r="P27" t="n">
        <v>0.80140344104446</v>
      </c>
      <c r="Q27" t="n">
        <v>0.722898337365328</v>
      </c>
      <c r="R27" t="n">
        <v>0.408938807353655</v>
      </c>
      <c r="S27" t="n">
        <v>0.251475648880391</v>
      </c>
      <c r="T27" t="n">
        <v>0.3429352459325</v>
      </c>
      <c r="U27" t="n">
        <v>-0.388464687151154</v>
      </c>
      <c r="V27" t="n">
        <v>0.294928842214531</v>
      </c>
      <c r="W27" t="n">
        <v>0.572738960535921</v>
      </c>
      <c r="X27" t="n">
        <v>0.544137488897815</v>
      </c>
      <c r="Y27" t="n">
        <v>0.639702834224105</v>
      </c>
      <c r="Z27" t="n">
        <v>0.198156464412924</v>
      </c>
      <c r="AA27" t="n">
        <v>0.196033943122381</v>
      </c>
      <c r="AB27" t="n">
        <v>0.233386802732225</v>
      </c>
      <c r="AC27" t="n">
        <v>0.687038241973648</v>
      </c>
      <c r="AD27" t="n">
        <v>0.633445018503171</v>
      </c>
      <c r="AE27" t="n">
        <v>1.49372223887115</v>
      </c>
      <c r="AF27"/>
    </row>
    <row r="28">
      <c r="A28" t="s">
        <v>160</v>
      </c>
      <c r="B28" t="s">
        <v>283</v>
      </c>
      <c r="C28" t="s">
        <v>161</v>
      </c>
      <c r="D28" t="s">
        <v>284</v>
      </c>
      <c r="E28" t="s">
        <v>47</v>
      </c>
      <c r="F28" t="n">
        <v>-0.304625162037423</v>
      </c>
      <c r="G28" t="n">
        <v>-0.216568297340611</v>
      </c>
      <c r="H28" t="n">
        <v>1.21702711504324</v>
      </c>
      <c r="I28" t="n">
        <v>0.295266815238865</v>
      </c>
      <c r="J28" t="n">
        <v>0.141836747207244</v>
      </c>
      <c r="K28" t="n">
        <v>-0.673712270568796</v>
      </c>
      <c r="L28" t="n">
        <v>0.678268260323288</v>
      </c>
      <c r="M28" t="n">
        <v>0.0814805272990954</v>
      </c>
      <c r="N28" t="n">
        <v>0.267077201668285</v>
      </c>
      <c r="O28" t="n">
        <v>0.447125246179473</v>
      </c>
      <c r="P28" t="n">
        <v>0.848498489264251</v>
      </c>
      <c r="Q28" t="n">
        <v>-1.12958622778331</v>
      </c>
      <c r="R28" t="n">
        <v>0.0988229384819665</v>
      </c>
      <c r="S28" t="n">
        <v>1.43482638415472</v>
      </c>
      <c r="T28" t="n">
        <v>0.511580187666023</v>
      </c>
      <c r="U28" t="n">
        <v>-0.496470090045735</v>
      </c>
      <c r="V28" t="n">
        <v>-0.0206506794219952</v>
      </c>
      <c r="W28" t="n">
        <v>-0.252574134829578</v>
      </c>
      <c r="X28" t="n">
        <v>-0.0702581129203585</v>
      </c>
      <c r="Y28" t="n">
        <v>-0.0496076622828196</v>
      </c>
      <c r="Z28" t="n">
        <v>0.633776439706834</v>
      </c>
      <c r="AA28" t="n">
        <v>0.15139788147056</v>
      </c>
      <c r="AB28" t="n">
        <v>-0.246487286030817</v>
      </c>
      <c r="AC28" t="n">
        <v>1.03900916191519</v>
      </c>
      <c r="AD28" t="n">
        <v>0.769233056147205</v>
      </c>
      <c r="AE28" t="n">
        <v>1.24762685506103</v>
      </c>
      <c r="AF28"/>
    </row>
    <row r="29">
      <c r="A29" t="s">
        <v>162</v>
      </c>
      <c r="B29" t="s">
        <v>283</v>
      </c>
      <c r="C29" t="s">
        <v>163</v>
      </c>
      <c r="D29" t="s">
        <v>284</v>
      </c>
      <c r="E29" t="s">
        <v>47</v>
      </c>
      <c r="F29" t="n">
        <v>-0.00989643692540489</v>
      </c>
      <c r="G29" t="n">
        <v>-0.242543780618783</v>
      </c>
      <c r="H29" t="n">
        <v>1.46593692672041</v>
      </c>
      <c r="I29" t="n">
        <v>0.179590683615188</v>
      </c>
      <c r="J29" t="n">
        <v>-0.212471405568615</v>
      </c>
      <c r="K29" t="n">
        <v>-0.510854900788207</v>
      </c>
      <c r="L29" t="n">
        <v>0.423262526069494</v>
      </c>
      <c r="M29" t="n">
        <v>-0.164271453979715</v>
      </c>
      <c r="N29" t="n">
        <v>-0.171230550626097</v>
      </c>
      <c r="O29" t="n">
        <v>0.116794830571441</v>
      </c>
      <c r="P29" t="n">
        <v>0.7077654601264</v>
      </c>
      <c r="Q29" t="n">
        <v>-0.960069044920304</v>
      </c>
      <c r="R29" t="n">
        <v>-0.290982849474589</v>
      </c>
      <c r="S29" t="n">
        <v>0.817657155944766</v>
      </c>
      <c r="T29" t="n">
        <v>0.0937459006935066</v>
      </c>
      <c r="U29" t="n">
        <v>-0.443468399143969</v>
      </c>
      <c r="V29" t="n">
        <v>-0.0726653338847324</v>
      </c>
      <c r="W29" t="n">
        <v>-0.464556437033226</v>
      </c>
      <c r="X29" t="n">
        <v>-0.108598331052525</v>
      </c>
      <c r="Y29" t="n">
        <v>0.025204679635948</v>
      </c>
      <c r="Z29" t="n">
        <v>0.509225770460677</v>
      </c>
      <c r="AA29" t="n">
        <v>0.00783496075869451</v>
      </c>
      <c r="AB29" t="n">
        <v>-0.491791087969376</v>
      </c>
      <c r="AC29" t="n">
        <v>0.933443882219995</v>
      </c>
      <c r="AD29" t="n">
        <v>1.00821776144652</v>
      </c>
      <c r="AE29" t="n">
        <v>0.920766204189306</v>
      </c>
      <c r="AF29"/>
    </row>
    <row r="30">
      <c r="A30" t="s">
        <v>164</v>
      </c>
      <c r="B30" t="s">
        <v>283</v>
      </c>
      <c r="C30" t="s">
        <v>165</v>
      </c>
      <c r="D30" t="s">
        <v>284</v>
      </c>
      <c r="E30" t="s">
        <v>47</v>
      </c>
      <c r="F30" t="n">
        <v>-4.40386267896526</v>
      </c>
      <c r="G30" t="n">
        <v>-1.92272108061935</v>
      </c>
      <c r="H30" t="n">
        <v>-0.403523263776944</v>
      </c>
      <c r="I30" t="n">
        <v>0.275963330021802</v>
      </c>
      <c r="J30" t="n">
        <v>1.01096707203388</v>
      </c>
      <c r="K30" t="n">
        <v>-2.29830357188773</v>
      </c>
      <c r="L30" t="n">
        <v>1.48851943411322</v>
      </c>
      <c r="M30" t="n">
        <v>3.14829010334245</v>
      </c>
      <c r="N30" t="n">
        <v>3.95393467035754</v>
      </c>
      <c r="O30" t="n">
        <v>3.86019572948301</v>
      </c>
      <c r="P30" t="n">
        <v>-0.645838377830764</v>
      </c>
      <c r="Q30" t="n">
        <v>-3.96070669790252</v>
      </c>
      <c r="R30" t="n">
        <v>-1.8400071883937</v>
      </c>
      <c r="S30" t="n">
        <v>1.13188378194489</v>
      </c>
      <c r="T30" t="n">
        <v>2.22285704624978</v>
      </c>
      <c r="U30" t="n">
        <v>-0.137613821283898</v>
      </c>
      <c r="V30" t="n">
        <v>1.31925593091861</v>
      </c>
      <c r="W30" t="n">
        <v>1.03893976600786</v>
      </c>
      <c r="X30" t="n">
        <v>-1.76200540941212</v>
      </c>
      <c r="Y30" t="n">
        <v>-0.462481379972475</v>
      </c>
      <c r="Z30" t="n">
        <v>2.79955645239387</v>
      </c>
      <c r="AA30" t="n">
        <v>3.08642374989443</v>
      </c>
      <c r="AB30" t="n">
        <v>1.52304565915977</v>
      </c>
      <c r="AC30" t="n">
        <v>-0.128543922485453</v>
      </c>
      <c r="AD30" t="n">
        <v>-0.460390977249344</v>
      </c>
      <c r="AE30" t="n">
        <v>1.7740617917211</v>
      </c>
      <c r="AF30"/>
    </row>
    <row r="31">
      <c r="A31" t="s">
        <v>166</v>
      </c>
      <c r="B31" t="s">
        <v>283</v>
      </c>
      <c r="C31" t="s">
        <v>167</v>
      </c>
      <c r="D31" t="s">
        <v>284</v>
      </c>
      <c r="E31" t="s">
        <v>47</v>
      </c>
      <c r="F31" t="n">
        <v>-2.09573891751412</v>
      </c>
      <c r="G31" t="n">
        <v>-1.39937231693508</v>
      </c>
      <c r="H31" t="n">
        <v>3.89293680238064</v>
      </c>
      <c r="I31" t="n">
        <v>1.56568387046136</v>
      </c>
      <c r="J31" t="n">
        <v>0.983311894048511</v>
      </c>
      <c r="K31" t="n">
        <v>-2.30010495906436</v>
      </c>
      <c r="L31" t="n">
        <v>-1.01870554824242</v>
      </c>
      <c r="M31" t="n">
        <v>-0.546645927773019</v>
      </c>
      <c r="N31" t="n">
        <v>2.14017641437428</v>
      </c>
      <c r="O31" t="n">
        <v>3.17196286859186</v>
      </c>
      <c r="P31" t="n">
        <v>5.18633512470385</v>
      </c>
      <c r="Q31" t="n">
        <v>1.10147258007447</v>
      </c>
      <c r="R31" t="n">
        <v>2.39997045897643</v>
      </c>
      <c r="S31" t="n">
        <v>6.37673021333547</v>
      </c>
      <c r="T31" t="n">
        <v>2.32470135348488</v>
      </c>
      <c r="U31" t="n">
        <v>-1.58633086917215</v>
      </c>
      <c r="V31" t="n">
        <v>-5.20135585598422</v>
      </c>
      <c r="W31" t="n">
        <v>-1.77975970788739</v>
      </c>
      <c r="X31" t="n">
        <v>5.32344733586097</v>
      </c>
      <c r="Y31" t="n">
        <v>6.92992663708247</v>
      </c>
      <c r="Z31" t="n">
        <v>1.02870863147822</v>
      </c>
      <c r="AA31" t="n">
        <v>1.91858703941219</v>
      </c>
      <c r="AB31" t="n">
        <v>2.44784504307064</v>
      </c>
      <c r="AC31" t="n">
        <v>1.1167486506275</v>
      </c>
      <c r="AD31" t="n">
        <v>0.822195628902976</v>
      </c>
      <c r="AE31" t="n">
        <v>3.49379206827463</v>
      </c>
      <c r="AF31"/>
    </row>
    <row r="32">
      <c r="A32" t="s">
        <v>168</v>
      </c>
      <c r="B32" t="s">
        <v>283</v>
      </c>
      <c r="C32" t="s">
        <v>169</v>
      </c>
      <c r="D32" t="s">
        <v>284</v>
      </c>
      <c r="E32" t="s">
        <v>47</v>
      </c>
      <c r="F32" t="n">
        <v>1.34637486095929</v>
      </c>
      <c r="G32" t="n">
        <v>1.56444206710396</v>
      </c>
      <c r="H32" t="n">
        <v>2.09552446001438</v>
      </c>
      <c r="I32" t="n">
        <v>2.18342961144795</v>
      </c>
      <c r="J32" t="n">
        <v>2.64975544320398</v>
      </c>
      <c r="K32" t="n">
        <v>-1.64130557726431</v>
      </c>
      <c r="L32" t="n">
        <v>1.12646726723245</v>
      </c>
      <c r="M32" t="n">
        <v>0.508047790281407</v>
      </c>
      <c r="N32" t="n">
        <v>1.34191283877206</v>
      </c>
      <c r="O32" t="n">
        <v>0.756723478159724</v>
      </c>
      <c r="P32" t="n">
        <v>0.922111549674746</v>
      </c>
      <c r="Q32" t="n">
        <v>-3.66570249789662</v>
      </c>
      <c r="R32" t="n">
        <v>-2.04742604472373</v>
      </c>
      <c r="S32" t="n">
        <v>1.2606011478549</v>
      </c>
      <c r="T32" t="n">
        <v>0.679777701885732</v>
      </c>
      <c r="U32" t="n">
        <v>-0.409601162348738</v>
      </c>
      <c r="V32" t="n">
        <v>1.75527183824264</v>
      </c>
      <c r="W32" t="n">
        <v>1.09998698285949</v>
      </c>
      <c r="X32" t="n">
        <v>-0.882102730745348</v>
      </c>
      <c r="Y32" t="n">
        <v>-1.24836146730617</v>
      </c>
      <c r="Z32" t="n">
        <v>0.570870567635329</v>
      </c>
      <c r="AA32" t="n">
        <v>-0.6977350063772</v>
      </c>
      <c r="AB32" t="n">
        <v>-0.960208894244373</v>
      </c>
      <c r="AC32" t="n">
        <v>1.61744580751605</v>
      </c>
      <c r="AD32" t="n">
        <v>-2.00250201150855</v>
      </c>
      <c r="AE32" t="n">
        <v>2.28398221639717</v>
      </c>
      <c r="AF32"/>
    </row>
    <row r="33">
      <c r="A33" t="s">
        <v>170</v>
      </c>
      <c r="B33" t="s">
        <v>283</v>
      </c>
      <c r="C33" t="s">
        <v>171</v>
      </c>
      <c r="D33" t="s">
        <v>284</v>
      </c>
      <c r="E33" t="s">
        <v>47</v>
      </c>
      <c r="F33" t="n">
        <v>0.872870537482886</v>
      </c>
      <c r="G33" t="n">
        <v>0.918120689696248</v>
      </c>
      <c r="H33" t="n">
        <v>0.836622506760797</v>
      </c>
      <c r="I33" t="n">
        <v>0.427505874594095</v>
      </c>
      <c r="J33" t="n">
        <v>0.791117888507776</v>
      </c>
      <c r="K33" t="n">
        <v>0.164994920284725</v>
      </c>
      <c r="L33" t="n">
        <v>0.735092872760831</v>
      </c>
      <c r="M33" t="n">
        <v>0.294407055687537</v>
      </c>
      <c r="N33" t="n">
        <v>0.0239881544324969</v>
      </c>
      <c r="O33" t="n">
        <v>-0.0590376105791144</v>
      </c>
      <c r="P33" t="n">
        <v>0.180529828512658</v>
      </c>
      <c r="Q33" t="n">
        <v>0.375205840009604</v>
      </c>
      <c r="R33" t="n">
        <v>3.20799500617544</v>
      </c>
      <c r="S33" t="n">
        <v>0.0298625509979833</v>
      </c>
      <c r="T33" t="n">
        <v>-0.801083077550577</v>
      </c>
      <c r="U33" t="n">
        <v>-1.18232666692586</v>
      </c>
      <c r="V33" t="n">
        <v>-0.362796282815587</v>
      </c>
      <c r="W33" t="n">
        <v>0.0423180614129865</v>
      </c>
      <c r="X33" t="n">
        <v>-0.556216072682946</v>
      </c>
      <c r="Y33" t="n">
        <v>-0.727619133044311</v>
      </c>
      <c r="Z33" t="n">
        <v>0.217355410207603</v>
      </c>
      <c r="AA33" t="n">
        <v>-0.329780812315854</v>
      </c>
      <c r="AB33" t="n">
        <v>-0.304497482313379</v>
      </c>
      <c r="AC33" t="n">
        <v>-0.251955812855503</v>
      </c>
      <c r="AD33" t="n">
        <v>-0.0821499729385426</v>
      </c>
      <c r="AE33" t="n">
        <v>-0.134303231926732</v>
      </c>
      <c r="AF33"/>
    </row>
    <row r="34">
      <c r="A34" t="s">
        <v>172</v>
      </c>
      <c r="B34" t="s">
        <v>283</v>
      </c>
      <c r="C34" t="s">
        <v>173</v>
      </c>
      <c r="D34" t="s">
        <v>284</v>
      </c>
      <c r="E34" t="s">
        <v>47</v>
      </c>
      <c r="F34" t="n">
        <v>0.0249142294526731</v>
      </c>
      <c r="G34" t="n">
        <v>0.207650386558298</v>
      </c>
      <c r="H34" t="n">
        <v>0.668719760606763</v>
      </c>
      <c r="I34" t="n">
        <v>0.1183867947441</v>
      </c>
      <c r="J34" t="n">
        <v>0.116502305164695</v>
      </c>
      <c r="K34" t="n">
        <v>0.151211359970918</v>
      </c>
      <c r="L34" t="n">
        <v>0.669939047873906</v>
      </c>
      <c r="M34" t="n">
        <v>-0.214962373380538</v>
      </c>
      <c r="N34" t="n">
        <v>0.0774518113421065</v>
      </c>
      <c r="O34" t="n">
        <v>-0.790108634522137</v>
      </c>
      <c r="P34" t="n">
        <v>-0.25142392955476</v>
      </c>
      <c r="Q34" t="n">
        <v>0.846495081832518</v>
      </c>
      <c r="R34" t="n">
        <v>1.12835183870713</v>
      </c>
      <c r="S34" t="n">
        <v>0.415180435594361</v>
      </c>
      <c r="T34" t="n">
        <v>-0.320766763913039</v>
      </c>
      <c r="U34" t="n">
        <v>-0.615836751590112</v>
      </c>
      <c r="V34" t="n">
        <v>0.173100893308025</v>
      </c>
      <c r="W34" t="n">
        <v>-0.0297894118030219</v>
      </c>
      <c r="X34" t="n">
        <v>-0.848717921286686</v>
      </c>
      <c r="Y34" t="n">
        <v>0.0179726853014416</v>
      </c>
      <c r="Z34" t="n">
        <v>-0.0177332178629891</v>
      </c>
      <c r="AA34" t="n">
        <v>-0.710074376058999</v>
      </c>
      <c r="AB34" t="n">
        <v>0.0915585811258167</v>
      </c>
      <c r="AC34" t="n">
        <v>-0.42059897778866</v>
      </c>
      <c r="AD34" t="n">
        <v>-0.361233213433278</v>
      </c>
      <c r="AE34" t="n">
        <v>1.30265667206167</v>
      </c>
      <c r="AF34"/>
    </row>
    <row r="35">
      <c r="A35" t="s">
        <v>174</v>
      </c>
      <c r="B35" t="s">
        <v>283</v>
      </c>
      <c r="C35" t="s">
        <v>175</v>
      </c>
      <c r="D35" t="s">
        <v>284</v>
      </c>
      <c r="E35" t="s">
        <v>47</v>
      </c>
      <c r="F35" t="n">
        <v>0.180706049857857</v>
      </c>
      <c r="G35" t="n">
        <v>0.542301066912716</v>
      </c>
      <c r="H35" t="n">
        <v>0.393253900050195</v>
      </c>
      <c r="I35" t="n">
        <v>0.193831544698605</v>
      </c>
      <c r="J35" t="n">
        <v>0.506496995348086</v>
      </c>
      <c r="K35" t="n">
        <v>-0.189572857526</v>
      </c>
      <c r="L35" t="n">
        <v>0.347305901053847</v>
      </c>
      <c r="M35" t="n">
        <v>0.658911973965985</v>
      </c>
      <c r="N35" t="n">
        <v>0.0178710867890419</v>
      </c>
      <c r="O35" t="n">
        <v>0.140346968859852</v>
      </c>
      <c r="P35" t="n">
        <v>-0.619889617270968</v>
      </c>
      <c r="Q35" t="n">
        <v>-0.454087074067883</v>
      </c>
      <c r="R35" t="n">
        <v>-0.00528288388147196</v>
      </c>
      <c r="S35" t="n">
        <v>-0.290390211563576</v>
      </c>
      <c r="T35" t="n">
        <v>0.294304909160079</v>
      </c>
      <c r="U35" t="n">
        <v>-0.431507978085216</v>
      </c>
      <c r="V35" t="n">
        <v>0.146002168578391</v>
      </c>
      <c r="W35" t="n">
        <v>0.51745730979075</v>
      </c>
      <c r="X35" t="n">
        <v>-0.0925496278776308</v>
      </c>
      <c r="Y35" t="n">
        <v>-0.391485301931854</v>
      </c>
      <c r="Z35" t="n">
        <v>0.159516047440963</v>
      </c>
      <c r="AA35" t="n">
        <v>-0.332168851368022</v>
      </c>
      <c r="AB35" t="n">
        <v>-0.346420438931612</v>
      </c>
      <c r="AC35" t="n">
        <v>-0.253549923785707</v>
      </c>
      <c r="AD35" t="n">
        <v>0.0561755430099501</v>
      </c>
      <c r="AE35" t="n">
        <v>-0.180498236703929</v>
      </c>
      <c r="AF35"/>
    </row>
    <row r="36">
      <c r="A36" t="s">
        <v>176</v>
      </c>
      <c r="B36" t="s">
        <v>283</v>
      </c>
      <c r="C36" t="s">
        <v>177</v>
      </c>
      <c r="D36" t="s">
        <v>284</v>
      </c>
      <c r="E36" t="s">
        <v>47</v>
      </c>
      <c r="F36" t="n">
        <v>0.86803421406536</v>
      </c>
      <c r="G36" t="n">
        <v>1.779856426607</v>
      </c>
      <c r="H36" t="n">
        <v>1.23614082517215</v>
      </c>
      <c r="I36" t="n">
        <v>0.929688272022817</v>
      </c>
      <c r="J36" t="n">
        <v>1.00246804040225</v>
      </c>
      <c r="K36" t="n">
        <v>0.340731255164523</v>
      </c>
      <c r="L36" t="n">
        <v>0.880499545888981</v>
      </c>
      <c r="M36" t="n">
        <v>0.854444464391903</v>
      </c>
      <c r="N36" t="n">
        <v>0.888067134827538</v>
      </c>
      <c r="O36" t="n">
        <v>0.623582129744218</v>
      </c>
      <c r="P36" t="n">
        <v>0.290304965938038</v>
      </c>
      <c r="Q36" t="n">
        <v>0.306474263629521</v>
      </c>
      <c r="R36" t="n">
        <v>0.0161005382258531</v>
      </c>
      <c r="S36" t="n">
        <v>-0.50003871292367</v>
      </c>
      <c r="T36" t="n">
        <v>0.229394041056617</v>
      </c>
      <c r="U36" t="n">
        <v>-0.451550293617889</v>
      </c>
      <c r="V36" t="n">
        <v>0.101948882779619</v>
      </c>
      <c r="W36" t="n">
        <v>1.14319895829715</v>
      </c>
      <c r="X36" t="n">
        <v>0.361320122376959</v>
      </c>
      <c r="Y36" t="n">
        <v>-0.19136370932729</v>
      </c>
      <c r="Z36" t="n">
        <v>-0.217952029803027</v>
      </c>
      <c r="AA36" t="n">
        <v>-0.253131939685279</v>
      </c>
      <c r="AB36" t="n">
        <v>-0.37570831383358</v>
      </c>
      <c r="AC36" t="n">
        <v>-0.582846498598464</v>
      </c>
      <c r="AD36" t="n">
        <v>-0.0522598042477779</v>
      </c>
      <c r="AE36" t="n">
        <v>-0.0488507307383248</v>
      </c>
      <c r="AF36"/>
    </row>
    <row r="37">
      <c r="A37" t="s">
        <v>178</v>
      </c>
      <c r="B37" t="s">
        <v>283</v>
      </c>
      <c r="C37" t="s">
        <v>179</v>
      </c>
      <c r="D37" t="s">
        <v>284</v>
      </c>
      <c r="E37" t="s">
        <v>47</v>
      </c>
      <c r="F37" t="n">
        <v>1.75942510700414</v>
      </c>
      <c r="G37" t="n">
        <v>-1.06275720587758</v>
      </c>
      <c r="H37" t="n">
        <v>1.77700856035357</v>
      </c>
      <c r="I37" t="n">
        <v>1.81400466159363</v>
      </c>
      <c r="J37" t="n">
        <v>0.326122116343755</v>
      </c>
      <c r="K37" t="n">
        <v>-2.51151645045617</v>
      </c>
      <c r="L37" t="n">
        <v>0.588489670655931</v>
      </c>
      <c r="M37" t="n">
        <v>2.93144711035838</v>
      </c>
      <c r="N37" t="n">
        <v>1.05214901331404</v>
      </c>
      <c r="O37" t="n">
        <v>1.5815407076591</v>
      </c>
      <c r="P37" t="n">
        <v>-2.80389040073525</v>
      </c>
      <c r="Q37" t="n">
        <v>-2.33802619399911</v>
      </c>
      <c r="R37" t="n">
        <v>0.0147615816510653</v>
      </c>
      <c r="S37" t="n">
        <v>-0.237459747340594</v>
      </c>
      <c r="T37" t="n">
        <v>1.37585306735414</v>
      </c>
      <c r="U37" t="n">
        <v>-0.120424585282069</v>
      </c>
      <c r="V37" t="n">
        <v>0.441098131409248</v>
      </c>
      <c r="W37" t="n">
        <v>-0.256947144264171</v>
      </c>
      <c r="X37" t="n">
        <v>-0.136632127361937</v>
      </c>
      <c r="Y37" t="n">
        <v>-0.32338970966084</v>
      </c>
      <c r="Z37" t="n">
        <v>1.1548375848011</v>
      </c>
      <c r="AA37" t="n">
        <v>-1.95894500834656</v>
      </c>
      <c r="AB37" t="n">
        <v>-1.56184343347183</v>
      </c>
      <c r="AC37" t="n">
        <v>-1.0237322459145</v>
      </c>
      <c r="AD37" t="n">
        <v>0.347022061526223</v>
      </c>
      <c r="AE37" t="n">
        <v>-1.14449045479254</v>
      </c>
      <c r="AF37"/>
    </row>
    <row r="38">
      <c r="A38" t="s">
        <v>180</v>
      </c>
      <c r="B38" t="s">
        <v>283</v>
      </c>
      <c r="C38" t="s">
        <v>181</v>
      </c>
      <c r="D38" t="s">
        <v>284</v>
      </c>
      <c r="E38" t="s">
        <v>47</v>
      </c>
      <c r="F38" t="n">
        <v>-0.406435969366192</v>
      </c>
      <c r="G38" t="n">
        <v>-0.221418819729702</v>
      </c>
      <c r="H38" t="n">
        <v>-0.407666927677934</v>
      </c>
      <c r="I38" t="n">
        <v>-0.434008865869529</v>
      </c>
      <c r="J38" t="n">
        <v>-0.0307925337940641</v>
      </c>
      <c r="K38" t="n">
        <v>-0.0620965033266865</v>
      </c>
      <c r="L38" t="n">
        <v>0.12773371128846</v>
      </c>
      <c r="M38" t="n">
        <v>0.252933832146011</v>
      </c>
      <c r="N38" t="n">
        <v>-0.0751855972992447</v>
      </c>
      <c r="O38" t="n">
        <v>0.020159138354954</v>
      </c>
      <c r="P38" t="n">
        <v>-0.378754296066983</v>
      </c>
      <c r="Q38" t="n">
        <v>-0.253909199926768</v>
      </c>
      <c r="R38" t="n">
        <v>-0.193408411521646</v>
      </c>
      <c r="S38" t="n">
        <v>-0.204922199000988</v>
      </c>
      <c r="T38" t="n">
        <v>-0.0873601279810997</v>
      </c>
      <c r="U38" t="n">
        <v>-0.229514101890269</v>
      </c>
      <c r="V38" t="n">
        <v>-0.0815655011101762</v>
      </c>
      <c r="W38" t="n">
        <v>-0.0220280132874024</v>
      </c>
      <c r="X38" t="n">
        <v>-0.154394456358296</v>
      </c>
      <c r="Y38" t="n">
        <v>-0.174317779722109</v>
      </c>
      <c r="Z38" t="n">
        <v>0.0674106852880896</v>
      </c>
      <c r="AA38" t="n">
        <v>-0.0794478701128035</v>
      </c>
      <c r="AB38" t="n">
        <v>-0.070413413238066</v>
      </c>
      <c r="AC38" t="n">
        <v>0.0748537011173078</v>
      </c>
      <c r="AD38" t="n">
        <v>0.0264821632611906</v>
      </c>
      <c r="AE38" t="n">
        <v>-0.0423948059924687</v>
      </c>
      <c r="AF38"/>
    </row>
    <row r="39">
      <c r="A39" t="s">
        <v>182</v>
      </c>
      <c r="B39" t="s">
        <v>283</v>
      </c>
      <c r="C39" t="s">
        <v>183</v>
      </c>
      <c r="D39" t="s">
        <v>284</v>
      </c>
      <c r="E39" t="s">
        <v>47</v>
      </c>
      <c r="F39" t="n">
        <v>-0.0798699160918593</v>
      </c>
      <c r="G39" t="n">
        <v>0.117088970756847</v>
      </c>
      <c r="H39" t="n">
        <v>0.0711681569832475</v>
      </c>
      <c r="I39" t="n">
        <v>-0.0623745916665628</v>
      </c>
      <c r="J39" t="n">
        <v>0.0840072799288964</v>
      </c>
      <c r="K39" t="n">
        <v>-0.00138604507503483</v>
      </c>
      <c r="L39" t="n">
        <v>0.207185421810716</v>
      </c>
      <c r="M39" t="n">
        <v>0.0342581861729574</v>
      </c>
      <c r="N39" t="n">
        <v>0.15095199142458</v>
      </c>
      <c r="O39" t="n">
        <v>0.0853605552071343</v>
      </c>
      <c r="P39" t="n">
        <v>-0.0552321254655024</v>
      </c>
      <c r="Q39" t="n">
        <v>-0.0781242567848597</v>
      </c>
      <c r="R39" t="n">
        <v>-0.115860516429319</v>
      </c>
      <c r="S39" t="n">
        <v>-0.140727657038138</v>
      </c>
      <c r="T39" t="n">
        <v>0.109500470288273</v>
      </c>
      <c r="U39" t="n">
        <v>-0.00977841644813963</v>
      </c>
      <c r="V39" t="n">
        <v>-0.0107276687966913</v>
      </c>
      <c r="W39" t="n">
        <v>-0.00280387470665615</v>
      </c>
      <c r="X39" t="n">
        <v>0.21380837466733</v>
      </c>
      <c r="Y39" t="n">
        <v>0.299951630147807</v>
      </c>
      <c r="Z39" t="n">
        <v>-0.0133718779605373</v>
      </c>
      <c r="AA39" t="n">
        <v>-0.0182803513864181</v>
      </c>
      <c r="AB39" t="n">
        <v>-0.00599536939110797</v>
      </c>
      <c r="AC39" t="n">
        <v>0.064473881332869</v>
      </c>
      <c r="AD39" t="n">
        <v>0.0290050819992453</v>
      </c>
      <c r="AE39" t="n">
        <v>-0.0707452886036091</v>
      </c>
      <c r="AF39"/>
    </row>
    <row r="40">
      <c r="A40" t="s">
        <v>184</v>
      </c>
      <c r="B40" t="s">
        <v>283</v>
      </c>
      <c r="C40" t="s">
        <v>185</v>
      </c>
      <c r="D40" t="s">
        <v>284</v>
      </c>
      <c r="E40" t="s">
        <v>47</v>
      </c>
      <c r="F40" t="n">
        <v>-4.18218017244617</v>
      </c>
      <c r="G40" t="n">
        <v>3.11996977219028</v>
      </c>
      <c r="H40" t="n">
        <v>2.53499603084854</v>
      </c>
      <c r="I40" t="n">
        <v>-3.16734718088914</v>
      </c>
      <c r="J40" t="n">
        <v>3.01830207191862</v>
      </c>
      <c r="K40" t="n">
        <v>-1.98509146479074</v>
      </c>
      <c r="L40" t="n">
        <v>2.76675658100107</v>
      </c>
      <c r="M40" t="n">
        <v>-2.5274054429296</v>
      </c>
      <c r="N40" t="n">
        <v>0.827302188672584</v>
      </c>
      <c r="O40" t="n">
        <v>-1.81389964773395</v>
      </c>
      <c r="P40" t="n">
        <v>-1.31363296446698</v>
      </c>
      <c r="Q40" t="n">
        <v>-5.17234418362345</v>
      </c>
      <c r="R40" t="n">
        <v>-3.54850025010373</v>
      </c>
      <c r="S40" t="n">
        <v>-6.1924526850009</v>
      </c>
      <c r="T40" t="n">
        <v>-1.15770381568554</v>
      </c>
      <c r="U40" t="n">
        <v>-0.507755285344137</v>
      </c>
      <c r="V40" t="n">
        <v>1.63092952505789</v>
      </c>
      <c r="W40" t="n">
        <v>-4.93463239424017</v>
      </c>
      <c r="X40" t="n">
        <v>3.46555665180645</v>
      </c>
      <c r="Y40" t="n">
        <v>2.54866286746565</v>
      </c>
      <c r="Z40" t="n">
        <v>-3.21082379481574</v>
      </c>
      <c r="AA40" t="n">
        <v>-2.37444599650305</v>
      </c>
      <c r="AB40" t="n">
        <v>-5.60965111541236</v>
      </c>
      <c r="AC40" t="n">
        <v>-0.679224135699742</v>
      </c>
      <c r="AD40" t="n">
        <v>1.06005785110525</v>
      </c>
      <c r="AE40" t="n">
        <v>-0.284602972717293</v>
      </c>
      <c r="AF40"/>
    </row>
    <row r="41">
      <c r="A41" t="s">
        <v>186</v>
      </c>
      <c r="B41" t="s">
        <v>283</v>
      </c>
      <c r="C41" t="s">
        <v>187</v>
      </c>
      <c r="D41" t="s">
        <v>284</v>
      </c>
      <c r="E41" t="s">
        <v>47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283</v>
      </c>
      <c r="C42" t="s">
        <v>189</v>
      </c>
      <c r="D42" t="s">
        <v>284</v>
      </c>
      <c r="E42" t="s">
        <v>47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283</v>
      </c>
      <c r="C43" t="s">
        <v>191</v>
      </c>
      <c r="D43" t="s">
        <v>284</v>
      </c>
      <c r="E43" t="s">
        <v>47</v>
      </c>
      <c r="F43" t="n">
        <v>-0.734877346610982</v>
      </c>
      <c r="G43" t="n">
        <v>-0.0874105871772755</v>
      </c>
      <c r="H43" t="n">
        <v>0.448623830523141</v>
      </c>
      <c r="I43" t="n">
        <v>-0.0469152640257411</v>
      </c>
      <c r="J43" t="n">
        <v>-0.360085417291788</v>
      </c>
      <c r="K43" t="n">
        <v>-0.66338777975816</v>
      </c>
      <c r="L43" t="n">
        <v>-0.118427141697298</v>
      </c>
      <c r="M43" t="n">
        <v>0.573528961086841</v>
      </c>
      <c r="N43" t="n">
        <v>0.194989897258725</v>
      </c>
      <c r="O43" t="n">
        <v>0.109221078244942</v>
      </c>
      <c r="P43" t="n">
        <v>0.511405152330173</v>
      </c>
      <c r="Q43" t="n">
        <v>1.229696588118</v>
      </c>
      <c r="R43" t="n">
        <v>0.769026551599508</v>
      </c>
      <c r="S43" t="n">
        <v>-0.0412377850421826</v>
      </c>
      <c r="T43" t="n">
        <v>0.657402799569279</v>
      </c>
      <c r="U43" t="n">
        <v>0.0193004163152172</v>
      </c>
      <c r="V43" t="n">
        <v>-0.235826350100294</v>
      </c>
      <c r="W43" t="n">
        <v>-1.08682353929907</v>
      </c>
      <c r="X43" t="n">
        <v>0.313795670189728</v>
      </c>
      <c r="Y43" t="n">
        <v>0.0000993294573273435</v>
      </c>
      <c r="Z43" t="n">
        <v>0.0771438300611476</v>
      </c>
      <c r="AA43" t="n">
        <v>0.1554194979927</v>
      </c>
      <c r="AB43" t="n">
        <v>0.314891759631488</v>
      </c>
      <c r="AC43" t="n">
        <v>0.271244683620326</v>
      </c>
      <c r="AD43" t="n">
        <v>0.484268135540574</v>
      </c>
      <c r="AE43" t="n">
        <v>0.722010470067511</v>
      </c>
      <c r="AF43"/>
    </row>
    <row r="44">
      <c r="A44" t="s">
        <v>192</v>
      </c>
      <c r="B44" t="s">
        <v>283</v>
      </c>
      <c r="C44" t="s">
        <v>193</v>
      </c>
      <c r="D44" t="s">
        <v>284</v>
      </c>
      <c r="E44" t="s">
        <v>47</v>
      </c>
      <c r="F44" t="n">
        <v>0.233085820439694</v>
      </c>
      <c r="G44" t="n">
        <v>0.380641383876333</v>
      </c>
      <c r="H44" t="n">
        <v>0.763047990140174</v>
      </c>
      <c r="I44" t="n">
        <v>0.676295163944617</v>
      </c>
      <c r="J44" t="n">
        <v>0.316911641109668</v>
      </c>
      <c r="K44" t="n">
        <v>0.0610600761707822</v>
      </c>
      <c r="L44" t="n">
        <v>0.74810558598067</v>
      </c>
      <c r="M44" t="n">
        <v>0.499857367071081</v>
      </c>
      <c r="N44" t="n">
        <v>0.138925959340567</v>
      </c>
      <c r="O44" t="n">
        <v>-0.0807196014694965</v>
      </c>
      <c r="P44" t="n">
        <v>0.419632459782272</v>
      </c>
      <c r="Q44" t="n">
        <v>0.0210639102077874</v>
      </c>
      <c r="R44" t="n">
        <v>0.451981148691943</v>
      </c>
      <c r="S44" t="n">
        <v>0.574700918857336</v>
      </c>
      <c r="T44" t="n">
        <v>0.817531536522703</v>
      </c>
      <c r="U44" t="n">
        <v>-0.506456305359156</v>
      </c>
      <c r="V44" t="n">
        <v>-0.0413695585468915</v>
      </c>
      <c r="W44" t="n">
        <v>-0.110622135812806</v>
      </c>
      <c r="X44" t="n">
        <v>0.337987302281191</v>
      </c>
      <c r="Y44" t="n">
        <v>0.0889293004713879</v>
      </c>
      <c r="Z44" t="n">
        <v>0.161022772186198</v>
      </c>
      <c r="AA44" t="n">
        <v>0.0439298101643875</v>
      </c>
      <c r="AB44" t="n">
        <v>-0.00736998796397348</v>
      </c>
      <c r="AC44" t="n">
        <v>0.304061047604476</v>
      </c>
      <c r="AD44" t="n">
        <v>0.426868558319484</v>
      </c>
      <c r="AE44" t="n">
        <v>0.952065776177154</v>
      </c>
      <c r="AF44"/>
    </row>
    <row r="45">
      <c r="A45" t="s">
        <v>194</v>
      </c>
      <c r="B45" t="s">
        <v>283</v>
      </c>
      <c r="C45" t="s">
        <v>195</v>
      </c>
      <c r="D45" t="s">
        <v>284</v>
      </c>
      <c r="E45" t="s">
        <v>47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283</v>
      </c>
      <c r="C46" t="s">
        <v>197</v>
      </c>
      <c r="D46" t="s">
        <v>284</v>
      </c>
      <c r="E46" t="s">
        <v>47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283</v>
      </c>
      <c r="C47" t="s">
        <v>199</v>
      </c>
      <c r="D47" t="s">
        <v>284</v>
      </c>
      <c r="E47" t="s">
        <v>47</v>
      </c>
      <c r="F47" t="n">
        <v>-0.388435444295396</v>
      </c>
      <c r="G47" t="n">
        <v>4.58315710314989</v>
      </c>
      <c r="H47" t="n">
        <v>1.97119743739412</v>
      </c>
      <c r="I47" t="n">
        <v>0.337062917080472</v>
      </c>
      <c r="J47" t="n">
        <v>1.96596281757399</v>
      </c>
      <c r="K47" t="n">
        <v>-0.329839340654768</v>
      </c>
      <c r="L47" t="n">
        <v>2.74737129935988</v>
      </c>
      <c r="M47" t="n">
        <v>-0.479192607755629</v>
      </c>
      <c r="N47" t="n">
        <v>-1.65799025206759</v>
      </c>
      <c r="O47" t="n">
        <v>-1.12995752484234</v>
      </c>
      <c r="P47" t="n">
        <v>1.13258367586015</v>
      </c>
      <c r="Q47" t="n">
        <v>0.428839976032443</v>
      </c>
      <c r="R47" t="n">
        <v>0.102948614080474</v>
      </c>
      <c r="S47" t="n">
        <v>1.57614940887432</v>
      </c>
      <c r="T47" t="n">
        <v>0.0516348233483272</v>
      </c>
      <c r="U47" t="n">
        <v>0.802927777895147</v>
      </c>
      <c r="V47" t="n">
        <v>0.00760719091388164</v>
      </c>
      <c r="W47" t="n">
        <v>-0.554824570631577</v>
      </c>
      <c r="X47" t="n">
        <v>0.440375682518175</v>
      </c>
      <c r="Y47" t="n">
        <v>0.0661197966383919</v>
      </c>
      <c r="Z47" t="n">
        <v>0.671325580159299</v>
      </c>
      <c r="AA47" t="n">
        <v>0.563674611313823</v>
      </c>
      <c r="AB47" t="n">
        <v>-0.42186917758811</v>
      </c>
      <c r="AC47" t="n">
        <v>1.15072860085869</v>
      </c>
      <c r="AD47" t="n">
        <v>-1.17326002097292</v>
      </c>
      <c r="AE47" t="n">
        <v>0.599991856868764</v>
      </c>
      <c r="AF47"/>
    </row>
    <row r="48">
      <c r="A48" t="s">
        <v>200</v>
      </c>
      <c r="B48" t="s">
        <v>283</v>
      </c>
      <c r="C48" t="s">
        <v>201</v>
      </c>
      <c r="D48" t="s">
        <v>284</v>
      </c>
      <c r="E48" t="s">
        <v>47</v>
      </c>
      <c r="F48" t="n">
        <v>0.277538801805222</v>
      </c>
      <c r="G48" t="n">
        <v>1.36822784344095</v>
      </c>
      <c r="H48" t="n">
        <v>0.264068031199235</v>
      </c>
      <c r="I48" t="n">
        <v>-0.227098411842894</v>
      </c>
      <c r="J48" t="n">
        <v>0.666582324818198</v>
      </c>
      <c r="K48" t="n">
        <v>-0.26560501574332</v>
      </c>
      <c r="L48" t="n">
        <v>0.577755659312673</v>
      </c>
      <c r="M48" t="n">
        <v>-0.204694447071387</v>
      </c>
      <c r="N48" t="n">
        <v>-1.24167020380395</v>
      </c>
      <c r="O48" t="n">
        <v>-1.2488447130699</v>
      </c>
      <c r="P48" t="n">
        <v>-0.250989185041427</v>
      </c>
      <c r="Q48" t="n">
        <v>-0.665654173232676</v>
      </c>
      <c r="R48" t="n">
        <v>0.390482141644278</v>
      </c>
      <c r="S48" t="n">
        <v>-0.052593230922146</v>
      </c>
      <c r="T48" t="n">
        <v>-0.696808908468678</v>
      </c>
      <c r="U48" t="n">
        <v>-0.533492833231489</v>
      </c>
      <c r="V48" t="n">
        <v>-0.308742512098988</v>
      </c>
      <c r="W48" t="n">
        <v>-0.483030383076967</v>
      </c>
      <c r="X48" t="n">
        <v>-0.230792527972116</v>
      </c>
      <c r="Y48" t="n">
        <v>-0.186586793852186</v>
      </c>
      <c r="Z48" t="n">
        <v>-0.204047974146308</v>
      </c>
      <c r="AA48" t="n">
        <v>-0.21307508769735</v>
      </c>
      <c r="AB48" t="n">
        <v>-0.39081841768502</v>
      </c>
      <c r="AC48" t="n">
        <v>0.118574061701489</v>
      </c>
      <c r="AD48" t="n">
        <v>-0.0769018308835659</v>
      </c>
      <c r="AE48" t="n">
        <v>0.534535718571853</v>
      </c>
      <c r="AF48"/>
    </row>
    <row r="49">
      <c r="A49" t="s">
        <v>202</v>
      </c>
      <c r="B49" t="s">
        <v>283</v>
      </c>
      <c r="C49" t="s">
        <v>203</v>
      </c>
      <c r="D49" t="s">
        <v>284</v>
      </c>
      <c r="E49" t="s">
        <v>47</v>
      </c>
      <c r="F49" t="n">
        <v>0.140336013764875</v>
      </c>
      <c r="G49" t="n">
        <v>0.481948833929844</v>
      </c>
      <c r="H49" t="n">
        <v>-0.36216457324839</v>
      </c>
      <c r="I49" t="n">
        <v>-0.326745160086353</v>
      </c>
      <c r="J49" t="n">
        <v>0.124906298223372</v>
      </c>
      <c r="K49" t="n">
        <v>0.0660166803853781</v>
      </c>
      <c r="L49" t="n">
        <v>0.244067292937864</v>
      </c>
      <c r="M49" t="n">
        <v>0.0445718716427017</v>
      </c>
      <c r="N49" t="n">
        <v>-0.89793540547433</v>
      </c>
      <c r="O49" t="n">
        <v>-0.848368373218321</v>
      </c>
      <c r="P49" t="n">
        <v>-0.021032558906931</v>
      </c>
      <c r="Q49" t="n">
        <v>-0.247716251477098</v>
      </c>
      <c r="R49" t="n">
        <v>0.259632609977771</v>
      </c>
      <c r="S49" t="n">
        <v>-0.3229133451188</v>
      </c>
      <c r="T49" t="n">
        <v>-0.295683720548957</v>
      </c>
      <c r="U49" t="n">
        <v>-0.203131284365594</v>
      </c>
      <c r="V49" t="n">
        <v>-0.0877016430952891</v>
      </c>
      <c r="W49" t="n">
        <v>0.105392090610453</v>
      </c>
      <c r="X49" t="n">
        <v>0.308577491562785</v>
      </c>
      <c r="Y49" t="n">
        <v>-0.036978389847517</v>
      </c>
      <c r="Z49" t="n">
        <v>-0.297299562673697</v>
      </c>
      <c r="AA49" t="n">
        <v>-0.355820321610303</v>
      </c>
      <c r="AB49" t="n">
        <v>-0.360573851009164</v>
      </c>
      <c r="AC49" t="n">
        <v>-0.242773762055015</v>
      </c>
      <c r="AD49" t="n">
        <v>0.0660783749088754</v>
      </c>
      <c r="AE49" t="n">
        <v>0.273483011493486</v>
      </c>
      <c r="AF49"/>
    </row>
    <row r="50">
      <c r="A50" t="s">
        <v>204</v>
      </c>
      <c r="B50" t="s">
        <v>283</v>
      </c>
      <c r="C50" t="s">
        <v>205</v>
      </c>
      <c r="D50" t="s">
        <v>284</v>
      </c>
      <c r="E50" t="s">
        <v>47</v>
      </c>
      <c r="F50" t="n">
        <v>0.826142611046866</v>
      </c>
      <c r="G50" t="n">
        <v>0.800702097368075</v>
      </c>
      <c r="H50" t="n">
        <v>0.436459713254451</v>
      </c>
      <c r="I50" t="n">
        <v>0.222803689229999</v>
      </c>
      <c r="J50" t="n">
        <v>0.586683544377667</v>
      </c>
      <c r="K50" t="n">
        <v>-0.128704213466082</v>
      </c>
      <c r="L50" t="n">
        <v>0.110903707648139</v>
      </c>
      <c r="M50" t="n">
        <v>-0.0148965110103513</v>
      </c>
      <c r="N50" t="n">
        <v>-0.65316881537184</v>
      </c>
      <c r="O50" t="n">
        <v>-0.569998855363068</v>
      </c>
      <c r="P50" t="n">
        <v>-0.209920742255471</v>
      </c>
      <c r="Q50" t="n">
        <v>-0.530649535754198</v>
      </c>
      <c r="R50" t="n">
        <v>0.246656922344706</v>
      </c>
      <c r="S50" t="n">
        <v>-0.248343034234557</v>
      </c>
      <c r="T50" t="n">
        <v>-0.630789749488251</v>
      </c>
      <c r="U50" t="n">
        <v>-0.349311726507563</v>
      </c>
      <c r="V50" t="n">
        <v>-0.0304043658087975</v>
      </c>
      <c r="W50" t="n">
        <v>-0.240781522900049</v>
      </c>
      <c r="X50" t="n">
        <v>-0.132931900301963</v>
      </c>
      <c r="Y50" t="n">
        <v>-0.01359450181119</v>
      </c>
      <c r="Z50" t="n">
        <v>-0.147520402074436</v>
      </c>
      <c r="AA50" t="n">
        <v>-0.142600704597962</v>
      </c>
      <c r="AB50" t="n">
        <v>-0.185479591291501</v>
      </c>
      <c r="AC50" t="n">
        <v>-0.0364919802396211</v>
      </c>
      <c r="AD50" t="n">
        <v>-0.0494344117588234</v>
      </c>
      <c r="AE50" t="n">
        <v>0.247051298866155</v>
      </c>
      <c r="AF50"/>
    </row>
    <row r="51">
      <c r="A51" t="s">
        <v>206</v>
      </c>
      <c r="B51" t="s">
        <v>283</v>
      </c>
      <c r="C51" t="s">
        <v>207</v>
      </c>
      <c r="D51" t="s">
        <v>284</v>
      </c>
      <c r="E51" t="s">
        <v>47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283</v>
      </c>
      <c r="C52" t="s">
        <v>209</v>
      </c>
      <c r="D52" t="s">
        <v>284</v>
      </c>
      <c r="E52" t="s">
        <v>47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283</v>
      </c>
      <c r="C53" t="s">
        <v>211</v>
      </c>
      <c r="D53" t="s">
        <v>284</v>
      </c>
      <c r="E53" t="s">
        <v>47</v>
      </c>
      <c r="F53" t="n">
        <v>-1.37055840072071</v>
      </c>
      <c r="G53" t="n">
        <v>0.220972236065684</v>
      </c>
      <c r="H53" t="n">
        <v>4.04738481537198</v>
      </c>
      <c r="I53" t="n">
        <v>2.9886546903926</v>
      </c>
      <c r="J53" t="n">
        <v>1.515810439116</v>
      </c>
      <c r="K53" t="n">
        <v>1.14834594183316</v>
      </c>
      <c r="L53" t="n">
        <v>3.85667836245484</v>
      </c>
      <c r="M53" t="n">
        <v>0.263048976687871</v>
      </c>
      <c r="N53" t="n">
        <v>2.24354295760734</v>
      </c>
      <c r="O53" t="n">
        <v>1.72323394778073</v>
      </c>
      <c r="P53" t="n">
        <v>4.43453105524613</v>
      </c>
      <c r="Q53" t="n">
        <v>0.149022111250844</v>
      </c>
      <c r="R53" t="n">
        <v>1.7746728853629</v>
      </c>
      <c r="S53" t="n">
        <v>-0.312351574722337</v>
      </c>
      <c r="T53" t="n">
        <v>-2.33785309077583</v>
      </c>
      <c r="U53" t="n">
        <v>-1.37115695588063</v>
      </c>
      <c r="V53" t="n">
        <v>0.529945027865187</v>
      </c>
      <c r="W53" t="n">
        <v>-0.677714894300835</v>
      </c>
      <c r="X53" t="n">
        <v>1.071928741473</v>
      </c>
      <c r="Y53" t="n">
        <v>0.151687466078192</v>
      </c>
      <c r="Z53" t="n">
        <v>0.094789871178034</v>
      </c>
      <c r="AA53" t="n">
        <v>-2.59712891582203</v>
      </c>
      <c r="AB53" t="n">
        <v>-2.95746912115367</v>
      </c>
      <c r="AC53" t="n">
        <v>-1.14881884437072</v>
      </c>
      <c r="AD53" t="n">
        <v>-0.94001543824936</v>
      </c>
      <c r="AE53" t="n">
        <v>0.432490021002741</v>
      </c>
      <c r="AF53"/>
    </row>
    <row r="54">
      <c r="A54" t="s">
        <v>212</v>
      </c>
      <c r="B54" t="s">
        <v>283</v>
      </c>
      <c r="C54" t="s">
        <v>213</v>
      </c>
      <c r="D54" t="s">
        <v>284</v>
      </c>
      <c r="E54" t="s">
        <v>47</v>
      </c>
      <c r="F54" t="n">
        <v>0.278062213645167</v>
      </c>
      <c r="G54" t="n">
        <v>0.977628702713237</v>
      </c>
      <c r="H54" t="n">
        <v>1.72374850601293</v>
      </c>
      <c r="I54" t="n">
        <v>0.989357129920112</v>
      </c>
      <c r="J54" t="n">
        <v>1.312244354694</v>
      </c>
      <c r="K54" t="n">
        <v>0.353521441850381</v>
      </c>
      <c r="L54" t="n">
        <v>0.92973351981517</v>
      </c>
      <c r="M54" t="n">
        <v>0.222934417321239</v>
      </c>
      <c r="N54" t="n">
        <v>0.817619497950777</v>
      </c>
      <c r="O54" t="n">
        <v>0.782383269301157</v>
      </c>
      <c r="P54" t="n">
        <v>0.835483306698768</v>
      </c>
      <c r="Q54" t="n">
        <v>-0.74362002676876</v>
      </c>
      <c r="R54" t="n">
        <v>1.03531436056573</v>
      </c>
      <c r="S54" t="n">
        <v>0.502451429565652</v>
      </c>
      <c r="T54" t="n">
        <v>-0.507859592049614</v>
      </c>
      <c r="U54" t="n">
        <v>-0.720285666232361</v>
      </c>
      <c r="V54" t="n">
        <v>-0.16203122531055</v>
      </c>
      <c r="W54" t="n">
        <v>-0.383402210571435</v>
      </c>
      <c r="X54" t="n">
        <v>0.349341959424467</v>
      </c>
      <c r="Y54" t="n">
        <v>0.123322755829728</v>
      </c>
      <c r="Z54" t="n">
        <v>0.177780714656191</v>
      </c>
      <c r="AA54" t="n">
        <v>-0.475956656444699</v>
      </c>
      <c r="AB54" t="n">
        <v>-0.978518168278165</v>
      </c>
      <c r="AC54" t="n">
        <v>-0.480741125821644</v>
      </c>
      <c r="AD54" t="n">
        <v>-0.503280104959932</v>
      </c>
      <c r="AE54" t="n">
        <v>0.422028311807343</v>
      </c>
      <c r="AF54"/>
    </row>
    <row r="55">
      <c r="A55" t="s">
        <v>214</v>
      </c>
      <c r="B55" t="s">
        <v>283</v>
      </c>
      <c r="C55" t="s">
        <v>215</v>
      </c>
      <c r="D55" t="s">
        <v>284</v>
      </c>
      <c r="E55" t="s">
        <v>47</v>
      </c>
      <c r="F55" t="n">
        <v>0.315900372932164</v>
      </c>
      <c r="G55" t="n">
        <v>0.662219306554732</v>
      </c>
      <c r="H55" t="n">
        <v>0.768163951924583</v>
      </c>
      <c r="I55" t="n">
        <v>0.401047856347321</v>
      </c>
      <c r="J55" t="n">
        <v>0.962795131146962</v>
      </c>
      <c r="K55" t="n">
        <v>0.308852851035948</v>
      </c>
      <c r="L55" t="n">
        <v>0.139568818669984</v>
      </c>
      <c r="M55" t="n">
        <v>-0.0824573122937077</v>
      </c>
      <c r="N55" t="n">
        <v>0.215544400903879</v>
      </c>
      <c r="O55" t="n">
        <v>0.426860552351873</v>
      </c>
      <c r="P55" t="n">
        <v>0.215435649563201</v>
      </c>
      <c r="Q55" t="n">
        <v>-0.54226558973703</v>
      </c>
      <c r="R55" t="n">
        <v>0.582484460049646</v>
      </c>
      <c r="S55" t="n">
        <v>0.388040959934978</v>
      </c>
      <c r="T55" t="n">
        <v>-0.149626642934128</v>
      </c>
      <c r="U55" t="n">
        <v>-0.290904565599623</v>
      </c>
      <c r="V55" t="n">
        <v>-0.144039186825161</v>
      </c>
      <c r="W55" t="n">
        <v>-0.242340006950968</v>
      </c>
      <c r="X55" t="n">
        <v>0.232058226432384</v>
      </c>
      <c r="Y55" t="n">
        <v>0.0780430281593575</v>
      </c>
      <c r="Z55" t="n">
        <v>0.0780876559693687</v>
      </c>
      <c r="AA55" t="n">
        <v>-0.0561020493097296</v>
      </c>
      <c r="AB55" t="n">
        <v>-0.249484393512126</v>
      </c>
      <c r="AC55" t="n">
        <v>-0.207877960043553</v>
      </c>
      <c r="AD55" t="n">
        <v>-0.24021851324637</v>
      </c>
      <c r="AE55" t="n">
        <v>0.726539428913216</v>
      </c>
      <c r="AF55"/>
    </row>
    <row r="56">
      <c r="A56" t="s">
        <v>216</v>
      </c>
      <c r="B56" t="s">
        <v>283</v>
      </c>
      <c r="C56" t="s">
        <v>217</v>
      </c>
      <c r="D56" t="s">
        <v>284</v>
      </c>
      <c r="E56" t="s">
        <v>47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283</v>
      </c>
      <c r="C57" t="s">
        <v>219</v>
      </c>
      <c r="D57" t="s">
        <v>284</v>
      </c>
      <c r="E57" t="s">
        <v>47</v>
      </c>
      <c r="F57" t="n">
        <v>0.415161277194464</v>
      </c>
      <c r="G57" t="n">
        <v>0.78630451653388</v>
      </c>
      <c r="H57" t="n">
        <v>0.98788247837267</v>
      </c>
      <c r="I57" t="n">
        <v>0.786444005892557</v>
      </c>
      <c r="J57" t="n">
        <v>0.573590540191865</v>
      </c>
      <c r="K57" t="n">
        <v>0.0531876796178735</v>
      </c>
      <c r="L57" t="n">
        <v>0.97309304988835</v>
      </c>
      <c r="M57" t="n">
        <v>0.636115458159116</v>
      </c>
      <c r="N57" t="n">
        <v>0.00213676423435229</v>
      </c>
      <c r="O57" t="n">
        <v>-0.301484380683081</v>
      </c>
      <c r="P57" t="n">
        <v>0.367898457362829</v>
      </c>
      <c r="Q57" t="n">
        <v>-0.194723174753781</v>
      </c>
      <c r="R57" t="n">
        <v>0.404617948544998</v>
      </c>
      <c r="S57" t="n">
        <v>0.485689551932267</v>
      </c>
      <c r="T57" t="n">
        <v>0.781982989786517</v>
      </c>
      <c r="U57" t="n">
        <v>-0.60770775753215</v>
      </c>
      <c r="V57" t="n">
        <v>-0.0907060128198506</v>
      </c>
      <c r="W57" t="n">
        <v>-0.285943399899747</v>
      </c>
      <c r="X57" t="n">
        <v>0.299084791465406</v>
      </c>
      <c r="Y57" t="n">
        <v>0.0376590220786492</v>
      </c>
      <c r="Z57" t="n">
        <v>0.0426022633188492</v>
      </c>
      <c r="AA57" t="n">
        <v>-0.0642287548873435</v>
      </c>
      <c r="AB57" t="n">
        <v>-0.192103519939222</v>
      </c>
      <c r="AC57" t="n">
        <v>0.251296652796638</v>
      </c>
      <c r="AD57" t="n">
        <v>0.364480974991659</v>
      </c>
      <c r="AE57" t="n">
        <v>0.97128187921593</v>
      </c>
      <c r="AF57"/>
    </row>
    <row r="58">
      <c r="A58" t="s">
        <v>220</v>
      </c>
      <c r="B58" t="s">
        <v>283</v>
      </c>
      <c r="C58" t="s">
        <v>221</v>
      </c>
      <c r="D58" t="s">
        <v>284</v>
      </c>
      <c r="E58" t="s">
        <v>47</v>
      </c>
      <c r="F58" t="n">
        <v>0.415253782880989</v>
      </c>
      <c r="G58" t="n">
        <v>0.786338640055584</v>
      </c>
      <c r="H58" t="n">
        <v>0.987969796532977</v>
      </c>
      <c r="I58" t="n">
        <v>0.786564908776024</v>
      </c>
      <c r="J58" t="n">
        <v>0.57353051347147</v>
      </c>
      <c r="K58" t="n">
        <v>0.0530252077741714</v>
      </c>
      <c r="L58" t="n">
        <v>0.973155561237513</v>
      </c>
      <c r="M58" t="n">
        <v>0.63587002749117</v>
      </c>
      <c r="N58" t="n">
        <v>0.00191608249426441</v>
      </c>
      <c r="O58" t="n">
        <v>-0.301826438584744</v>
      </c>
      <c r="P58" t="n">
        <v>0.368017550159876</v>
      </c>
      <c r="Q58" t="n">
        <v>-0.19466181286487</v>
      </c>
      <c r="R58" t="n">
        <v>0.404511372231891</v>
      </c>
      <c r="S58" t="n">
        <v>0.48572920822237</v>
      </c>
      <c r="T58" t="n">
        <v>0.782202646578777</v>
      </c>
      <c r="U58" t="n">
        <v>-0.607680798428143</v>
      </c>
      <c r="V58" t="n">
        <v>-0.0906428411681553</v>
      </c>
      <c r="W58" t="n">
        <v>-0.28595819903692</v>
      </c>
      <c r="X58" t="n">
        <v>0.299300671808028</v>
      </c>
      <c r="Y58" t="n">
        <v>0.0377987299399346</v>
      </c>
      <c r="Z58" t="n">
        <v>0.0423202309995494</v>
      </c>
      <c r="AA58" t="n">
        <v>-0.0644988150454713</v>
      </c>
      <c r="AB58" t="n">
        <v>-0.192157982984019</v>
      </c>
      <c r="AC58" t="n">
        <v>0.251358146558505</v>
      </c>
      <c r="AD58" t="n">
        <v>0.364514330476606</v>
      </c>
      <c r="AE58" t="n">
        <v>0.97141009882713</v>
      </c>
      <c r="AF58"/>
    </row>
    <row r="59">
      <c r="A59" t="s">
        <v>222</v>
      </c>
      <c r="B59" t="s">
        <v>283</v>
      </c>
      <c r="C59" t="s">
        <v>223</v>
      </c>
      <c r="D59" t="s">
        <v>284</v>
      </c>
      <c r="E59" t="s">
        <v>47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283</v>
      </c>
      <c r="C2" t="s">
        <v>108</v>
      </c>
      <c r="D2" t="s">
        <v>284</v>
      </c>
      <c r="E2" t="s">
        <v>48</v>
      </c>
      <c r="F2" t="n">
        <v>0.673759180502326</v>
      </c>
      <c r="G2" t="n">
        <v>0.498337846109331</v>
      </c>
      <c r="H2" t="n">
        <v>0.523685159772597</v>
      </c>
      <c r="I2" t="n">
        <v>0.405641679869454</v>
      </c>
      <c r="J2" t="n">
        <v>0.219541413578537</v>
      </c>
      <c r="K2" t="n">
        <v>-0.0602851389931109</v>
      </c>
      <c r="L2" t="n">
        <v>-0.0826638478205206</v>
      </c>
      <c r="M2" t="n">
        <v>-0.00322793585085299</v>
      </c>
      <c r="N2" t="n">
        <v>-0.13991860736416</v>
      </c>
      <c r="O2" t="n">
        <v>-0.0978878311199378</v>
      </c>
      <c r="P2" t="n">
        <v>-0.128007443477178</v>
      </c>
      <c r="Q2" t="n">
        <v>-0.0549307961744092</v>
      </c>
      <c r="R2" t="n">
        <v>-0.0493393492054435</v>
      </c>
      <c r="S2" t="n">
        <v>-0.0203348348930189</v>
      </c>
      <c r="T2" t="n">
        <v>-0.0120768163057526</v>
      </c>
      <c r="U2" t="n">
        <v>0.044537470328394</v>
      </c>
      <c r="V2" t="n">
        <v>0.0418650731909479</v>
      </c>
      <c r="W2" t="n">
        <v>0.0216076298055806</v>
      </c>
      <c r="X2" t="n">
        <v>0.0458292110147602</v>
      </c>
      <c r="Y2" t="n">
        <v>0.0103105094869673</v>
      </c>
      <c r="Z2" t="n">
        <v>0.0172973158885554</v>
      </c>
      <c r="AA2" t="n">
        <v>-0.0097253342350924</v>
      </c>
      <c r="AB2" t="n">
        <v>0.0244615062426335</v>
      </c>
      <c r="AC2" t="n">
        <v>-0.00997081596915758</v>
      </c>
      <c r="AD2" t="n">
        <v>0.00234775855520584</v>
      </c>
      <c r="AE2" t="n">
        <v>0.0243204397431093</v>
      </c>
      <c r="AF2"/>
    </row>
    <row r="3">
      <c r="A3" t="s">
        <v>110</v>
      </c>
      <c r="B3" t="s">
        <v>283</v>
      </c>
      <c r="C3" t="s">
        <v>111</v>
      </c>
      <c r="D3" t="s">
        <v>284</v>
      </c>
      <c r="E3" t="s">
        <v>48</v>
      </c>
      <c r="F3" t="n">
        <v>0.282035301107415</v>
      </c>
      <c r="G3" t="n">
        <v>0.130224367222882</v>
      </c>
      <c r="H3" t="n">
        <v>0.070282724367246</v>
      </c>
      <c r="I3" t="n">
        <v>0.181890901201973</v>
      </c>
      <c r="J3" t="n">
        <v>0.030097674257436</v>
      </c>
      <c r="K3" t="n">
        <v>0.0689452031762558</v>
      </c>
      <c r="L3" t="n">
        <v>0.0174485342480137</v>
      </c>
      <c r="M3" t="n">
        <v>0.266887332839227</v>
      </c>
      <c r="N3" t="n">
        <v>-0.0295802794209802</v>
      </c>
      <c r="O3" t="n">
        <v>0.161852983319744</v>
      </c>
      <c r="P3" t="n">
        <v>0.0056951233528989</v>
      </c>
      <c r="Q3" t="n">
        <v>0.0323595823087173</v>
      </c>
      <c r="R3" t="n">
        <v>0.184639738141006</v>
      </c>
      <c r="S3" t="n">
        <v>0.444554697550798</v>
      </c>
      <c r="T3" t="n">
        <v>-0.0950188569363447</v>
      </c>
      <c r="U3" t="n">
        <v>0.071768525126401</v>
      </c>
      <c r="V3" t="n">
        <v>0.124223295979109</v>
      </c>
      <c r="W3" t="n">
        <v>-0.072802617182825</v>
      </c>
      <c r="X3" t="n">
        <v>0.0588576867614661</v>
      </c>
      <c r="Y3" t="n">
        <v>-0.0981524210647062</v>
      </c>
      <c r="Z3" t="n">
        <v>0.0245418833612398</v>
      </c>
      <c r="AA3" t="n">
        <v>0.116050457288599</v>
      </c>
      <c r="AB3" t="n">
        <v>-0.0910011726458246</v>
      </c>
      <c r="AC3" t="n">
        <v>0.108481893446026</v>
      </c>
      <c r="AD3" t="n">
        <v>-0.042475732456431</v>
      </c>
      <c r="AE3" t="n">
        <v>-0.0213819425635787</v>
      </c>
      <c r="AF3"/>
    </row>
    <row r="4">
      <c r="A4" t="s">
        <v>112</v>
      </c>
      <c r="B4" t="s">
        <v>283</v>
      </c>
      <c r="C4" t="s">
        <v>113</v>
      </c>
      <c r="D4" t="s">
        <v>284</v>
      </c>
      <c r="E4" t="s">
        <v>48</v>
      </c>
      <c r="F4" t="n">
        <v>0.778618687786047</v>
      </c>
      <c r="G4" t="n">
        <v>0.730085817229539</v>
      </c>
      <c r="H4" t="n">
        <v>0.516005145217376</v>
      </c>
      <c r="I4" t="n">
        <v>0.508715211161154</v>
      </c>
      <c r="J4" t="n">
        <v>0.232315604617971</v>
      </c>
      <c r="K4" t="n">
        <v>0.194806834393438</v>
      </c>
      <c r="L4" t="n">
        <v>0.308826980161799</v>
      </c>
      <c r="M4" t="n">
        <v>0.0411474474234186</v>
      </c>
      <c r="N4" t="n">
        <v>0.0308561843365656</v>
      </c>
      <c r="O4" t="n">
        <v>0.0696662716095689</v>
      </c>
      <c r="P4" t="n">
        <v>0.185874257443503</v>
      </c>
      <c r="Q4" t="n">
        <v>-0.0987160439381024</v>
      </c>
      <c r="R4" t="n">
        <v>0.235052787465317</v>
      </c>
      <c r="S4" t="n">
        <v>0.318837857274642</v>
      </c>
      <c r="T4" t="n">
        <v>0.248001037509146</v>
      </c>
      <c r="U4" t="n">
        <v>-0.0177875385565441</v>
      </c>
      <c r="V4" t="n">
        <v>0.0832431226093666</v>
      </c>
      <c r="W4" t="n">
        <v>0.0458469366377772</v>
      </c>
      <c r="X4" t="n">
        <v>0.072937671580249</v>
      </c>
      <c r="Y4" t="n">
        <v>0.0390596599119892</v>
      </c>
      <c r="Z4" t="n">
        <v>0.0337513316104631</v>
      </c>
      <c r="AA4" t="n">
        <v>-0.00681492063550393</v>
      </c>
      <c r="AB4" t="n">
        <v>-0.00335884173025354</v>
      </c>
      <c r="AC4" t="n">
        <v>0.0430976938401837</v>
      </c>
      <c r="AD4" t="n">
        <v>0.0739060048940652</v>
      </c>
      <c r="AE4" t="n">
        <v>0.138920285263205</v>
      </c>
      <c r="AF4"/>
    </row>
    <row r="5">
      <c r="A5" t="s">
        <v>114</v>
      </c>
      <c r="B5" t="s">
        <v>283</v>
      </c>
      <c r="C5" t="s">
        <v>115</v>
      </c>
      <c r="D5" t="s">
        <v>284</v>
      </c>
      <c r="E5" t="s">
        <v>48</v>
      </c>
      <c r="F5" t="n">
        <v>0.454541463597451</v>
      </c>
      <c r="G5" t="n">
        <v>0.453882659515818</v>
      </c>
      <c r="H5" t="n">
        <v>0.442428632788086</v>
      </c>
      <c r="I5" t="n">
        <v>0.269962257289298</v>
      </c>
      <c r="J5" t="n">
        <v>0.172234268061755</v>
      </c>
      <c r="K5" t="n">
        <v>0.094388718474176</v>
      </c>
      <c r="L5" t="n">
        <v>0.138902994241232</v>
      </c>
      <c r="M5" t="n">
        <v>0.219027874331573</v>
      </c>
      <c r="N5" t="n">
        <v>0.127914584519856</v>
      </c>
      <c r="O5" t="n">
        <v>0.214471265086199</v>
      </c>
      <c r="P5" t="n">
        <v>0.387066082091947</v>
      </c>
      <c r="Q5" t="n">
        <v>0.0258804600457706</v>
      </c>
      <c r="R5" t="n">
        <v>0.322498805787644</v>
      </c>
      <c r="S5" t="n">
        <v>0.197069552554243</v>
      </c>
      <c r="T5" t="n">
        <v>0.204575020698994</v>
      </c>
      <c r="U5" t="n">
        <v>0.0690021555521973</v>
      </c>
      <c r="V5" t="n">
        <v>0.254462521319582</v>
      </c>
      <c r="W5" t="n">
        <v>-0.0598622812109632</v>
      </c>
      <c r="X5" t="n">
        <v>0.028809345918598</v>
      </c>
      <c r="Y5" t="n">
        <v>0.0431991587200547</v>
      </c>
      <c r="Z5" t="n">
        <v>0.00788944177001825</v>
      </c>
      <c r="AA5" t="n">
        <v>0.0143006922685364</v>
      </c>
      <c r="AB5" t="n">
        <v>0.064183646111253</v>
      </c>
      <c r="AC5" t="n">
        <v>0.0855544916642181</v>
      </c>
      <c r="AD5" t="n">
        <v>0.06862712244964</v>
      </c>
      <c r="AE5" t="n">
        <v>0.103888218444734</v>
      </c>
      <c r="AF5"/>
    </row>
    <row r="6">
      <c r="A6" t="s">
        <v>116</v>
      </c>
      <c r="B6" t="s">
        <v>283</v>
      </c>
      <c r="C6" t="s">
        <v>117</v>
      </c>
      <c r="D6" t="s">
        <v>284</v>
      </c>
      <c r="E6" t="s">
        <v>48</v>
      </c>
      <c r="F6" t="n">
        <v>0.16388745571883</v>
      </c>
      <c r="G6" t="n">
        <v>0.126908011120061</v>
      </c>
      <c r="H6" t="n">
        <v>0.148576645635895</v>
      </c>
      <c r="I6" t="n">
        <v>0.1449528839167</v>
      </c>
      <c r="J6" t="n">
        <v>0.0537553172227327</v>
      </c>
      <c r="K6" t="n">
        <v>0.128783101361805</v>
      </c>
      <c r="L6" t="n">
        <v>0.140056915373867</v>
      </c>
      <c r="M6" t="n">
        <v>0.133697123715598</v>
      </c>
      <c r="N6" t="n">
        <v>-0.0238743566940046</v>
      </c>
      <c r="O6" t="n">
        <v>0.0383132891169311</v>
      </c>
      <c r="P6" t="n">
        <v>0.15101882779789</v>
      </c>
      <c r="Q6" t="n">
        <v>-0.0432695887171894</v>
      </c>
      <c r="R6" t="n">
        <v>0.194894192239631</v>
      </c>
      <c r="S6" t="n">
        <v>0.305347802795511</v>
      </c>
      <c r="T6" t="n">
        <v>0.132331918163015</v>
      </c>
      <c r="U6" t="n">
        <v>0.166971560631161</v>
      </c>
      <c r="V6" t="n">
        <v>0.116718164668613</v>
      </c>
      <c r="W6" t="n">
        <v>-0.076735298964168</v>
      </c>
      <c r="X6" t="n">
        <v>0.0452637545051824</v>
      </c>
      <c r="Y6" t="n">
        <v>0.00426751274608955</v>
      </c>
      <c r="Z6" t="n">
        <v>0.0291882563276331</v>
      </c>
      <c r="AA6" t="n">
        <v>-0.0599687545927315</v>
      </c>
      <c r="AB6" t="n">
        <v>-0.0212157578932506</v>
      </c>
      <c r="AC6" t="n">
        <v>-0.00728016587945521</v>
      </c>
      <c r="AD6" t="n">
        <v>0.104327498783137</v>
      </c>
      <c r="AE6" t="n">
        <v>0.149382368134728</v>
      </c>
      <c r="AF6"/>
    </row>
    <row r="7">
      <c r="A7" t="s">
        <v>118</v>
      </c>
      <c r="B7" t="s">
        <v>283</v>
      </c>
      <c r="C7" t="s">
        <v>119</v>
      </c>
      <c r="D7" t="s">
        <v>284</v>
      </c>
      <c r="E7" t="s">
        <v>48</v>
      </c>
      <c r="F7" t="n">
        <v>0.427559313118572</v>
      </c>
      <c r="G7" t="n">
        <v>0.431374281422026</v>
      </c>
      <c r="H7" t="n">
        <v>0.395218949895523</v>
      </c>
      <c r="I7" t="n">
        <v>0.276252433094762</v>
      </c>
      <c r="J7" t="n">
        <v>0.101221495740759</v>
      </c>
      <c r="K7" t="n">
        <v>0.110558684816949</v>
      </c>
      <c r="L7" t="n">
        <v>0.179450944333694</v>
      </c>
      <c r="M7" t="n">
        <v>0.101587648381275</v>
      </c>
      <c r="N7" t="n">
        <v>0.0946429040573201</v>
      </c>
      <c r="O7" t="n">
        <v>0.0364555499054052</v>
      </c>
      <c r="P7" t="n">
        <v>0.232709995142456</v>
      </c>
      <c r="Q7" t="n">
        <v>0.0375985501341005</v>
      </c>
      <c r="R7" t="n">
        <v>0.381470039337078</v>
      </c>
      <c r="S7" t="n">
        <v>0.291981707865199</v>
      </c>
      <c r="T7" t="n">
        <v>0.207583818771564</v>
      </c>
      <c r="U7" t="n">
        <v>0.15782972093276</v>
      </c>
      <c r="V7" t="n">
        <v>0.0583174545248763</v>
      </c>
      <c r="W7" t="n">
        <v>-0.103142493946434</v>
      </c>
      <c r="X7" t="n">
        <v>0.106089155453196</v>
      </c>
      <c r="Y7" t="n">
        <v>0.0359569365641491</v>
      </c>
      <c r="Z7" t="n">
        <v>0.039012907293196</v>
      </c>
      <c r="AA7" t="n">
        <v>-0.0350442811069498</v>
      </c>
      <c r="AB7" t="n">
        <v>-0.040558772765744</v>
      </c>
      <c r="AC7" t="n">
        <v>0.0182282465797846</v>
      </c>
      <c r="AD7" t="n">
        <v>0.0348099170385308</v>
      </c>
      <c r="AE7" t="n">
        <v>0.196000598329118</v>
      </c>
      <c r="AF7"/>
    </row>
    <row r="8">
      <c r="A8" t="s">
        <v>120</v>
      </c>
      <c r="B8" t="s">
        <v>283</v>
      </c>
      <c r="C8" t="s">
        <v>121</v>
      </c>
      <c r="D8" t="s">
        <v>284</v>
      </c>
      <c r="E8" t="s">
        <v>48</v>
      </c>
      <c r="F8" t="n">
        <v>0.832989583169124</v>
      </c>
      <c r="G8" t="n">
        <v>1.01116598984333</v>
      </c>
      <c r="H8" t="n">
        <v>-0.052415162433744</v>
      </c>
      <c r="I8" t="n">
        <v>0.0503130432560164</v>
      </c>
      <c r="J8" t="n">
        <v>0.20937509417898</v>
      </c>
      <c r="K8" t="n">
        <v>-0.144427143379995</v>
      </c>
      <c r="L8" t="n">
        <v>-0.222461477069292</v>
      </c>
      <c r="M8" t="n">
        <v>0.158305882546472</v>
      </c>
      <c r="N8" t="n">
        <v>0.100743169854582</v>
      </c>
      <c r="O8" t="n">
        <v>0.167250407873211</v>
      </c>
      <c r="P8" t="n">
        <v>0.0324972692205478</v>
      </c>
      <c r="Q8" t="n">
        <v>0.0573440931100256</v>
      </c>
      <c r="R8" t="n">
        <v>0.209132744332739</v>
      </c>
      <c r="S8" t="n">
        <v>0.344960331097697</v>
      </c>
      <c r="T8" t="n">
        <v>0.148591249073903</v>
      </c>
      <c r="U8" t="n">
        <v>-0.12470830631548</v>
      </c>
      <c r="V8" t="n">
        <v>-0.264060857996611</v>
      </c>
      <c r="W8" t="n">
        <v>0.0298468356942172</v>
      </c>
      <c r="X8" t="n">
        <v>0.0823121632736345</v>
      </c>
      <c r="Y8" t="n">
        <v>0.0436273399920722</v>
      </c>
      <c r="Z8" t="n">
        <v>0.143385747757892</v>
      </c>
      <c r="AA8" t="n">
        <v>-0.0578498567522694</v>
      </c>
      <c r="AB8" t="n">
        <v>0.0157968925877875</v>
      </c>
      <c r="AC8" t="n">
        <v>-0.025549865804013</v>
      </c>
      <c r="AD8" t="n">
        <v>-0.0481616805631785</v>
      </c>
      <c r="AE8" t="n">
        <v>0.0707124597928451</v>
      </c>
      <c r="AF8"/>
    </row>
    <row r="9">
      <c r="A9" t="s">
        <v>122</v>
      </c>
      <c r="B9" t="s">
        <v>283</v>
      </c>
      <c r="C9" t="s">
        <v>123</v>
      </c>
      <c r="D9" t="s">
        <v>284</v>
      </c>
      <c r="E9" t="s">
        <v>48</v>
      </c>
      <c r="F9" t="n">
        <v>1.04274288542182</v>
      </c>
      <c r="G9" t="n">
        <v>1.0616181844729</v>
      </c>
      <c r="H9" t="n">
        <v>0.693707794502291</v>
      </c>
      <c r="I9" t="n">
        <v>0.606805602991058</v>
      </c>
      <c r="J9" t="n">
        <v>0.113215401847881</v>
      </c>
      <c r="K9" t="n">
        <v>-0.00761161723145528</v>
      </c>
      <c r="L9" t="n">
        <v>0.135542114232485</v>
      </c>
      <c r="M9" t="n">
        <v>0.028803894273928</v>
      </c>
      <c r="N9" t="n">
        <v>0.0560053852362535</v>
      </c>
      <c r="O9" t="n">
        <v>-0.0699292712148824</v>
      </c>
      <c r="P9" t="n">
        <v>0.0672962751221783</v>
      </c>
      <c r="Q9" t="n">
        <v>-0.181528216377905</v>
      </c>
      <c r="R9" t="n">
        <v>0.251989782791008</v>
      </c>
      <c r="S9" t="n">
        <v>0.314913567162033</v>
      </c>
      <c r="T9" t="n">
        <v>0.0771990780755812</v>
      </c>
      <c r="U9" t="n">
        <v>0.025588518511309</v>
      </c>
      <c r="V9" t="n">
        <v>0.0377790538304164</v>
      </c>
      <c r="W9" t="n">
        <v>-0.0204499254818465</v>
      </c>
      <c r="X9" t="n">
        <v>0.00450086258300258</v>
      </c>
      <c r="Y9" t="n">
        <v>0.0054334449098434</v>
      </c>
      <c r="Z9" t="n">
        <v>-0.0416073019601056</v>
      </c>
      <c r="AA9" t="n">
        <v>-0.0878622910440846</v>
      </c>
      <c r="AB9" t="n">
        <v>-0.048797993618534</v>
      </c>
      <c r="AC9" t="n">
        <v>0.0383979220661721</v>
      </c>
      <c r="AD9" t="n">
        <v>0.14625715938463</v>
      </c>
      <c r="AE9" t="n">
        <v>0.0752260693685693</v>
      </c>
      <c r="AF9"/>
    </row>
    <row r="10">
      <c r="A10" t="s">
        <v>124</v>
      </c>
      <c r="B10" t="s">
        <v>283</v>
      </c>
      <c r="C10" t="s">
        <v>125</v>
      </c>
      <c r="D10" t="s">
        <v>284</v>
      </c>
      <c r="E10" t="s">
        <v>48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283</v>
      </c>
      <c r="C11" t="s">
        <v>127</v>
      </c>
      <c r="D11" t="s">
        <v>284</v>
      </c>
      <c r="E11" t="s">
        <v>48</v>
      </c>
      <c r="F11" t="n">
        <v>1.2251766479933</v>
      </c>
      <c r="G11" t="n">
        <v>1.17268499981947</v>
      </c>
      <c r="H11" t="n">
        <v>1.1116226234684</v>
      </c>
      <c r="I11" t="n">
        <v>0.727710298587459</v>
      </c>
      <c r="J11" t="n">
        <v>0.347843603337221</v>
      </c>
      <c r="K11" t="n">
        <v>0.274853773695688</v>
      </c>
      <c r="L11" t="n">
        <v>0.312184880663819</v>
      </c>
      <c r="M11" t="n">
        <v>0.177614294575989</v>
      </c>
      <c r="N11" t="n">
        <v>0.367413517290765</v>
      </c>
      <c r="O11" t="n">
        <v>-0.00543817885210588</v>
      </c>
      <c r="P11" t="n">
        <v>0.0761136769747499</v>
      </c>
      <c r="Q11" t="n">
        <v>-0.142703947580603</v>
      </c>
      <c r="R11" t="n">
        <v>0.363879577004387</v>
      </c>
      <c r="S11" t="n">
        <v>0.265782416194684</v>
      </c>
      <c r="T11" t="n">
        <v>0.164726819302374</v>
      </c>
      <c r="U11" t="n">
        <v>-0.00872122601763453</v>
      </c>
      <c r="V11" t="n">
        <v>0.175594555030866</v>
      </c>
      <c r="W11" t="n">
        <v>0.373272037715627</v>
      </c>
      <c r="X11" t="n">
        <v>0.371690589144544</v>
      </c>
      <c r="Y11" t="n">
        <v>0.147775180165761</v>
      </c>
      <c r="Z11" t="n">
        <v>-0.0104730661454947</v>
      </c>
      <c r="AA11" t="n">
        <v>0.0854656241258471</v>
      </c>
      <c r="AB11" t="n">
        <v>0.0392555283033095</v>
      </c>
      <c r="AC11" t="n">
        <v>0.0356395388150413</v>
      </c>
      <c r="AD11" t="n">
        <v>0.0563346917037274</v>
      </c>
      <c r="AE11" t="n">
        <v>0.154209626160354</v>
      </c>
      <c r="AF11"/>
    </row>
    <row r="12">
      <c r="A12" t="s">
        <v>128</v>
      </c>
      <c r="B12" t="s">
        <v>283</v>
      </c>
      <c r="C12" t="s">
        <v>129</v>
      </c>
      <c r="D12" t="s">
        <v>284</v>
      </c>
      <c r="E12" t="s">
        <v>48</v>
      </c>
      <c r="F12" t="n">
        <v>0.462758171039687</v>
      </c>
      <c r="G12" t="n">
        <v>0.433957171623229</v>
      </c>
      <c r="H12" t="n">
        <v>0.366282278885072</v>
      </c>
      <c r="I12" t="n">
        <v>0.340729990390624</v>
      </c>
      <c r="J12" t="n">
        <v>0.113945857620977</v>
      </c>
      <c r="K12" t="n">
        <v>0.165404457577336</v>
      </c>
      <c r="L12" t="n">
        <v>0.254608810489339</v>
      </c>
      <c r="M12" t="n">
        <v>0.0548508940479144</v>
      </c>
      <c r="N12" t="n">
        <v>0.148803293056557</v>
      </c>
      <c r="O12" t="n">
        <v>0.149030043790959</v>
      </c>
      <c r="P12" t="n">
        <v>0.17576380648753</v>
      </c>
      <c r="Q12" t="n">
        <v>0.0186637938319348</v>
      </c>
      <c r="R12" t="n">
        <v>0.182447122537417</v>
      </c>
      <c r="S12" t="n">
        <v>0.240966045647818</v>
      </c>
      <c r="T12" t="n">
        <v>0.219261485878914</v>
      </c>
      <c r="U12" t="n">
        <v>-0.00841142670818039</v>
      </c>
      <c r="V12" t="n">
        <v>0.00079874366346011</v>
      </c>
      <c r="W12" t="n">
        <v>-0.0347710528774469</v>
      </c>
      <c r="X12" t="n">
        <v>0.0233779320200357</v>
      </c>
      <c r="Y12" t="n">
        <v>0.0331058652225309</v>
      </c>
      <c r="Z12" t="n">
        <v>0.00152827190595274</v>
      </c>
      <c r="AA12" t="n">
        <v>-0.0344150908031875</v>
      </c>
      <c r="AB12" t="n">
        <v>-0.0152578579939802</v>
      </c>
      <c r="AC12" t="n">
        <v>0.0278013533824279</v>
      </c>
      <c r="AD12" t="n">
        <v>0.0529180651456938</v>
      </c>
      <c r="AE12" t="n">
        <v>0.123189947751435</v>
      </c>
      <c r="AF12"/>
    </row>
    <row r="13">
      <c r="A13" t="s">
        <v>130</v>
      </c>
      <c r="B13" t="s">
        <v>283</v>
      </c>
      <c r="C13" t="s">
        <v>131</v>
      </c>
      <c r="D13" t="s">
        <v>284</v>
      </c>
      <c r="E13" t="s">
        <v>48</v>
      </c>
      <c r="F13" t="n">
        <v>0.417535592890473</v>
      </c>
      <c r="G13" t="n">
        <v>0.452146347392882</v>
      </c>
      <c r="H13" t="n">
        <v>0.256394083631505</v>
      </c>
      <c r="I13" t="n">
        <v>0.277789688087164</v>
      </c>
      <c r="J13" t="n">
        <v>0.184768080831341</v>
      </c>
      <c r="K13" t="n">
        <v>0.108308272027792</v>
      </c>
      <c r="L13" t="n">
        <v>0.28553388315102</v>
      </c>
      <c r="M13" t="n">
        <v>0.0314358350761241</v>
      </c>
      <c r="N13" t="n">
        <v>-0.0773970610081542</v>
      </c>
      <c r="O13" t="n">
        <v>0.0196527604338994</v>
      </c>
      <c r="P13" t="n">
        <v>0.064460117069085</v>
      </c>
      <c r="Q13" t="n">
        <v>-0.0820710343086479</v>
      </c>
      <c r="R13" t="n">
        <v>0.262199462585932</v>
      </c>
      <c r="S13" t="n">
        <v>0.318332979288229</v>
      </c>
      <c r="T13" t="n">
        <v>0.33338944160337</v>
      </c>
      <c r="U13" t="n">
        <v>-0.0177334718385342</v>
      </c>
      <c r="V13" t="n">
        <v>0.052605830860729</v>
      </c>
      <c r="W13" t="n">
        <v>-0.0237273563851686</v>
      </c>
      <c r="X13" t="n">
        <v>0.00419325735832103</v>
      </c>
      <c r="Y13" t="n">
        <v>0.0250460587100784</v>
      </c>
      <c r="Z13" t="n">
        <v>0.0520748025094026</v>
      </c>
      <c r="AA13" t="n">
        <v>-0.0371851086507401</v>
      </c>
      <c r="AB13" t="n">
        <v>0.0426111455575071</v>
      </c>
      <c r="AC13" t="n">
        <v>0.0120876236301239</v>
      </c>
      <c r="AD13" t="n">
        <v>0.0804928226437524</v>
      </c>
      <c r="AE13" t="n">
        <v>0.172831352815282</v>
      </c>
      <c r="AF13"/>
    </row>
    <row r="14">
      <c r="A14" t="s">
        <v>132</v>
      </c>
      <c r="B14" t="s">
        <v>283</v>
      </c>
      <c r="C14" t="s">
        <v>133</v>
      </c>
      <c r="D14" t="s">
        <v>284</v>
      </c>
      <c r="E14" t="s">
        <v>48</v>
      </c>
      <c r="F14" t="n">
        <v>1.74437563647424</v>
      </c>
      <c r="G14" t="n">
        <v>1.40193894941065</v>
      </c>
      <c r="H14" t="n">
        <v>0.70972573225022</v>
      </c>
      <c r="I14" t="n">
        <v>0.84122031341203</v>
      </c>
      <c r="J14" t="n">
        <v>0.307295007282217</v>
      </c>
      <c r="K14" t="n">
        <v>0.471582132542164</v>
      </c>
      <c r="L14" t="n">
        <v>0.769022127075186</v>
      </c>
      <c r="M14" t="n">
        <v>-0.0297961660458625</v>
      </c>
      <c r="N14" t="n">
        <v>-0.24681300131512</v>
      </c>
      <c r="O14" t="n">
        <v>0.0480053386703104</v>
      </c>
      <c r="P14" t="n">
        <v>0.292185740956588</v>
      </c>
      <c r="Q14" t="n">
        <v>-0.247987291845082</v>
      </c>
      <c r="R14" t="n">
        <v>0.153979377355292</v>
      </c>
      <c r="S14" t="n">
        <v>0.586675882941093</v>
      </c>
      <c r="T14" t="n">
        <v>0.462057097593783</v>
      </c>
      <c r="U14" t="n">
        <v>0.0151145919456402</v>
      </c>
      <c r="V14" t="n">
        <v>0.157381762888222</v>
      </c>
      <c r="W14" t="n">
        <v>0.486577465204395</v>
      </c>
      <c r="X14" t="n">
        <v>0.173938302386958</v>
      </c>
      <c r="Y14" t="n">
        <v>0.107877687534917</v>
      </c>
      <c r="Z14" t="n">
        <v>0.102022374353921</v>
      </c>
      <c r="AA14" t="n">
        <v>0.0141225643936436</v>
      </c>
      <c r="AB14" t="n">
        <v>-0.0415135549116484</v>
      </c>
      <c r="AC14" t="n">
        <v>0.108041082423237</v>
      </c>
      <c r="AD14" t="n">
        <v>0.13476509876363</v>
      </c>
      <c r="AE14" t="n">
        <v>0.129750747374329</v>
      </c>
      <c r="AF14"/>
    </row>
    <row r="15">
      <c r="A15" t="s">
        <v>134</v>
      </c>
      <c r="B15" t="s">
        <v>283</v>
      </c>
      <c r="C15" t="s">
        <v>135</v>
      </c>
      <c r="D15" t="s">
        <v>284</v>
      </c>
      <c r="E15" t="s">
        <v>48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283</v>
      </c>
      <c r="C16" t="s">
        <v>137</v>
      </c>
      <c r="D16" t="s">
        <v>284</v>
      </c>
      <c r="E16" t="s">
        <v>48</v>
      </c>
      <c r="F16" t="n">
        <v>1.93842100094662</v>
      </c>
      <c r="G16" t="n">
        <v>1.75021901378131</v>
      </c>
      <c r="H16" t="n">
        <v>1.09429502090717</v>
      </c>
      <c r="I16" t="n">
        <v>1.00171873454534</v>
      </c>
      <c r="J16" t="n">
        <v>0.40213757631077</v>
      </c>
      <c r="K16" t="n">
        <v>0.400779655359021</v>
      </c>
      <c r="L16" t="n">
        <v>0.579027014635001</v>
      </c>
      <c r="M16" t="n">
        <v>0.0259634224179756</v>
      </c>
      <c r="N16" t="n">
        <v>0.2201812151068</v>
      </c>
      <c r="O16" t="n">
        <v>0.0705821320746298</v>
      </c>
      <c r="P16" t="n">
        <v>0.0529162347657562</v>
      </c>
      <c r="Q16" t="n">
        <v>-0.368346746098957</v>
      </c>
      <c r="R16" t="n">
        <v>0.263318612440051</v>
      </c>
      <c r="S16" t="n">
        <v>0.518450640856702</v>
      </c>
      <c r="T16" t="n">
        <v>0.257806644415772</v>
      </c>
      <c r="U16" t="n">
        <v>-0.139931670016693</v>
      </c>
      <c r="V16" t="n">
        <v>0.202666037927874</v>
      </c>
      <c r="W16" t="n">
        <v>0.222482398799477</v>
      </c>
      <c r="X16" t="n">
        <v>0.160426997163832</v>
      </c>
      <c r="Y16" t="n">
        <v>0.0632785382979503</v>
      </c>
      <c r="Z16" t="n">
        <v>-0.0497522044925934</v>
      </c>
      <c r="AA16" t="n">
        <v>0.0330508041425443</v>
      </c>
      <c r="AB16" t="n">
        <v>0.0956864505593759</v>
      </c>
      <c r="AC16" t="n">
        <v>0.001340260624492</v>
      </c>
      <c r="AD16" t="n">
        <v>0.00255876782984285</v>
      </c>
      <c r="AE16" t="n">
        <v>0.0790180880008348</v>
      </c>
      <c r="AF16"/>
    </row>
    <row r="17">
      <c r="A17" t="s">
        <v>138</v>
      </c>
      <c r="B17" t="s">
        <v>283</v>
      </c>
      <c r="C17" t="s">
        <v>139</v>
      </c>
      <c r="D17" t="s">
        <v>284</v>
      </c>
      <c r="E17" t="s">
        <v>48</v>
      </c>
      <c r="F17" t="n">
        <v>0.441641221308198</v>
      </c>
      <c r="G17" t="n">
        <v>0.384878456960474</v>
      </c>
      <c r="H17" t="n">
        <v>0.253992869532058</v>
      </c>
      <c r="I17" t="n">
        <v>0.298935255768824</v>
      </c>
      <c r="J17" t="n">
        <v>0.116477201668876</v>
      </c>
      <c r="K17" t="n">
        <v>0.0536435640585409</v>
      </c>
      <c r="L17" t="n">
        <v>0.148667939526097</v>
      </c>
      <c r="M17" t="n">
        <v>0.0677627577045435</v>
      </c>
      <c r="N17" t="n">
        <v>0.0214730773279918</v>
      </c>
      <c r="O17" t="n">
        <v>0.0912537080609035</v>
      </c>
      <c r="P17" t="n">
        <v>0.168788105908745</v>
      </c>
      <c r="Q17" t="n">
        <v>-0.107498607168617</v>
      </c>
      <c r="R17" t="n">
        <v>0.155611564415944</v>
      </c>
      <c r="S17" t="n">
        <v>0.215812426294793</v>
      </c>
      <c r="T17" t="n">
        <v>0.229224485994718</v>
      </c>
      <c r="U17" t="n">
        <v>-0.122937298993984</v>
      </c>
      <c r="V17" t="n">
        <v>-0.00214246882772257</v>
      </c>
      <c r="W17" t="n">
        <v>0.0134860204232242</v>
      </c>
      <c r="X17" t="n">
        <v>0.0240626047370323</v>
      </c>
      <c r="Y17" t="n">
        <v>-0.0129167376289804</v>
      </c>
      <c r="Z17" t="n">
        <v>0.0362771823317978</v>
      </c>
      <c r="AA17" t="n">
        <v>-0.0148432877320838</v>
      </c>
      <c r="AB17" t="n">
        <v>-0.060390748161288</v>
      </c>
      <c r="AC17" t="n">
        <v>0.00566121228423409</v>
      </c>
      <c r="AD17" t="n">
        <v>0.0295741060535851</v>
      </c>
      <c r="AE17" t="n">
        <v>0.0245550955764047</v>
      </c>
      <c r="AF17"/>
    </row>
    <row r="18">
      <c r="A18" t="s">
        <v>140</v>
      </c>
      <c r="B18" t="s">
        <v>283</v>
      </c>
      <c r="C18" t="s">
        <v>141</v>
      </c>
      <c r="D18" t="s">
        <v>284</v>
      </c>
      <c r="E18" t="s">
        <v>48</v>
      </c>
      <c r="F18" t="n">
        <v>0.448143329528934</v>
      </c>
      <c r="G18" t="n">
        <v>0.526734457393867</v>
      </c>
      <c r="H18" t="n">
        <v>0.401528687407682</v>
      </c>
      <c r="I18" t="n">
        <v>0.493894541742374</v>
      </c>
      <c r="J18" t="n">
        <v>0.211686849631422</v>
      </c>
      <c r="K18" t="n">
        <v>0.0831618094175532</v>
      </c>
      <c r="L18" t="n">
        <v>0.201494124528134</v>
      </c>
      <c r="M18" t="n">
        <v>0.00537295064708369</v>
      </c>
      <c r="N18" t="n">
        <v>0.0756728175981639</v>
      </c>
      <c r="O18" t="n">
        <v>-0.0208751640166139</v>
      </c>
      <c r="P18" t="n">
        <v>0.137196874391953</v>
      </c>
      <c r="Q18" t="n">
        <v>-0.06106700632061</v>
      </c>
      <c r="R18" t="n">
        <v>0.182821249948338</v>
      </c>
      <c r="S18" t="n">
        <v>0.20808651773392</v>
      </c>
      <c r="T18" t="n">
        <v>0.171659118006918</v>
      </c>
      <c r="U18" t="n">
        <v>-0.144675948519806</v>
      </c>
      <c r="V18" t="n">
        <v>-0.00837558535473881</v>
      </c>
      <c r="W18" t="n">
        <v>0.0310792708772065</v>
      </c>
      <c r="X18" t="n">
        <v>0.0688255294987064</v>
      </c>
      <c r="Y18" t="n">
        <v>0.024680341423174</v>
      </c>
      <c r="Z18" t="n">
        <v>0.0240513945618421</v>
      </c>
      <c r="AA18" t="n">
        <v>0.0329652730648727</v>
      </c>
      <c r="AB18" t="n">
        <v>0.0195153337915014</v>
      </c>
      <c r="AC18" t="n">
        <v>0.0464848839209442</v>
      </c>
      <c r="AD18" t="n">
        <v>0.0624351926051145</v>
      </c>
      <c r="AE18" t="n">
        <v>0.11226639881912</v>
      </c>
      <c r="AF18"/>
    </row>
    <row r="19">
      <c r="A19" t="s">
        <v>142</v>
      </c>
      <c r="B19" t="s">
        <v>283</v>
      </c>
      <c r="C19" t="s">
        <v>143</v>
      </c>
      <c r="D19" t="s">
        <v>284</v>
      </c>
      <c r="E19" t="s">
        <v>48</v>
      </c>
      <c r="F19" t="n">
        <v>0.583599154291467</v>
      </c>
      <c r="G19" t="n">
        <v>0.739879461705874</v>
      </c>
      <c r="H19" t="n">
        <v>0.567604729706322</v>
      </c>
      <c r="I19" t="n">
        <v>0.678729491614949</v>
      </c>
      <c r="J19" t="n">
        <v>0.268164138355882</v>
      </c>
      <c r="K19" t="n">
        <v>0.00112571675882129</v>
      </c>
      <c r="L19" t="n">
        <v>0.509783809112247</v>
      </c>
      <c r="M19" t="n">
        <v>0.142303292482162</v>
      </c>
      <c r="N19" t="n">
        <v>0.415478979661061</v>
      </c>
      <c r="O19" t="n">
        <v>0.297205489905702</v>
      </c>
      <c r="P19" t="n">
        <v>0.582194970600012</v>
      </c>
      <c r="Q19" t="n">
        <v>0.0230017547376696</v>
      </c>
      <c r="R19" t="n">
        <v>0.449727874969138</v>
      </c>
      <c r="S19" t="n">
        <v>0.380819411679525</v>
      </c>
      <c r="T19" t="n">
        <v>0.273886300306075</v>
      </c>
      <c r="U19" t="n">
        <v>0.455877115516921</v>
      </c>
      <c r="V19" t="n">
        <v>0.174525062991241</v>
      </c>
      <c r="W19" t="n">
        <v>-0.13208162465816</v>
      </c>
      <c r="X19" t="n">
        <v>0.167131322291428</v>
      </c>
      <c r="Y19" t="n">
        <v>0.0214932464793985</v>
      </c>
      <c r="Z19" t="n">
        <v>0.174329414536457</v>
      </c>
      <c r="AA19" t="n">
        <v>-0.116117582352694</v>
      </c>
      <c r="AB19" t="n">
        <v>-0.120251658215104</v>
      </c>
      <c r="AC19" t="n">
        <v>-0.0434324124799724</v>
      </c>
      <c r="AD19" t="n">
        <v>0.0950610459266713</v>
      </c>
      <c r="AE19" t="n">
        <v>0.391514438192892</v>
      </c>
      <c r="AF19"/>
    </row>
    <row r="20">
      <c r="A20" t="s">
        <v>144</v>
      </c>
      <c r="B20" t="s">
        <v>283</v>
      </c>
      <c r="C20" t="s">
        <v>145</v>
      </c>
      <c r="D20" t="s">
        <v>284</v>
      </c>
      <c r="E20" t="s">
        <v>48</v>
      </c>
      <c r="F20" t="n">
        <v>0.830362427745765</v>
      </c>
      <c r="G20" t="n">
        <v>1.16221186978401</v>
      </c>
      <c r="H20" t="n">
        <v>0.760185205979618</v>
      </c>
      <c r="I20" t="n">
        <v>0.406807556025569</v>
      </c>
      <c r="J20" t="n">
        <v>0.280523723920172</v>
      </c>
      <c r="K20" t="n">
        <v>0.119357722930715</v>
      </c>
      <c r="L20" t="n">
        <v>-0.0521330174619034</v>
      </c>
      <c r="M20" t="n">
        <v>-0.165501505933366</v>
      </c>
      <c r="N20" t="n">
        <v>0.0313840486398246</v>
      </c>
      <c r="O20" t="n">
        <v>-0.244698612959249</v>
      </c>
      <c r="P20" t="n">
        <v>-0.39234758973782</v>
      </c>
      <c r="Q20" t="n">
        <v>-0.311923040790062</v>
      </c>
      <c r="R20" t="n">
        <v>0.100575127643966</v>
      </c>
      <c r="S20" t="n">
        <v>-0.0130251075274988</v>
      </c>
      <c r="T20" t="n">
        <v>-0.129035362019371</v>
      </c>
      <c r="U20" t="n">
        <v>-0.0252401442746957</v>
      </c>
      <c r="V20" t="n">
        <v>0.0976008515603695</v>
      </c>
      <c r="W20" t="n">
        <v>-0.0453825280982276</v>
      </c>
      <c r="X20" t="n">
        <v>0.100819394002808</v>
      </c>
      <c r="Y20" t="n">
        <v>0.0327229549589929</v>
      </c>
      <c r="Z20" t="n">
        <v>0.0349490370556712</v>
      </c>
      <c r="AA20" t="n">
        <v>0.0159700691018274</v>
      </c>
      <c r="AB20" t="n">
        <v>0.136787543333058</v>
      </c>
      <c r="AC20" t="n">
        <v>0.0979443189065725</v>
      </c>
      <c r="AD20" t="n">
        <v>0.117635350608968</v>
      </c>
      <c r="AE20" t="n">
        <v>-0.116704974624205</v>
      </c>
      <c r="AF20"/>
    </row>
    <row r="21">
      <c r="A21" t="s">
        <v>146</v>
      </c>
      <c r="B21" t="s">
        <v>283</v>
      </c>
      <c r="C21" t="s">
        <v>147</v>
      </c>
      <c r="D21" t="s">
        <v>284</v>
      </c>
      <c r="E21" t="s">
        <v>48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283</v>
      </c>
      <c r="C22" t="s">
        <v>149</v>
      </c>
      <c r="D22" t="s">
        <v>284</v>
      </c>
      <c r="E22" t="s">
        <v>48</v>
      </c>
      <c r="F22" t="n">
        <v>-0.223039994797716</v>
      </c>
      <c r="G22" t="n">
        <v>-0.0956658830242643</v>
      </c>
      <c r="H22" t="n">
        <v>-0.081972065970755</v>
      </c>
      <c r="I22" t="n">
        <v>-0.068291794193815</v>
      </c>
      <c r="J22" t="n">
        <v>-0.0469845876760979</v>
      </c>
      <c r="K22" t="n">
        <v>-0.0315589795754199</v>
      </c>
      <c r="L22" t="n">
        <v>-0.019039995931979</v>
      </c>
      <c r="M22" t="n">
        <v>-0.0137460504538542</v>
      </c>
      <c r="N22" t="n">
        <v>-0.0116582824933058</v>
      </c>
      <c r="O22" t="n">
        <v>-0.016520162180067</v>
      </c>
      <c r="P22" t="n">
        <v>-0.0122485773957909</v>
      </c>
      <c r="Q22" t="n">
        <v>-0.0121319286269113</v>
      </c>
      <c r="R22" t="n">
        <v>-0.00170484468928347</v>
      </c>
      <c r="S22" t="n">
        <v>-0.00172447267964313</v>
      </c>
      <c r="T22" t="n">
        <v>-0.000837169700871182</v>
      </c>
      <c r="U22" t="n">
        <v>0.00482045499394147</v>
      </c>
      <c r="V22" t="n">
        <v>0.0136592839435687</v>
      </c>
      <c r="W22" t="n">
        <v>0.00675559952789833</v>
      </c>
      <c r="X22" t="n">
        <v>0.0174600785576427</v>
      </c>
      <c r="Y22" t="n">
        <v>0.0111693835282998</v>
      </c>
      <c r="Z22" t="n">
        <v>0.0105646847345109</v>
      </c>
      <c r="AA22" t="n">
        <v>0.0125958343172134</v>
      </c>
      <c r="AB22" t="n">
        <v>0.0158456315112767</v>
      </c>
      <c r="AC22" t="n">
        <v>0.0165752265258644</v>
      </c>
      <c r="AD22" t="n">
        <v>0.0179730748913716</v>
      </c>
      <c r="AE22" t="n">
        <v>0.031903393398521</v>
      </c>
      <c r="AF22"/>
    </row>
    <row r="23">
      <c r="A23" t="s">
        <v>150</v>
      </c>
      <c r="B23" t="s">
        <v>283</v>
      </c>
      <c r="C23" t="s">
        <v>151</v>
      </c>
      <c r="D23" t="s">
        <v>284</v>
      </c>
      <c r="E23" t="s">
        <v>48</v>
      </c>
      <c r="F23" t="n">
        <v>0.717363810393667</v>
      </c>
      <c r="G23" t="n">
        <v>0.49025171579187</v>
      </c>
      <c r="H23" t="n">
        <v>0.268718612849867</v>
      </c>
      <c r="I23" t="n">
        <v>0.173302667429751</v>
      </c>
      <c r="J23" t="n">
        <v>0.116564062018618</v>
      </c>
      <c r="K23" t="n">
        <v>0.0655488286342391</v>
      </c>
      <c r="L23" t="n">
        <v>0.0976947897364282</v>
      </c>
      <c r="M23" t="n">
        <v>-0.0776878074106968</v>
      </c>
      <c r="N23" t="n">
        <v>-0.146627309737994</v>
      </c>
      <c r="O23" t="n">
        <v>-0.130741301147276</v>
      </c>
      <c r="P23" t="n">
        <v>-0.0340168878824747</v>
      </c>
      <c r="Q23" t="n">
        <v>-0.0729078618088976</v>
      </c>
      <c r="R23" t="n">
        <v>0.0482417751060946</v>
      </c>
      <c r="S23" t="n">
        <v>0.00976906682771905</v>
      </c>
      <c r="T23" t="n">
        <v>0.0427040471775177</v>
      </c>
      <c r="U23" t="n">
        <v>0.0608093898013422</v>
      </c>
      <c r="V23" t="n">
        <v>0.00342067752741923</v>
      </c>
      <c r="W23" t="n">
        <v>-0.0395358522619154</v>
      </c>
      <c r="X23" t="n">
        <v>0.0306186778442265</v>
      </c>
      <c r="Y23" t="n">
        <v>0.013085253290504</v>
      </c>
      <c r="Z23" t="n">
        <v>0.0141981265305625</v>
      </c>
      <c r="AA23" t="n">
        <v>-0.00685800386683871</v>
      </c>
      <c r="AB23" t="n">
        <v>0.0143560053829544</v>
      </c>
      <c r="AC23" t="n">
        <v>0.0142362013663808</v>
      </c>
      <c r="AD23" t="n">
        <v>0.024758524645615</v>
      </c>
      <c r="AE23" t="n">
        <v>0.0659907004505108</v>
      </c>
      <c r="AF23"/>
    </row>
    <row r="24">
      <c r="A24" t="s">
        <v>152</v>
      </c>
      <c r="B24" t="s">
        <v>283</v>
      </c>
      <c r="C24" t="s">
        <v>153</v>
      </c>
      <c r="D24" t="s">
        <v>284</v>
      </c>
      <c r="E24" t="s">
        <v>48</v>
      </c>
      <c r="F24" t="n">
        <v>0.823340654940596</v>
      </c>
      <c r="G24" t="n">
        <v>0.752464625419829</v>
      </c>
      <c r="H24" t="n">
        <v>0.581035246644395</v>
      </c>
      <c r="I24" t="n">
        <v>0.140984013180691</v>
      </c>
      <c r="J24" t="n">
        <v>0.087347731119919</v>
      </c>
      <c r="K24" t="n">
        <v>0.210276441104259</v>
      </c>
      <c r="L24" t="n">
        <v>0.0958114206730184</v>
      </c>
      <c r="M24" t="n">
        <v>0.0563518922435397</v>
      </c>
      <c r="N24" t="n">
        <v>-0.0804744859814626</v>
      </c>
      <c r="O24" t="n">
        <v>0.114703404036235</v>
      </c>
      <c r="P24" t="n">
        <v>0.24656114032436</v>
      </c>
      <c r="Q24" t="n">
        <v>0.103056734476839</v>
      </c>
      <c r="R24" t="n">
        <v>0.241395336574137</v>
      </c>
      <c r="S24" t="n">
        <v>0.231256279073609</v>
      </c>
      <c r="T24" t="n">
        <v>0.145250011133466</v>
      </c>
      <c r="U24" t="n">
        <v>0.0307471922287907</v>
      </c>
      <c r="V24" t="n">
        <v>0.0718790498113129</v>
      </c>
      <c r="W24" t="n">
        <v>0.0441237022758242</v>
      </c>
      <c r="X24" t="n">
        <v>0.068011682884671</v>
      </c>
      <c r="Y24" t="n">
        <v>0.114065187295402</v>
      </c>
      <c r="Z24" t="n">
        <v>0.0362362513316721</v>
      </c>
      <c r="AA24" t="n">
        <v>-0.0383933369523669</v>
      </c>
      <c r="AB24" t="n">
        <v>0.0118088871154332</v>
      </c>
      <c r="AC24" t="n">
        <v>0.0209643472456436</v>
      </c>
      <c r="AD24" t="n">
        <v>0.0775466648256255</v>
      </c>
      <c r="AE24" t="n">
        <v>0.145441595704823</v>
      </c>
      <c r="AF24"/>
    </row>
    <row r="25">
      <c r="A25" t="s">
        <v>154</v>
      </c>
      <c r="B25" t="s">
        <v>283</v>
      </c>
      <c r="C25" t="s">
        <v>155</v>
      </c>
      <c r="D25" t="s">
        <v>284</v>
      </c>
      <c r="E25" t="s">
        <v>48</v>
      </c>
      <c r="F25" t="n">
        <v>0.537229404269941</v>
      </c>
      <c r="G25" t="n">
        <v>0.800843886206762</v>
      </c>
      <c r="H25" t="n">
        <v>0.591586869130053</v>
      </c>
      <c r="I25" t="n">
        <v>-0.0548542888062547</v>
      </c>
      <c r="J25" t="n">
        <v>0.354584380540865</v>
      </c>
      <c r="K25" t="n">
        <v>0.497293146928575</v>
      </c>
      <c r="L25" t="n">
        <v>0.294234996980747</v>
      </c>
      <c r="M25" t="n">
        <v>-0.107634233656104</v>
      </c>
      <c r="N25" t="n">
        <v>0.0340759043601089</v>
      </c>
      <c r="O25" t="n">
        <v>0.153385278957641</v>
      </c>
      <c r="P25" t="n">
        <v>0.0676478888714904</v>
      </c>
      <c r="Q25" t="n">
        <v>-0.021590947522256</v>
      </c>
      <c r="R25" t="n">
        <v>0.0468720603180373</v>
      </c>
      <c r="S25" t="n">
        <v>0.507787716418914</v>
      </c>
      <c r="T25" t="n">
        <v>0.180360980469704</v>
      </c>
      <c r="U25" t="n">
        <v>-0.174378301327887</v>
      </c>
      <c r="V25" t="n">
        <v>-0.0890865688072348</v>
      </c>
      <c r="W25" t="n">
        <v>-0.129027271895389</v>
      </c>
      <c r="X25" t="n">
        <v>-0.018373573648925</v>
      </c>
      <c r="Y25" t="n">
        <v>0.140439091922174</v>
      </c>
      <c r="Z25" t="n">
        <v>0.0321710065482535</v>
      </c>
      <c r="AA25" t="n">
        <v>-0.038428893934564</v>
      </c>
      <c r="AB25" t="n">
        <v>0.0106245744257183</v>
      </c>
      <c r="AC25" t="n">
        <v>-0.0342021652851724</v>
      </c>
      <c r="AD25" t="n">
        <v>0.288521906946266</v>
      </c>
      <c r="AE25" t="n">
        <v>0.0645423344750158</v>
      </c>
      <c r="AF25"/>
    </row>
    <row r="26">
      <c r="A26" t="s">
        <v>156</v>
      </c>
      <c r="B26" t="s">
        <v>283</v>
      </c>
      <c r="C26" t="s">
        <v>157</v>
      </c>
      <c r="D26" t="s">
        <v>284</v>
      </c>
      <c r="E26" t="s">
        <v>48</v>
      </c>
      <c r="F26" t="n">
        <v>0.650265930647024</v>
      </c>
      <c r="G26" t="n">
        <v>0.617855464102561</v>
      </c>
      <c r="H26" t="n">
        <v>0.630948022524444</v>
      </c>
      <c r="I26" t="n">
        <v>0.171787658870789</v>
      </c>
      <c r="J26" t="n">
        <v>0.113438457039529</v>
      </c>
      <c r="K26" t="n">
        <v>0.158549752601509</v>
      </c>
      <c r="L26" t="n">
        <v>0.0136393607777936</v>
      </c>
      <c r="M26" t="n">
        <v>0.0995188837783462</v>
      </c>
      <c r="N26" t="n">
        <v>-0.111636676018944</v>
      </c>
      <c r="O26" t="n">
        <v>-0.00830376870651425</v>
      </c>
      <c r="P26" t="n">
        <v>0.107985425581341</v>
      </c>
      <c r="Q26" t="n">
        <v>0.0656849909461799</v>
      </c>
      <c r="R26" t="n">
        <v>0.178837927068258</v>
      </c>
      <c r="S26" t="n">
        <v>0.199947373530653</v>
      </c>
      <c r="T26" t="n">
        <v>0.134146021796411</v>
      </c>
      <c r="U26" t="n">
        <v>0.049411764802203</v>
      </c>
      <c r="V26" t="n">
        <v>0.0278487861563771</v>
      </c>
      <c r="W26" t="n">
        <v>0.0479211546594819</v>
      </c>
      <c r="X26" t="n">
        <v>0.0380219587131548</v>
      </c>
      <c r="Y26" t="n">
        <v>0.0596666554588755</v>
      </c>
      <c r="Z26" t="n">
        <v>-0.00142949875618445</v>
      </c>
      <c r="AA26" t="n">
        <v>-0.040953910272949</v>
      </c>
      <c r="AB26" t="n">
        <v>-0.00297688555438362</v>
      </c>
      <c r="AC26" t="n">
        <v>-0.0117443360112104</v>
      </c>
      <c r="AD26" t="n">
        <v>0.0334338027821317</v>
      </c>
      <c r="AE26" t="n">
        <v>0.0469912903690851</v>
      </c>
      <c r="AF26"/>
    </row>
    <row r="27">
      <c r="A27" t="s">
        <v>158</v>
      </c>
      <c r="B27" t="s">
        <v>283</v>
      </c>
      <c r="C27" t="s">
        <v>159</v>
      </c>
      <c r="D27" t="s">
        <v>284</v>
      </c>
      <c r="E27" t="s">
        <v>48</v>
      </c>
      <c r="F27" t="n">
        <v>1.09514495938053</v>
      </c>
      <c r="G27" t="n">
        <v>0.927016737973917</v>
      </c>
      <c r="H27" t="n">
        <v>0.521966462941953</v>
      </c>
      <c r="I27" t="n">
        <v>0.13402774484639</v>
      </c>
      <c r="J27" t="n">
        <v>0.0228218906219064</v>
      </c>
      <c r="K27" t="n">
        <v>0.257230698898474</v>
      </c>
      <c r="L27" t="n">
        <v>0.174644751744318</v>
      </c>
      <c r="M27" t="n">
        <v>0.0466754909105744</v>
      </c>
      <c r="N27" t="n">
        <v>-0.0579570623923875</v>
      </c>
      <c r="O27" t="n">
        <v>0.243265620455172</v>
      </c>
      <c r="P27" t="n">
        <v>0.425577945758184</v>
      </c>
      <c r="Q27" t="n">
        <v>0.165832050805386</v>
      </c>
      <c r="R27" t="n">
        <v>0.328934188820991</v>
      </c>
      <c r="S27" t="n">
        <v>0.221839265564228</v>
      </c>
      <c r="T27" t="n">
        <v>0.151822537891741</v>
      </c>
      <c r="U27" t="n">
        <v>0.0423182822589493</v>
      </c>
      <c r="V27" t="n">
        <v>0.128488357144341</v>
      </c>
      <c r="W27" t="n">
        <v>0.0619665572165671</v>
      </c>
      <c r="X27" t="n">
        <v>0.10544094226279</v>
      </c>
      <c r="Y27" t="n">
        <v>0.162376571431597</v>
      </c>
      <c r="Z27" t="n">
        <v>0.0722382607809111</v>
      </c>
      <c r="AA27" t="n">
        <v>-0.0383055039667012</v>
      </c>
      <c r="AB27" t="n">
        <v>0.026028111132796</v>
      </c>
      <c r="AC27" t="n">
        <v>0.0630553776588516</v>
      </c>
      <c r="AD27" t="n">
        <v>0.101493319984732</v>
      </c>
      <c r="AE27" t="n">
        <v>0.26203164723895</v>
      </c>
      <c r="AF27"/>
    </row>
    <row r="28">
      <c r="A28" t="s">
        <v>160</v>
      </c>
      <c r="B28" t="s">
        <v>283</v>
      </c>
      <c r="C28" t="s">
        <v>161</v>
      </c>
      <c r="D28" t="s">
        <v>284</v>
      </c>
      <c r="E28" t="s">
        <v>48</v>
      </c>
      <c r="F28" t="n">
        <v>0.331669165508287</v>
      </c>
      <c r="G28" t="n">
        <v>0.267903920541539</v>
      </c>
      <c r="H28" t="n">
        <v>0.378696960483569</v>
      </c>
      <c r="I28" t="n">
        <v>0.164636625858519</v>
      </c>
      <c r="J28" t="n">
        <v>0.0990525309045349</v>
      </c>
      <c r="K28" t="n">
        <v>0.0273387562644423</v>
      </c>
      <c r="L28" t="n">
        <v>0.0386761454482058</v>
      </c>
      <c r="M28" t="n">
        <v>-0.0485565155892502</v>
      </c>
      <c r="N28" t="n">
        <v>0.0515735875643558</v>
      </c>
      <c r="O28" t="n">
        <v>0.116233604482836</v>
      </c>
      <c r="P28" t="n">
        <v>0.108064836801354</v>
      </c>
      <c r="Q28" t="n">
        <v>-0.0262822653958108</v>
      </c>
      <c r="R28" t="n">
        <v>0.196651115128091</v>
      </c>
      <c r="S28" t="n">
        <v>0.328044640573369</v>
      </c>
      <c r="T28" t="n">
        <v>0.23881647944741</v>
      </c>
      <c r="U28" t="n">
        <v>0.143155515191261</v>
      </c>
      <c r="V28" t="n">
        <v>0.123118944485615</v>
      </c>
      <c r="W28" t="n">
        <v>0.0845958658693723</v>
      </c>
      <c r="X28" t="n">
        <v>0.0579041798775132</v>
      </c>
      <c r="Y28" t="n">
        <v>0.0673629049646436</v>
      </c>
      <c r="Z28" t="n">
        <v>0.0433252844018519</v>
      </c>
      <c r="AA28" t="n">
        <v>0.0145132499172159</v>
      </c>
      <c r="AB28" t="n">
        <v>0.0147796759084445</v>
      </c>
      <c r="AC28" t="n">
        <v>0.1066187645138</v>
      </c>
      <c r="AD28" t="n">
        <v>0.0845410848418287</v>
      </c>
      <c r="AE28" t="n">
        <v>0.184706310609211</v>
      </c>
      <c r="AF28"/>
    </row>
    <row r="29">
      <c r="A29" t="s">
        <v>162</v>
      </c>
      <c r="B29" t="s">
        <v>283</v>
      </c>
      <c r="C29" t="s">
        <v>163</v>
      </c>
      <c r="D29" t="s">
        <v>284</v>
      </c>
      <c r="E29" t="s">
        <v>48</v>
      </c>
      <c r="F29" t="n">
        <v>0.161791624302257</v>
      </c>
      <c r="G29" t="n">
        <v>0.137993236848101</v>
      </c>
      <c r="H29" t="n">
        <v>0.226090692807739</v>
      </c>
      <c r="I29" t="n">
        <v>0.0796547645369964</v>
      </c>
      <c r="J29" t="n">
        <v>0.00917307722941779</v>
      </c>
      <c r="K29" t="n">
        <v>0.0632382992007759</v>
      </c>
      <c r="L29" t="n">
        <v>0.0204980556591006</v>
      </c>
      <c r="M29" t="n">
        <v>-0.00376509391895422</v>
      </c>
      <c r="N29" t="n">
        <v>0.103289804090165</v>
      </c>
      <c r="O29" t="n">
        <v>0.161151082220511</v>
      </c>
      <c r="P29" t="n">
        <v>0.128188448388191</v>
      </c>
      <c r="Q29" t="n">
        <v>-0.0337264974135136</v>
      </c>
      <c r="R29" t="n">
        <v>0.000351881480035673</v>
      </c>
      <c r="S29" t="n">
        <v>0.383111842302392</v>
      </c>
      <c r="T29" t="n">
        <v>0.286113106128194</v>
      </c>
      <c r="U29" t="n">
        <v>0.243675733824312</v>
      </c>
      <c r="V29" t="n">
        <v>0.227443019377755</v>
      </c>
      <c r="W29" t="n">
        <v>0.114470047781747</v>
      </c>
      <c r="X29" t="n">
        <v>0.131281379195498</v>
      </c>
      <c r="Y29" t="n">
        <v>0.108591744538751</v>
      </c>
      <c r="Z29" t="n">
        <v>0.0548752314421835</v>
      </c>
      <c r="AA29" t="n">
        <v>0.0406449044327853</v>
      </c>
      <c r="AB29" t="n">
        <v>0.0306358140405721</v>
      </c>
      <c r="AC29" t="n">
        <v>0.150729939238989</v>
      </c>
      <c r="AD29" t="n">
        <v>0.150200298914334</v>
      </c>
      <c r="AE29" t="n">
        <v>0.2306957052501</v>
      </c>
      <c r="AF29"/>
    </row>
    <row r="30">
      <c r="A30" t="s">
        <v>164</v>
      </c>
      <c r="B30" t="s">
        <v>283</v>
      </c>
      <c r="C30" t="s">
        <v>165</v>
      </c>
      <c r="D30" t="s">
        <v>284</v>
      </c>
      <c r="E30" t="s">
        <v>48</v>
      </c>
      <c r="F30" t="n">
        <v>-0.0508737428050403</v>
      </c>
      <c r="G30" t="n">
        <v>-0.00974721822672457</v>
      </c>
      <c r="H30" t="n">
        <v>-0.00373890411571152</v>
      </c>
      <c r="I30" t="n">
        <v>0.0158091469018736</v>
      </c>
      <c r="J30" t="n">
        <v>0.00170903061002068</v>
      </c>
      <c r="K30" t="n">
        <v>-0.0170278402425565</v>
      </c>
      <c r="L30" t="n">
        <v>0.00548619579223658</v>
      </c>
      <c r="M30" t="n">
        <v>0.0170921038801797</v>
      </c>
      <c r="N30" t="n">
        <v>0.0582930517131479</v>
      </c>
      <c r="O30" t="n">
        <v>0.0813061598845476</v>
      </c>
      <c r="P30" t="n">
        <v>-0.00646025086015758</v>
      </c>
      <c r="Q30" t="n">
        <v>-0.0464455184138138</v>
      </c>
      <c r="R30" t="n">
        <v>-0.0293808309256628</v>
      </c>
      <c r="S30" t="n">
        <v>0.0720568592504065</v>
      </c>
      <c r="T30" t="n">
        <v>0.0881225987098204</v>
      </c>
      <c r="U30" t="n">
        <v>0.0106176246951943</v>
      </c>
      <c r="V30" t="n">
        <v>0.0225448350597106</v>
      </c>
      <c r="W30" t="n">
        <v>0.00914899033808208</v>
      </c>
      <c r="X30" t="n">
        <v>-0.00938471342045633</v>
      </c>
      <c r="Y30" t="n">
        <v>0.000883761761412873</v>
      </c>
      <c r="Z30" t="n">
        <v>0.010417301956167</v>
      </c>
      <c r="AA30" t="n">
        <v>0.0183978717514392</v>
      </c>
      <c r="AB30" t="n">
        <v>0.0202113048122589</v>
      </c>
      <c r="AC30" t="n">
        <v>0.01225118391422</v>
      </c>
      <c r="AD30" t="n">
        <v>0.00069286241711023</v>
      </c>
      <c r="AE30" t="n">
        <v>0.0323677746573236</v>
      </c>
      <c r="AF30"/>
    </row>
    <row r="31">
      <c r="A31" t="s">
        <v>166</v>
      </c>
      <c r="B31" t="s">
        <v>283</v>
      </c>
      <c r="C31" t="s">
        <v>167</v>
      </c>
      <c r="D31" t="s">
        <v>284</v>
      </c>
      <c r="E31" t="s">
        <v>48</v>
      </c>
      <c r="F31" t="n">
        <v>0.00206597178673513</v>
      </c>
      <c r="G31" t="n">
        <v>0.0430049858950394</v>
      </c>
      <c r="H31" t="n">
        <v>0.245789232754601</v>
      </c>
      <c r="I31" t="n">
        <v>0.0928427726408865</v>
      </c>
      <c r="J31" t="n">
        <v>-0.0294213996445433</v>
      </c>
      <c r="K31" t="n">
        <v>-0.0143164320971333</v>
      </c>
      <c r="L31" t="n">
        <v>-0.0458371853035736</v>
      </c>
      <c r="M31" t="n">
        <v>-0.0472107960438087</v>
      </c>
      <c r="N31" t="n">
        <v>0.0703074574921823</v>
      </c>
      <c r="O31" t="n">
        <v>0.143938794127957</v>
      </c>
      <c r="P31" t="n">
        <v>0.102268950864546</v>
      </c>
      <c r="Q31" t="n">
        <v>0.00835175362047528</v>
      </c>
      <c r="R31" t="n">
        <v>0.0206754126149117</v>
      </c>
      <c r="S31" t="n">
        <v>0.775891729274397</v>
      </c>
      <c r="T31" t="n">
        <v>0.482244343518407</v>
      </c>
      <c r="U31" t="n">
        <v>0.0288547713547756</v>
      </c>
      <c r="V31" t="n">
        <v>-0.134406267159045</v>
      </c>
      <c r="W31" t="n">
        <v>-0.0381414506888166</v>
      </c>
      <c r="X31" t="n">
        <v>0.156695049989157</v>
      </c>
      <c r="Y31" t="n">
        <v>0.170263329577205</v>
      </c>
      <c r="Z31" t="n">
        <v>-0.0098551158971588</v>
      </c>
      <c r="AA31" t="n">
        <v>0.0334374811923962</v>
      </c>
      <c r="AB31" t="n">
        <v>0.101820705888999</v>
      </c>
      <c r="AC31" t="n">
        <v>0.0823363996644246</v>
      </c>
      <c r="AD31" t="n">
        <v>0.0312133205847082</v>
      </c>
      <c r="AE31" t="n">
        <v>0.295358627360996</v>
      </c>
      <c r="AF31"/>
    </row>
    <row r="32">
      <c r="A32" t="s">
        <v>168</v>
      </c>
      <c r="B32" t="s">
        <v>283</v>
      </c>
      <c r="C32" t="s">
        <v>169</v>
      </c>
      <c r="D32" t="s">
        <v>284</v>
      </c>
      <c r="E32" t="s">
        <v>48</v>
      </c>
      <c r="F32" t="n">
        <v>0.00197350615403966</v>
      </c>
      <c r="G32" t="n">
        <v>0.066575113838303</v>
      </c>
      <c r="H32" t="n">
        <v>0.0347266998569524</v>
      </c>
      <c r="I32" t="n">
        <v>0.105666385194818</v>
      </c>
      <c r="J32" t="n">
        <v>0.0792318211420663</v>
      </c>
      <c r="K32" t="n">
        <v>-0.0424142279530318</v>
      </c>
      <c r="L32" t="n">
        <v>-0.0493371795725523</v>
      </c>
      <c r="M32" t="n">
        <v>-0.110142489753553</v>
      </c>
      <c r="N32" t="n">
        <v>0.0934224497432472</v>
      </c>
      <c r="O32" t="n">
        <v>0.107447952859375</v>
      </c>
      <c r="P32" t="n">
        <v>0.0435646415043919</v>
      </c>
      <c r="Q32" t="n">
        <v>-0.120134858721357</v>
      </c>
      <c r="R32" t="n">
        <v>-0.0471777512224039</v>
      </c>
      <c r="S32" t="n">
        <v>0.329358893690163</v>
      </c>
      <c r="T32" t="n">
        <v>0.356242616838509</v>
      </c>
      <c r="U32" t="n">
        <v>0.224337005200222</v>
      </c>
      <c r="V32" t="n">
        <v>0.194784820808469</v>
      </c>
      <c r="W32" t="n">
        <v>0.145081764527433</v>
      </c>
      <c r="X32" t="n">
        <v>-0.000571956320928424</v>
      </c>
      <c r="Y32" t="n">
        <v>0.0698745189652289</v>
      </c>
      <c r="Z32" t="n">
        <v>-0.00436797769074439</v>
      </c>
      <c r="AA32" t="n">
        <v>-0.0520488384788435</v>
      </c>
      <c r="AB32" t="n">
        <v>-0.00420754430556222</v>
      </c>
      <c r="AC32" t="n">
        <v>0.115431043240423</v>
      </c>
      <c r="AD32" t="n">
        <v>-0.0363702589130022</v>
      </c>
      <c r="AE32" t="n">
        <v>0.127778584673642</v>
      </c>
      <c r="AF32"/>
    </row>
    <row r="33">
      <c r="A33" t="s">
        <v>170</v>
      </c>
      <c r="B33" t="s">
        <v>283</v>
      </c>
      <c r="C33" t="s">
        <v>171</v>
      </c>
      <c r="D33" t="s">
        <v>284</v>
      </c>
      <c r="E33" t="s">
        <v>48</v>
      </c>
      <c r="F33" t="n">
        <v>2.80242508108673</v>
      </c>
      <c r="G33" t="n">
        <v>2.16510449072883</v>
      </c>
      <c r="H33" t="n">
        <v>2.13716833985211</v>
      </c>
      <c r="I33" t="n">
        <v>0.736670718472635</v>
      </c>
      <c r="J33" t="n">
        <v>0.77192533636744</v>
      </c>
      <c r="K33" t="n">
        <v>-0.269026120644167</v>
      </c>
      <c r="L33" t="n">
        <v>0.150753996166418</v>
      </c>
      <c r="M33" t="n">
        <v>-0.453958592499619</v>
      </c>
      <c r="N33" t="n">
        <v>-0.362820414711768</v>
      </c>
      <c r="O33" t="n">
        <v>-0.286321672726439</v>
      </c>
      <c r="P33" t="n">
        <v>0.0571585131433872</v>
      </c>
      <c r="Q33" t="n">
        <v>0.0858159091957543</v>
      </c>
      <c r="R33" t="n">
        <v>2.29419513713495</v>
      </c>
      <c r="S33" t="n">
        <v>0.033225324854461</v>
      </c>
      <c r="T33" t="n">
        <v>-0.680036499518702</v>
      </c>
      <c r="U33" t="n">
        <v>-0.99704558590632</v>
      </c>
      <c r="V33" t="n">
        <v>-0.50522901207564</v>
      </c>
      <c r="W33" t="n">
        <v>-0.0174542390249667</v>
      </c>
      <c r="X33" t="n">
        <v>-0.44634014737862</v>
      </c>
      <c r="Y33" t="n">
        <v>-0.382560899196853</v>
      </c>
      <c r="Z33" t="n">
        <v>0.0195396727516605</v>
      </c>
      <c r="AA33" t="n">
        <v>-0.158412300511286</v>
      </c>
      <c r="AB33" t="n">
        <v>-0.113337213769912</v>
      </c>
      <c r="AC33" t="n">
        <v>-0.157473043642678</v>
      </c>
      <c r="AD33" t="n">
        <v>-0.12504925080447</v>
      </c>
      <c r="AE33" t="n">
        <v>-0.135925492964288</v>
      </c>
      <c r="AF33"/>
    </row>
    <row r="34">
      <c r="A34" t="s">
        <v>172</v>
      </c>
      <c r="B34" t="s">
        <v>283</v>
      </c>
      <c r="C34" t="s">
        <v>173</v>
      </c>
      <c r="D34" t="s">
        <v>284</v>
      </c>
      <c r="E34" t="s">
        <v>48</v>
      </c>
      <c r="F34" t="n">
        <v>0.0793299674725649</v>
      </c>
      <c r="G34" t="n">
        <v>0.127416904433136</v>
      </c>
      <c r="H34" t="n">
        <v>0.128784501665463</v>
      </c>
      <c r="I34" t="n">
        <v>0.0712142674263596</v>
      </c>
      <c r="J34" t="n">
        <v>0.114487097142063</v>
      </c>
      <c r="K34" t="n">
        <v>0.117052465512661</v>
      </c>
      <c r="L34" t="n">
        <v>0.10845940620943</v>
      </c>
      <c r="M34" t="n">
        <v>0.0298759771518007</v>
      </c>
      <c r="N34" t="n">
        <v>0.0193992959160425</v>
      </c>
      <c r="O34" t="n">
        <v>-0.015143805424809</v>
      </c>
      <c r="P34" t="n">
        <v>0.00385526200043705</v>
      </c>
      <c r="Q34" t="n">
        <v>0.0870339482915545</v>
      </c>
      <c r="R34" t="n">
        <v>0.15274854139899</v>
      </c>
      <c r="S34" t="n">
        <v>0.109547793964524</v>
      </c>
      <c r="T34" t="n">
        <v>0.0345703368963785</v>
      </c>
      <c r="U34" t="n">
        <v>0.0562404699885917</v>
      </c>
      <c r="V34" t="n">
        <v>0.0468501515659192</v>
      </c>
      <c r="W34" t="n">
        <v>-0.0226792895149307</v>
      </c>
      <c r="X34" t="n">
        <v>-0.0410236230331624</v>
      </c>
      <c r="Y34" t="n">
        <v>0.0109780291198883</v>
      </c>
      <c r="Z34" t="n">
        <v>0.00660134432917274</v>
      </c>
      <c r="AA34" t="n">
        <v>-0.030042811536528</v>
      </c>
      <c r="AB34" t="n">
        <v>0.00352793354318491</v>
      </c>
      <c r="AC34" t="n">
        <v>-0.0106385850823326</v>
      </c>
      <c r="AD34" t="n">
        <v>-0.00850750228393604</v>
      </c>
      <c r="AE34" t="n">
        <v>0.0464502708778413</v>
      </c>
      <c r="AF34"/>
    </row>
    <row r="35">
      <c r="A35" t="s">
        <v>174</v>
      </c>
      <c r="B35" t="s">
        <v>283</v>
      </c>
      <c r="C35" t="s">
        <v>175</v>
      </c>
      <c r="D35" t="s">
        <v>284</v>
      </c>
      <c r="E35" t="s">
        <v>48</v>
      </c>
      <c r="F35" t="n">
        <v>4.71017563418794</v>
      </c>
      <c r="G35" t="n">
        <v>5.54744767922448</v>
      </c>
      <c r="H35" t="n">
        <v>3.17367660512151</v>
      </c>
      <c r="I35" t="n">
        <v>1.724406527924</v>
      </c>
      <c r="J35" t="n">
        <v>2.35094380432398</v>
      </c>
      <c r="K35" t="n">
        <v>0.144911818616564</v>
      </c>
      <c r="L35" t="n">
        <v>0.668929200734776</v>
      </c>
      <c r="M35" t="n">
        <v>0.899595484007655</v>
      </c>
      <c r="N35" t="n">
        <v>0.460033928270159</v>
      </c>
      <c r="O35" t="n">
        <v>0.724127371203391</v>
      </c>
      <c r="P35" t="n">
        <v>-0.207298222138129</v>
      </c>
      <c r="Q35" t="n">
        <v>0.017607298769078</v>
      </c>
      <c r="R35" t="n">
        <v>0.602681325945395</v>
      </c>
      <c r="S35" t="n">
        <v>0.404663017939445</v>
      </c>
      <c r="T35" t="n">
        <v>0.878329293671414</v>
      </c>
      <c r="U35" t="n">
        <v>0.103886360057962</v>
      </c>
      <c r="V35" t="n">
        <v>1.01828999923153</v>
      </c>
      <c r="W35" t="n">
        <v>1.83835621264282</v>
      </c>
      <c r="X35" t="n">
        <v>0.814292832837757</v>
      </c>
      <c r="Y35" t="n">
        <v>0.293563993203409</v>
      </c>
      <c r="Z35" t="n">
        <v>0.763906025540511</v>
      </c>
      <c r="AA35" t="n">
        <v>-0.241560285391372</v>
      </c>
      <c r="AB35" t="n">
        <v>-0.214218663295762</v>
      </c>
      <c r="AC35" t="n">
        <v>0.126259796966094</v>
      </c>
      <c r="AD35" t="n">
        <v>0.489358761310853</v>
      </c>
      <c r="AE35" t="n">
        <v>0.151646636106778</v>
      </c>
      <c r="AF35"/>
    </row>
    <row r="36">
      <c r="A36" t="s">
        <v>176</v>
      </c>
      <c r="B36" t="s">
        <v>283</v>
      </c>
      <c r="C36" t="s">
        <v>177</v>
      </c>
      <c r="D36" t="s">
        <v>284</v>
      </c>
      <c r="E36" t="s">
        <v>48</v>
      </c>
      <c r="F36" t="n">
        <v>6.21257181821039</v>
      </c>
      <c r="G36" t="n">
        <v>8.5100776502354</v>
      </c>
      <c r="H36" t="n">
        <v>2.54597876748616</v>
      </c>
      <c r="I36" t="n">
        <v>0.660099186558222</v>
      </c>
      <c r="J36" t="n">
        <v>1.02976891458811</v>
      </c>
      <c r="K36" t="n">
        <v>-0.375788334733694</v>
      </c>
      <c r="L36" t="n">
        <v>0.0651565077604528</v>
      </c>
      <c r="M36" t="n">
        <v>-0.250572544145955</v>
      </c>
      <c r="N36" t="n">
        <v>0.899727496262488</v>
      </c>
      <c r="O36" t="n">
        <v>0.0819829548584416</v>
      </c>
      <c r="P36" t="n">
        <v>0.448830414442043</v>
      </c>
      <c r="Q36" t="n">
        <v>0.231514174622659</v>
      </c>
      <c r="R36" t="n">
        <v>0.190003816669242</v>
      </c>
      <c r="S36" t="n">
        <v>-0.186986716258956</v>
      </c>
      <c r="T36" t="n">
        <v>0.309906787486091</v>
      </c>
      <c r="U36" t="n">
        <v>0.174487208223178</v>
      </c>
      <c r="V36" t="n">
        <v>0.400223846062575</v>
      </c>
      <c r="W36" t="n">
        <v>0.927161642783499</v>
      </c>
      <c r="X36" t="n">
        <v>0.588701995700868</v>
      </c>
      <c r="Y36" t="n">
        <v>0.350906230382583</v>
      </c>
      <c r="Z36" t="n">
        <v>-0.0316112647913544</v>
      </c>
      <c r="AA36" t="n">
        <v>-0.230741163883562</v>
      </c>
      <c r="AB36" t="n">
        <v>-0.182380415329241</v>
      </c>
      <c r="AC36" t="n">
        <v>-0.26421993340298</v>
      </c>
      <c r="AD36" t="n">
        <v>0.447085233178836</v>
      </c>
      <c r="AE36" t="n">
        <v>0.0817229587728371</v>
      </c>
      <c r="AF36"/>
    </row>
    <row r="37">
      <c r="A37" t="s">
        <v>178</v>
      </c>
      <c r="B37" t="s">
        <v>283</v>
      </c>
      <c r="C37" t="s">
        <v>179</v>
      </c>
      <c r="D37" t="s">
        <v>284</v>
      </c>
      <c r="E37" t="s">
        <v>48</v>
      </c>
      <c r="F37" t="n">
        <v>11.967342169595</v>
      </c>
      <c r="G37" t="n">
        <v>8.4553431192607</v>
      </c>
      <c r="H37" t="n">
        <v>8.75101233572823</v>
      </c>
      <c r="I37" t="n">
        <v>7.29747573683969</v>
      </c>
      <c r="J37" t="n">
        <v>5.33546757629483</v>
      </c>
      <c r="K37" t="n">
        <v>-3.02649952299038</v>
      </c>
      <c r="L37" t="n">
        <v>1.68992685151814</v>
      </c>
      <c r="M37" t="n">
        <v>4.86098162409504</v>
      </c>
      <c r="N37" t="n">
        <v>1.71944282936619</v>
      </c>
      <c r="O37" t="n">
        <v>2.23950007267057</v>
      </c>
      <c r="P37" t="n">
        <v>-4.90282421621018</v>
      </c>
      <c r="Q37" t="n">
        <v>-2.91691927371025</v>
      </c>
      <c r="R37" t="n">
        <v>1.59581519984743</v>
      </c>
      <c r="S37" t="n">
        <v>1.27141525064732</v>
      </c>
      <c r="T37" t="n">
        <v>3.66786831652339</v>
      </c>
      <c r="U37" t="n">
        <v>0.8997267352691</v>
      </c>
      <c r="V37" t="n">
        <v>2.53555371803766</v>
      </c>
      <c r="W37" t="n">
        <v>3.08525035756335</v>
      </c>
      <c r="X37" t="n">
        <v>2.27267416403826</v>
      </c>
      <c r="Y37" t="n">
        <v>1.2489614789043</v>
      </c>
      <c r="Z37" t="n">
        <v>2.42498546817344</v>
      </c>
      <c r="AA37" t="n">
        <v>-2.22485075952519</v>
      </c>
      <c r="AB37" t="n">
        <v>-1.70668772291019</v>
      </c>
      <c r="AC37" t="n">
        <v>-1.47518782767278</v>
      </c>
      <c r="AD37" t="n">
        <v>1.38082146758201</v>
      </c>
      <c r="AE37" t="n">
        <v>-0.760914921289473</v>
      </c>
      <c r="AF37"/>
    </row>
    <row r="38">
      <c r="A38" t="s">
        <v>180</v>
      </c>
      <c r="B38" t="s">
        <v>283</v>
      </c>
      <c r="C38" t="s">
        <v>181</v>
      </c>
      <c r="D38" t="s">
        <v>284</v>
      </c>
      <c r="E38" t="s">
        <v>48</v>
      </c>
      <c r="F38" t="n">
        <v>-0.309387474310596</v>
      </c>
      <c r="G38" t="n">
        <v>0.0156193472423731</v>
      </c>
      <c r="H38" t="n">
        <v>-0.0439477696871651</v>
      </c>
      <c r="I38" t="n">
        <v>-0.109588825046587</v>
      </c>
      <c r="J38" t="n">
        <v>0.0495608834460748</v>
      </c>
      <c r="K38" t="n">
        <v>0.257250546328239</v>
      </c>
      <c r="L38" t="n">
        <v>0.573521735152743</v>
      </c>
      <c r="M38" t="n">
        <v>1.12955202767884</v>
      </c>
      <c r="N38" t="n">
        <v>1.27344073959496</v>
      </c>
      <c r="O38" t="n">
        <v>1.82160592928432</v>
      </c>
      <c r="P38" t="n">
        <v>0.710485582619537</v>
      </c>
      <c r="Q38" t="n">
        <v>0.233126441006439</v>
      </c>
      <c r="R38" t="n">
        <v>-0.181137506221929</v>
      </c>
      <c r="S38" t="n">
        <v>0.138465634957505</v>
      </c>
      <c r="T38" t="n">
        <v>-0.102824217660405</v>
      </c>
      <c r="U38" t="n">
        <v>0.269775596319969</v>
      </c>
      <c r="V38" t="n">
        <v>0.267036409105331</v>
      </c>
      <c r="W38" t="n">
        <v>0.10421818835692</v>
      </c>
      <c r="X38" t="n">
        <v>0.0438509851566945</v>
      </c>
      <c r="Y38" t="n">
        <v>0.16096702392279</v>
      </c>
      <c r="Z38" t="n">
        <v>0.65359522050306</v>
      </c>
      <c r="AA38" t="n">
        <v>-0.117028760067185</v>
      </c>
      <c r="AB38" t="n">
        <v>-0.0768306269872131</v>
      </c>
      <c r="AC38" t="n">
        <v>0.774235759316762</v>
      </c>
      <c r="AD38" t="n">
        <v>0.282276173383707</v>
      </c>
      <c r="AE38" t="n">
        <v>0.0135628811507147</v>
      </c>
      <c r="AF38"/>
    </row>
    <row r="39">
      <c r="A39" t="s">
        <v>182</v>
      </c>
      <c r="B39" t="s">
        <v>283</v>
      </c>
      <c r="C39" t="s">
        <v>183</v>
      </c>
      <c r="D39" t="s">
        <v>284</v>
      </c>
      <c r="E39" t="s">
        <v>48</v>
      </c>
      <c r="F39" t="n">
        <v>1.48897243451299</v>
      </c>
      <c r="G39" t="n">
        <v>1.66255431371667</v>
      </c>
      <c r="H39" t="n">
        <v>1.25594774197586</v>
      </c>
      <c r="I39" t="n">
        <v>0.79307295424983</v>
      </c>
      <c r="J39" t="n">
        <v>0.601520968494212</v>
      </c>
      <c r="K39" t="n">
        <v>0.290879573199604</v>
      </c>
      <c r="L39" t="n">
        <v>0.740465159709494</v>
      </c>
      <c r="M39" t="n">
        <v>0.271741332168585</v>
      </c>
      <c r="N39" t="n">
        <v>0.716432510973489</v>
      </c>
      <c r="O39" t="n">
        <v>1.03891925124894</v>
      </c>
      <c r="P39" t="n">
        <v>0.332764924148534</v>
      </c>
      <c r="Q39" t="n">
        <v>0.146975898820068</v>
      </c>
      <c r="R39" t="n">
        <v>0.41639404676068</v>
      </c>
      <c r="S39" t="n">
        <v>0.22085879969984</v>
      </c>
      <c r="T39" t="n">
        <v>0.560187661686373</v>
      </c>
      <c r="U39" t="n">
        <v>0.280576457338671</v>
      </c>
      <c r="V39" t="n">
        <v>0.089344457738232</v>
      </c>
      <c r="W39" t="n">
        <v>-0.076095127454343</v>
      </c>
      <c r="X39" t="n">
        <v>0.308322232713041</v>
      </c>
      <c r="Y39" t="n">
        <v>0.538348508188175</v>
      </c>
      <c r="Z39" t="n">
        <v>-0.00169284023829751</v>
      </c>
      <c r="AA39" t="n">
        <v>-0.269460520405386</v>
      </c>
      <c r="AB39" t="n">
        <v>-0.0491532852994767</v>
      </c>
      <c r="AC39" t="n">
        <v>0.0346477942107318</v>
      </c>
      <c r="AD39" t="n">
        <v>0.0340951283300589</v>
      </c>
      <c r="AE39" t="n">
        <v>0.165122955495015</v>
      </c>
      <c r="AF39"/>
    </row>
    <row r="40">
      <c r="A40" t="s">
        <v>184</v>
      </c>
      <c r="B40" t="s">
        <v>283</v>
      </c>
      <c r="C40" t="s">
        <v>185</v>
      </c>
      <c r="D40" t="s">
        <v>284</v>
      </c>
      <c r="E40" t="s">
        <v>48</v>
      </c>
      <c r="F40" t="n">
        <v>0.032762455642587</v>
      </c>
      <c r="G40" t="n">
        <v>0.0502448390224287</v>
      </c>
      <c r="H40" t="n">
        <v>0.0313825029380929</v>
      </c>
      <c r="I40" t="n">
        <v>0.0163085012782503</v>
      </c>
      <c r="J40" t="n">
        <v>0.0695042580513723</v>
      </c>
      <c r="K40" t="n">
        <v>0.08182403280983</v>
      </c>
      <c r="L40" t="n">
        <v>0.0721240765822621</v>
      </c>
      <c r="M40" t="n">
        <v>0.027019692670858</v>
      </c>
      <c r="N40" t="n">
        <v>0.0139556594738028</v>
      </c>
      <c r="O40" t="n">
        <v>-0.0252682462182897</v>
      </c>
      <c r="P40" t="n">
        <v>0.0116927107750399</v>
      </c>
      <c r="Q40" t="n">
        <v>-0.0382126301319262</v>
      </c>
      <c r="R40" t="n">
        <v>-0.00127349435510102</v>
      </c>
      <c r="S40" t="n">
        <v>0.00988304335817782</v>
      </c>
      <c r="T40" t="n">
        <v>0.0342335434896135</v>
      </c>
      <c r="U40" t="n">
        <v>0.0605456960560457</v>
      </c>
      <c r="V40" t="n">
        <v>0.0110104087172201</v>
      </c>
      <c r="W40" t="n">
        <v>-0.0478394469299217</v>
      </c>
      <c r="X40" t="n">
        <v>-0.0100359598207986</v>
      </c>
      <c r="Y40" t="n">
        <v>0.00412939007851599</v>
      </c>
      <c r="Z40" t="n">
        <v>-0.010114337495168</v>
      </c>
      <c r="AA40" t="n">
        <v>-0.0199298221664699</v>
      </c>
      <c r="AB40" t="n">
        <v>-0.0170684689592946</v>
      </c>
      <c r="AC40" t="n">
        <v>0.00527593623999435</v>
      </c>
      <c r="AD40" t="n">
        <v>0.0261092063302125</v>
      </c>
      <c r="AE40" t="n">
        <v>0.0291473719940997</v>
      </c>
      <c r="AF40"/>
    </row>
    <row r="41">
      <c r="A41" t="s">
        <v>186</v>
      </c>
      <c r="B41" t="s">
        <v>283</v>
      </c>
      <c r="C41" t="s">
        <v>187</v>
      </c>
      <c r="D41" t="s">
        <v>284</v>
      </c>
      <c r="E41" t="s">
        <v>48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283</v>
      </c>
      <c r="C42" t="s">
        <v>189</v>
      </c>
      <c r="D42" t="s">
        <v>284</v>
      </c>
      <c r="E42" t="s">
        <v>48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283</v>
      </c>
      <c r="C43" t="s">
        <v>191</v>
      </c>
      <c r="D43" t="s">
        <v>284</v>
      </c>
      <c r="E43" t="s">
        <v>48</v>
      </c>
      <c r="F43" t="n">
        <v>0.31170548931015</v>
      </c>
      <c r="G43" t="n">
        <v>0.762999439099171</v>
      </c>
      <c r="H43" t="n">
        <v>1.3990441725898</v>
      </c>
      <c r="I43" t="n">
        <v>0.216511345638703</v>
      </c>
      <c r="J43" t="n">
        <v>-0.313744496641585</v>
      </c>
      <c r="K43" t="n">
        <v>-0.412477948759678</v>
      </c>
      <c r="L43" t="n">
        <v>-0.13627989319699</v>
      </c>
      <c r="M43" t="n">
        <v>0.607792719139449</v>
      </c>
      <c r="N43" t="n">
        <v>0.414470799968408</v>
      </c>
      <c r="O43" t="n">
        <v>0.406464186681827</v>
      </c>
      <c r="P43" t="n">
        <v>0.356768097670369</v>
      </c>
      <c r="Q43" t="n">
        <v>0.817550102158684</v>
      </c>
      <c r="R43" t="n">
        <v>0.328755738128617</v>
      </c>
      <c r="S43" t="n">
        <v>-0.119786240354745</v>
      </c>
      <c r="T43" t="n">
        <v>0.150304386434336</v>
      </c>
      <c r="U43" t="n">
        <v>0.176410144978223</v>
      </c>
      <c r="V43" t="n">
        <v>0.0933769725321945</v>
      </c>
      <c r="W43" t="n">
        <v>-0.2822898040543</v>
      </c>
      <c r="X43" t="n">
        <v>0.0868284535203795</v>
      </c>
      <c r="Y43" t="n">
        <v>0.0220729183626892</v>
      </c>
      <c r="Z43" t="n">
        <v>0.0402469024138706</v>
      </c>
      <c r="AA43" t="n">
        <v>0.0206754142780563</v>
      </c>
      <c r="AB43" t="n">
        <v>0.117857189172522</v>
      </c>
      <c r="AC43" t="n">
        <v>0.0616921164588234</v>
      </c>
      <c r="AD43" t="n">
        <v>0.15489427215301</v>
      </c>
      <c r="AE43" t="n">
        <v>0.190431180882872</v>
      </c>
      <c r="AF43"/>
    </row>
    <row r="44">
      <c r="A44" t="s">
        <v>192</v>
      </c>
      <c r="B44" t="s">
        <v>283</v>
      </c>
      <c r="C44" t="s">
        <v>193</v>
      </c>
      <c r="D44" t="s">
        <v>284</v>
      </c>
      <c r="E44" t="s">
        <v>48</v>
      </c>
      <c r="F44" t="n">
        <v>0.826004347093139</v>
      </c>
      <c r="G44" t="n">
        <v>0.859314724366177</v>
      </c>
      <c r="H44" t="n">
        <v>0.705943744824875</v>
      </c>
      <c r="I44" t="n">
        <v>0.430176494734912</v>
      </c>
      <c r="J44" t="n">
        <v>0.275740934916548</v>
      </c>
      <c r="K44" t="n">
        <v>0.176280734999036</v>
      </c>
      <c r="L44" t="n">
        <v>0.241198737093831</v>
      </c>
      <c r="M44" t="n">
        <v>0.112337400833579</v>
      </c>
      <c r="N44" t="n">
        <v>0.108945300390164</v>
      </c>
      <c r="O44" t="n">
        <v>0.134911755180054</v>
      </c>
      <c r="P44" t="n">
        <v>0.199408208347259</v>
      </c>
      <c r="Q44" t="n">
        <v>0.0987964396158847</v>
      </c>
      <c r="R44" t="n">
        <v>0.233731552211147</v>
      </c>
      <c r="S44" t="n">
        <v>0.247785541824902</v>
      </c>
      <c r="T44" t="n">
        <v>0.226368851791539</v>
      </c>
      <c r="U44" t="n">
        <v>0.0948799681704172</v>
      </c>
      <c r="V44" t="n">
        <v>0.128883000848752</v>
      </c>
      <c r="W44" t="n">
        <v>0.0667883952471286</v>
      </c>
      <c r="X44" t="n">
        <v>0.126366130258393</v>
      </c>
      <c r="Y44" t="n">
        <v>0.098206702458405</v>
      </c>
      <c r="Z44" t="n">
        <v>0.0644592950275073</v>
      </c>
      <c r="AA44" t="n">
        <v>-0.00646844703621233</v>
      </c>
      <c r="AB44" t="n">
        <v>0.0262067079371727</v>
      </c>
      <c r="AC44" t="n">
        <v>0.0680494222921093</v>
      </c>
      <c r="AD44" t="n">
        <v>0.100734691424002</v>
      </c>
      <c r="AE44" t="n">
        <v>0.198766938156941</v>
      </c>
      <c r="AF44"/>
    </row>
    <row r="45">
      <c r="A45" t="s">
        <v>194</v>
      </c>
      <c r="B45" t="s">
        <v>283</v>
      </c>
      <c r="C45" t="s">
        <v>195</v>
      </c>
      <c r="D45" t="s">
        <v>284</v>
      </c>
      <c r="E45" t="s">
        <v>48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283</v>
      </c>
      <c r="C46" t="s">
        <v>197</v>
      </c>
      <c r="D46" t="s">
        <v>284</v>
      </c>
      <c r="E46" t="s">
        <v>48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283</v>
      </c>
      <c r="C47" t="s">
        <v>199</v>
      </c>
      <c r="D47" t="s">
        <v>284</v>
      </c>
      <c r="E47" t="s">
        <v>48</v>
      </c>
      <c r="F47" t="n">
        <v>0.619111099478056</v>
      </c>
      <c r="G47" t="n">
        <v>0.699499272928025</v>
      </c>
      <c r="H47" t="n">
        <v>0.468948338700278</v>
      </c>
      <c r="I47" t="n">
        <v>-0.0813381034142252</v>
      </c>
      <c r="J47" t="n">
        <v>0.266825970459758</v>
      </c>
      <c r="K47" t="n">
        <v>0.0462824041124257</v>
      </c>
      <c r="L47" t="n">
        <v>-0.0519103662704225</v>
      </c>
      <c r="M47" t="n">
        <v>-0.144119611171107</v>
      </c>
      <c r="N47" t="n">
        <v>-0.195323258468252</v>
      </c>
      <c r="O47" t="n">
        <v>-0.178382312225563</v>
      </c>
      <c r="P47" t="n">
        <v>-0.0692214750601037</v>
      </c>
      <c r="Q47" t="n">
        <v>-0.0996069908597672</v>
      </c>
      <c r="R47" t="n">
        <v>-0.0709606580865126</v>
      </c>
      <c r="S47" t="n">
        <v>-0.0129047513822246</v>
      </c>
      <c r="T47" t="n">
        <v>0.0167442825787908</v>
      </c>
      <c r="U47" t="n">
        <v>0.0828194481869949</v>
      </c>
      <c r="V47" t="n">
        <v>0.00118452325692434</v>
      </c>
      <c r="W47" t="n">
        <v>-0.058455532038329</v>
      </c>
      <c r="X47" t="n">
        <v>0.0554518496673585</v>
      </c>
      <c r="Y47" t="n">
        <v>0.162401196620681</v>
      </c>
      <c r="Z47" t="n">
        <v>0.175742231103659</v>
      </c>
      <c r="AA47" t="n">
        <v>0.148835936494943</v>
      </c>
      <c r="AB47" t="n">
        <v>0.0910526955097502</v>
      </c>
      <c r="AC47" t="n">
        <v>0.119580970916214</v>
      </c>
      <c r="AD47" t="n">
        <v>0.0542842875972769</v>
      </c>
      <c r="AE47" t="n">
        <v>0.141819869388453</v>
      </c>
      <c r="AF47"/>
    </row>
    <row r="48">
      <c r="A48" t="s">
        <v>200</v>
      </c>
      <c r="B48" t="s">
        <v>283</v>
      </c>
      <c r="C48" t="s">
        <v>201</v>
      </c>
      <c r="D48" t="s">
        <v>284</v>
      </c>
      <c r="E48" t="s">
        <v>48</v>
      </c>
      <c r="F48" t="n">
        <v>0.47351273404234</v>
      </c>
      <c r="G48" t="n">
        <v>0.488538471444927</v>
      </c>
      <c r="H48" t="n">
        <v>0.268886141919865</v>
      </c>
      <c r="I48" t="n">
        <v>-0.0193069369763979</v>
      </c>
      <c r="J48" t="n">
        <v>0.139384622315887</v>
      </c>
      <c r="K48" t="n">
        <v>0.0178178967661896</v>
      </c>
      <c r="L48" t="n">
        <v>-0.0450005360647951</v>
      </c>
      <c r="M48" t="n">
        <v>-0.0690248705592663</v>
      </c>
      <c r="N48" t="n">
        <v>-0.119665618579486</v>
      </c>
      <c r="O48" t="n">
        <v>-0.0834247189623032</v>
      </c>
      <c r="P48" t="n">
        <v>-0.036872433242091</v>
      </c>
      <c r="Q48" t="n">
        <v>-0.0806838378105141</v>
      </c>
      <c r="R48" t="n">
        <v>-0.00769030372896403</v>
      </c>
      <c r="S48" t="n">
        <v>0.000415922683359692</v>
      </c>
      <c r="T48" t="n">
        <v>0.00871302268522763</v>
      </c>
      <c r="U48" t="n">
        <v>0.0663884782874735</v>
      </c>
      <c r="V48" t="n">
        <v>0.0378767709533292</v>
      </c>
      <c r="W48" t="n">
        <v>-0.0144919430666264</v>
      </c>
      <c r="X48" t="n">
        <v>0.0352956055906275</v>
      </c>
      <c r="Y48" t="n">
        <v>0.0775973080623804</v>
      </c>
      <c r="Z48" t="n">
        <v>0.0544924001434492</v>
      </c>
      <c r="AA48" t="n">
        <v>0.0238640186896355</v>
      </c>
      <c r="AB48" t="n">
        <v>0.0189952189407624</v>
      </c>
      <c r="AC48" t="n">
        <v>0.02060391640421</v>
      </c>
      <c r="AD48" t="n">
        <v>0.0275354045344606</v>
      </c>
      <c r="AE48" t="n">
        <v>0.0621594619368054</v>
      </c>
      <c r="AF48"/>
    </row>
    <row r="49">
      <c r="A49" t="s">
        <v>202</v>
      </c>
      <c r="B49" t="s">
        <v>283</v>
      </c>
      <c r="C49" t="s">
        <v>203</v>
      </c>
      <c r="D49" t="s">
        <v>284</v>
      </c>
      <c r="E49" t="s">
        <v>48</v>
      </c>
      <c r="F49" t="n">
        <v>0.254053212468635</v>
      </c>
      <c r="G49" t="n">
        <v>0.264286025502377</v>
      </c>
      <c r="H49" t="n">
        <v>0.101449146536319</v>
      </c>
      <c r="I49" t="n">
        <v>0.0218733632725924</v>
      </c>
      <c r="J49" t="n">
        <v>0.0453173692484502</v>
      </c>
      <c r="K49" t="n">
        <v>0.00891644784502867</v>
      </c>
      <c r="L49" t="n">
        <v>0.0273721612802478</v>
      </c>
      <c r="M49" t="n">
        <v>-0.00386564986235594</v>
      </c>
      <c r="N49" t="n">
        <v>-0.0427678902522952</v>
      </c>
      <c r="O49" t="n">
        <v>-0.00862408211044333</v>
      </c>
      <c r="P49" t="n">
        <v>0.0453555592090233</v>
      </c>
      <c r="Q49" t="n">
        <v>0.00854273218317207</v>
      </c>
      <c r="R49" t="n">
        <v>0.0827706979205213</v>
      </c>
      <c r="S49" t="n">
        <v>0.0664676181888618</v>
      </c>
      <c r="T49" t="n">
        <v>0.068702709292901</v>
      </c>
      <c r="U49" t="n">
        <v>0.109681416994141</v>
      </c>
      <c r="V49" t="n">
        <v>0.0936737881166236</v>
      </c>
      <c r="W49" t="n">
        <v>0.0276569350162974</v>
      </c>
      <c r="X49" t="n">
        <v>0.0531076685386986</v>
      </c>
      <c r="Y49" t="n">
        <v>0.0354761905529543</v>
      </c>
      <c r="Z49" t="n">
        <v>-0.00397471570959608</v>
      </c>
      <c r="AA49" t="n">
        <v>-0.036003596679957</v>
      </c>
      <c r="AB49" t="n">
        <v>-0.0214116847846223</v>
      </c>
      <c r="AC49" t="n">
        <v>-0.0191290407074228</v>
      </c>
      <c r="AD49" t="n">
        <v>0.0136343810906108</v>
      </c>
      <c r="AE49" t="n">
        <v>0.0418544952200966</v>
      </c>
      <c r="AF49"/>
    </row>
    <row r="50">
      <c r="A50" t="s">
        <v>204</v>
      </c>
      <c r="B50" t="s">
        <v>283</v>
      </c>
      <c r="C50" t="s">
        <v>205</v>
      </c>
      <c r="D50" t="s">
        <v>284</v>
      </c>
      <c r="E50" t="s">
        <v>48</v>
      </c>
      <c r="F50" t="n">
        <v>0.414618469672544</v>
      </c>
      <c r="G50" t="n">
        <v>0.438387088504256</v>
      </c>
      <c r="H50" t="n">
        <v>0.193634882098685</v>
      </c>
      <c r="I50" t="n">
        <v>0.0652273540827202</v>
      </c>
      <c r="J50" t="n">
        <v>0.100505116790554</v>
      </c>
      <c r="K50" t="n">
        <v>-0.00258653274176207</v>
      </c>
      <c r="L50" t="n">
        <v>-0.0264486526873619</v>
      </c>
      <c r="M50" t="n">
        <v>-0.0312357792670494</v>
      </c>
      <c r="N50" t="n">
        <v>-0.0753593210805271</v>
      </c>
      <c r="O50" t="n">
        <v>0.0028870229362383</v>
      </c>
      <c r="P50" t="n">
        <v>-0.011884343814157</v>
      </c>
      <c r="Q50" t="n">
        <v>-0.0809574092643707</v>
      </c>
      <c r="R50" t="n">
        <v>-0.00864387355076275</v>
      </c>
      <c r="S50" t="n">
        <v>-0.0065022260864335</v>
      </c>
      <c r="T50" t="n">
        <v>-0.0188471766222876</v>
      </c>
      <c r="U50" t="n">
        <v>0.0526916773896005</v>
      </c>
      <c r="V50" t="n">
        <v>0.0483197852265551</v>
      </c>
      <c r="W50" t="n">
        <v>0.012059514909998</v>
      </c>
      <c r="X50" t="n">
        <v>0.0269521553310861</v>
      </c>
      <c r="Y50" t="n">
        <v>0.0450334230506929</v>
      </c>
      <c r="Z50" t="n">
        <v>0.00973047142593867</v>
      </c>
      <c r="AA50" t="n">
        <v>-0.0160664967538233</v>
      </c>
      <c r="AB50" t="n">
        <v>0.000244869601721266</v>
      </c>
      <c r="AC50" t="n">
        <v>-0.00974301983469279</v>
      </c>
      <c r="AD50" t="n">
        <v>0.0026042726736891</v>
      </c>
      <c r="AE50" t="n">
        <v>0.0118078379701487</v>
      </c>
      <c r="AF50"/>
    </row>
    <row r="51">
      <c r="A51" t="s">
        <v>206</v>
      </c>
      <c r="B51" t="s">
        <v>283</v>
      </c>
      <c r="C51" t="s">
        <v>207</v>
      </c>
      <c r="D51" t="s">
        <v>284</v>
      </c>
      <c r="E51" t="s">
        <v>48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283</v>
      </c>
      <c r="C52" t="s">
        <v>209</v>
      </c>
      <c r="D52" t="s">
        <v>284</v>
      </c>
      <c r="E52" t="s">
        <v>48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283</v>
      </c>
      <c r="C53" t="s">
        <v>211</v>
      </c>
      <c r="D53" t="s">
        <v>284</v>
      </c>
      <c r="E53" t="s">
        <v>48</v>
      </c>
      <c r="F53" t="n">
        <v>0.356142013201262</v>
      </c>
      <c r="G53" t="n">
        <v>0.697152390479698</v>
      </c>
      <c r="H53" t="n">
        <v>0.905075676572034</v>
      </c>
      <c r="I53" t="n">
        <v>0.39513887134837</v>
      </c>
      <c r="J53" t="n">
        <v>0.39777453185524</v>
      </c>
      <c r="K53" t="n">
        <v>0.353534155519594</v>
      </c>
      <c r="L53" t="n">
        <v>0.750240383840301</v>
      </c>
      <c r="M53" t="n">
        <v>-0.213359928751229</v>
      </c>
      <c r="N53" t="n">
        <v>0.186919676987128</v>
      </c>
      <c r="O53" t="n">
        <v>0.101579883120624</v>
      </c>
      <c r="P53" t="n">
        <v>0.0658504398253451</v>
      </c>
      <c r="Q53" t="n">
        <v>-0.172139005788812</v>
      </c>
      <c r="R53" t="n">
        <v>-0.0735299737327225</v>
      </c>
      <c r="S53" t="n">
        <v>0.00748366761308389</v>
      </c>
      <c r="T53" t="n">
        <v>-0.148625463691088</v>
      </c>
      <c r="U53" t="n">
        <v>-0.0604055480151517</v>
      </c>
      <c r="V53" t="n">
        <v>0.00641620468033725</v>
      </c>
      <c r="W53" t="n">
        <v>-0.102255385430915</v>
      </c>
      <c r="X53" t="n">
        <v>0.000688712819975423</v>
      </c>
      <c r="Y53" t="n">
        <v>0.0135485477197161</v>
      </c>
      <c r="Z53" t="n">
        <v>0.0259626194241869</v>
      </c>
      <c r="AA53" t="n">
        <v>-0.060179513504918</v>
      </c>
      <c r="AB53" t="n">
        <v>-0.0435882195646007</v>
      </c>
      <c r="AC53" t="n">
        <v>0.0521516398733637</v>
      </c>
      <c r="AD53" t="n">
        <v>0.0269110712765062</v>
      </c>
      <c r="AE53" t="n">
        <v>-0.00358510883699505</v>
      </c>
      <c r="AF53"/>
    </row>
    <row r="54">
      <c r="A54" t="s">
        <v>212</v>
      </c>
      <c r="B54" t="s">
        <v>283</v>
      </c>
      <c r="C54" t="s">
        <v>213</v>
      </c>
      <c r="D54" t="s">
        <v>284</v>
      </c>
      <c r="E54" t="s">
        <v>48</v>
      </c>
      <c r="F54" t="n">
        <v>0.384159766395828</v>
      </c>
      <c r="G54" t="n">
        <v>0.551529892032569</v>
      </c>
      <c r="H54" t="n">
        <v>0.598232228622164</v>
      </c>
      <c r="I54" t="n">
        <v>0.195571294962205</v>
      </c>
      <c r="J54" t="n">
        <v>0.393204491659749</v>
      </c>
      <c r="K54" t="n">
        <v>0.258235280306514</v>
      </c>
      <c r="L54" t="n">
        <v>0.31101782478219</v>
      </c>
      <c r="M54" t="n">
        <v>-0.165321876660454</v>
      </c>
      <c r="N54" t="n">
        <v>0.0555473881475548</v>
      </c>
      <c r="O54" t="n">
        <v>0.0799601093116031</v>
      </c>
      <c r="P54" t="n">
        <v>-0.0428722317684612</v>
      </c>
      <c r="Q54" t="n">
        <v>-0.155551556458494</v>
      </c>
      <c r="R54" t="n">
        <v>0.033031462869733</v>
      </c>
      <c r="S54" t="n">
        <v>0.0934295281390922</v>
      </c>
      <c r="T54" t="n">
        <v>-0.0385774516953152</v>
      </c>
      <c r="U54" t="n">
        <v>0.00866510862107908</v>
      </c>
      <c r="V54" t="n">
        <v>0.0224219072319077</v>
      </c>
      <c r="W54" t="n">
        <v>-0.0706563250359265</v>
      </c>
      <c r="X54" t="n">
        <v>0.0242282064737014</v>
      </c>
      <c r="Y54" t="n">
        <v>0.0194298947307468</v>
      </c>
      <c r="Z54" t="n">
        <v>0.0343583176956411</v>
      </c>
      <c r="AA54" t="n">
        <v>-0.0214308029147098</v>
      </c>
      <c r="AB54" t="n">
        <v>-0.00457978948525847</v>
      </c>
      <c r="AC54" t="n">
        <v>0.0602392599731712</v>
      </c>
      <c r="AD54" t="n">
        <v>0.0387405667378502</v>
      </c>
      <c r="AE54" t="n">
        <v>0.0771029504644026</v>
      </c>
      <c r="AF54"/>
    </row>
    <row r="55">
      <c r="A55" t="s">
        <v>214</v>
      </c>
      <c r="B55" t="s">
        <v>283</v>
      </c>
      <c r="C55" t="s">
        <v>215</v>
      </c>
      <c r="D55" t="s">
        <v>284</v>
      </c>
      <c r="E55" t="s">
        <v>48</v>
      </c>
      <c r="F55" t="n">
        <v>0.367967529752735</v>
      </c>
      <c r="G55" t="n">
        <v>0.438443361446251</v>
      </c>
      <c r="H55" t="n">
        <v>0.446878016844566</v>
      </c>
      <c r="I55" t="n">
        <v>0.117165153301898</v>
      </c>
      <c r="J55" t="n">
        <v>0.376629309852505</v>
      </c>
      <c r="K55" t="n">
        <v>0.229779901262631</v>
      </c>
      <c r="L55" t="n">
        <v>0.128877570230461</v>
      </c>
      <c r="M55" t="n">
        <v>-0.159457670174696</v>
      </c>
      <c r="N55" t="n">
        <v>-0.00419688075358522</v>
      </c>
      <c r="O55" t="n">
        <v>0.0763038104332956</v>
      </c>
      <c r="P55" t="n">
        <v>-0.0378921057001502</v>
      </c>
      <c r="Q55" t="n">
        <v>-0.1191279607277</v>
      </c>
      <c r="R55" t="n">
        <v>0.0812947256525858</v>
      </c>
      <c r="S55" t="n">
        <v>0.118465429676118</v>
      </c>
      <c r="T55" t="n">
        <v>-0.000524817896081478</v>
      </c>
      <c r="U55" t="n">
        <v>0.0449933985299756</v>
      </c>
      <c r="V55" t="n">
        <v>0.037449590041008</v>
      </c>
      <c r="W55" t="n">
        <v>-0.0554552044883967</v>
      </c>
      <c r="X55" t="n">
        <v>0.0394615064713719</v>
      </c>
      <c r="Y55" t="n">
        <v>0.0220357762250484</v>
      </c>
      <c r="Z55" t="n">
        <v>0.0372561076737334</v>
      </c>
      <c r="AA55" t="n">
        <v>-0.00851796945321677</v>
      </c>
      <c r="AB55" t="n">
        <v>0.0130430214805299</v>
      </c>
      <c r="AC55" t="n">
        <v>0.0635980706807733</v>
      </c>
      <c r="AD55" t="n">
        <v>0.0455028375726734</v>
      </c>
      <c r="AE55" t="n">
        <v>0.123277490253574</v>
      </c>
      <c r="AF55"/>
    </row>
    <row r="56">
      <c r="A56" t="s">
        <v>216</v>
      </c>
      <c r="B56" t="s">
        <v>283</v>
      </c>
      <c r="C56" t="s">
        <v>217</v>
      </c>
      <c r="D56" t="s">
        <v>284</v>
      </c>
      <c r="E56" t="s">
        <v>48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283</v>
      </c>
      <c r="C57" t="s">
        <v>219</v>
      </c>
      <c r="D57" t="s">
        <v>284</v>
      </c>
      <c r="E57" t="s">
        <v>48</v>
      </c>
      <c r="F57" t="n">
        <v>0.685770082648422</v>
      </c>
      <c r="G57" t="n">
        <v>0.715366207245923</v>
      </c>
      <c r="H57" t="n">
        <v>0.564550640724374</v>
      </c>
      <c r="I57" t="n">
        <v>0.308366947634971</v>
      </c>
      <c r="J57" t="n">
        <v>0.229555285172723</v>
      </c>
      <c r="K57" t="n">
        <v>0.135655883954188</v>
      </c>
      <c r="L57" t="n">
        <v>0.170305388876498</v>
      </c>
      <c r="M57" t="n">
        <v>0.0639374768869399</v>
      </c>
      <c r="N57" t="n">
        <v>0.0464733857789725</v>
      </c>
      <c r="O57" t="n">
        <v>0.0694113864594037</v>
      </c>
      <c r="P57" t="n">
        <v>0.1315782151523</v>
      </c>
      <c r="Q57" t="n">
        <v>0.0481378828866759</v>
      </c>
      <c r="R57" t="n">
        <v>0.166395782312859</v>
      </c>
      <c r="S57" t="n">
        <v>0.171318047407064</v>
      </c>
      <c r="T57" t="n">
        <v>0.141877326429323</v>
      </c>
      <c r="U57" t="n">
        <v>0.0811039364965631</v>
      </c>
      <c r="V57" t="n">
        <v>0.0930718632496725</v>
      </c>
      <c r="W57" t="n">
        <v>0.03538794170571</v>
      </c>
      <c r="X57" t="n">
        <v>0.0889577758435362</v>
      </c>
      <c r="Y57" t="n">
        <v>0.0840031616700848</v>
      </c>
      <c r="Z57" t="n">
        <v>0.0548092103399983</v>
      </c>
      <c r="AA57" t="n">
        <v>-0.00236029221201177</v>
      </c>
      <c r="AB57" t="n">
        <v>0.0184832301611729</v>
      </c>
      <c r="AC57" t="n">
        <v>0.053097298465747</v>
      </c>
      <c r="AD57" t="n">
        <v>0.076203703673165</v>
      </c>
      <c r="AE57" t="n">
        <v>0.1526014147895</v>
      </c>
      <c r="AF57"/>
    </row>
    <row r="58">
      <c r="A58" t="s">
        <v>220</v>
      </c>
      <c r="B58" t="s">
        <v>283</v>
      </c>
      <c r="C58" t="s">
        <v>221</v>
      </c>
      <c r="D58" t="s">
        <v>284</v>
      </c>
      <c r="E58" t="s">
        <v>48</v>
      </c>
      <c r="F58" t="n">
        <v>0.685857041860432</v>
      </c>
      <c r="G58" t="n">
        <v>0.715449017932433</v>
      </c>
      <c r="H58" t="n">
        <v>0.564614836741906</v>
      </c>
      <c r="I58" t="n">
        <v>0.30840575693287</v>
      </c>
      <c r="J58" t="n">
        <v>0.229569246788366</v>
      </c>
      <c r="K58" t="n">
        <v>0.135654327180811</v>
      </c>
      <c r="L58" t="n">
        <v>0.170319263898871</v>
      </c>
      <c r="M58" t="n">
        <v>0.0639134163125944</v>
      </c>
      <c r="N58" t="n">
        <v>0.0464558745448748</v>
      </c>
      <c r="O58" t="n">
        <v>0.0693866534672017</v>
      </c>
      <c r="P58" t="n">
        <v>0.131598013383565</v>
      </c>
      <c r="Q58" t="n">
        <v>0.0481495340348537</v>
      </c>
      <c r="R58" t="n">
        <v>0.166397776276106</v>
      </c>
      <c r="S58" t="n">
        <v>0.17133310149927</v>
      </c>
      <c r="T58" t="n">
        <v>0.141903271248822</v>
      </c>
      <c r="U58" t="n">
        <v>0.0811190216003067</v>
      </c>
      <c r="V58" t="n">
        <v>0.0930872717447309</v>
      </c>
      <c r="W58" t="n">
        <v>0.0353933156774009</v>
      </c>
      <c r="X58" t="n">
        <v>0.0889816842939145</v>
      </c>
      <c r="Y58" t="n">
        <v>0.0840241936103139</v>
      </c>
      <c r="Z58" t="n">
        <v>0.054799079838093</v>
      </c>
      <c r="AA58" t="n">
        <v>-0.00237800640044854</v>
      </c>
      <c r="AB58" t="n">
        <v>0.0184840619753858</v>
      </c>
      <c r="AC58" t="n">
        <v>0.0531066975942625</v>
      </c>
      <c r="AD58" t="n">
        <v>0.0762131240345885</v>
      </c>
      <c r="AE58" t="n">
        <v>0.152622184826231</v>
      </c>
      <c r="AF58"/>
    </row>
    <row r="59">
      <c r="A59" t="s">
        <v>222</v>
      </c>
      <c r="B59" t="s">
        <v>283</v>
      </c>
      <c r="C59" t="s">
        <v>223</v>
      </c>
      <c r="D59" t="s">
        <v>284</v>
      </c>
      <c r="E59" t="s">
        <v>48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283</v>
      </c>
      <c r="C2" t="s">
        <v>108</v>
      </c>
      <c r="D2" t="s">
        <v>284</v>
      </c>
      <c r="E2" t="s">
        <v>49</v>
      </c>
      <c r="F2" t="n">
        <v>-0.123847917549561</v>
      </c>
      <c r="G2" t="n">
        <v>-0.0608743527060191</v>
      </c>
      <c r="H2" t="n">
        <v>0.0636792884806476</v>
      </c>
      <c r="I2" t="n">
        <v>0.0279245100121743</v>
      </c>
      <c r="J2" t="n">
        <v>0.0791514500427855</v>
      </c>
      <c r="K2" t="n">
        <v>0.0392303068853688</v>
      </c>
      <c r="L2" t="n">
        <v>0.0237030318839177</v>
      </c>
      <c r="M2" t="n">
        <v>0.19754054086021</v>
      </c>
      <c r="N2" t="n">
        <v>-0.0339264545488872</v>
      </c>
      <c r="O2" t="n">
        <v>-0.0555976548698946</v>
      </c>
      <c r="P2" t="n">
        <v>-0.0692844321802715</v>
      </c>
      <c r="Q2" t="n">
        <v>0.00658794156610408</v>
      </c>
      <c r="R2" t="n">
        <v>-0.0729798327296574</v>
      </c>
      <c r="S2" t="n">
        <v>-0.0291611467645629</v>
      </c>
      <c r="T2" t="n">
        <v>-0.0171180153761004</v>
      </c>
      <c r="U2" t="n">
        <v>0.0510390954645246</v>
      </c>
      <c r="V2" t="n">
        <v>-0.0129011144444955</v>
      </c>
      <c r="W2" t="n">
        <v>0.0392723073996614</v>
      </c>
      <c r="X2" t="n">
        <v>0.0548625797897705</v>
      </c>
      <c r="Y2" t="n">
        <v>-0.0109575429185297</v>
      </c>
      <c r="Z2" t="n">
        <v>-0.00261093996825425</v>
      </c>
      <c r="AA2" t="n">
        <v>0.0655072503238767</v>
      </c>
      <c r="AB2" t="n">
        <v>-0.0088978486107564</v>
      </c>
      <c r="AC2" t="n">
        <v>-0.0157748427387738</v>
      </c>
      <c r="AD2" t="n">
        <v>0</v>
      </c>
      <c r="AE2" t="n">
        <v>0.0645774322705012</v>
      </c>
      <c r="AF2" t="n">
        <v>0</v>
      </c>
    </row>
    <row r="3">
      <c r="A3" t="s">
        <v>110</v>
      </c>
      <c r="B3" t="s">
        <v>283</v>
      </c>
      <c r="C3" t="s">
        <v>111</v>
      </c>
      <c r="D3" t="s">
        <v>284</v>
      </c>
      <c r="E3" t="s">
        <v>49</v>
      </c>
      <c r="F3" t="n">
        <v>0.039808632861743</v>
      </c>
      <c r="G3" t="n">
        <v>-0.0157649019134175</v>
      </c>
      <c r="H3" t="n">
        <v>-0.320924514247028</v>
      </c>
      <c r="I3" t="n">
        <v>0.40867539074871</v>
      </c>
      <c r="J3" t="n">
        <v>0.234529254397458</v>
      </c>
      <c r="K3" t="n">
        <v>0.111664960148891</v>
      </c>
      <c r="L3" t="n">
        <v>0.22249215274698</v>
      </c>
      <c r="M3" t="n">
        <v>0.554446263771429</v>
      </c>
      <c r="N3" t="n">
        <v>-0.232876791402903</v>
      </c>
      <c r="O3" t="n">
        <v>0.754331354493375</v>
      </c>
      <c r="P3" t="n">
        <v>-0.108919012347629</v>
      </c>
      <c r="Q3" t="n">
        <v>-0.298030382496829</v>
      </c>
      <c r="R3" t="n">
        <v>-0.296895048263477</v>
      </c>
      <c r="S3" t="n">
        <v>0.758972004615846</v>
      </c>
      <c r="T3" t="n">
        <v>-1.05522171358159</v>
      </c>
      <c r="U3" t="n">
        <v>-0.275429073060003</v>
      </c>
      <c r="V3" t="n">
        <v>0.268179998541017</v>
      </c>
      <c r="W3" t="n">
        <v>-0.308816789546388</v>
      </c>
      <c r="X3" t="n">
        <v>-0.177502030397312</v>
      </c>
      <c r="Y3" t="n">
        <v>-0.937276015189518</v>
      </c>
      <c r="Z3" t="n">
        <v>-0.17324490720624</v>
      </c>
      <c r="AA3" t="n">
        <v>0.439902007365881</v>
      </c>
      <c r="AB3" t="n">
        <v>-0.651010063191238</v>
      </c>
      <c r="AC3" t="n">
        <v>0.39323708010605</v>
      </c>
      <c r="AD3" t="n">
        <v>0</v>
      </c>
      <c r="AE3" t="n">
        <v>-0.096524546195138</v>
      </c>
      <c r="AF3" t="n">
        <v>0</v>
      </c>
    </row>
    <row r="4">
      <c r="A4" t="s">
        <v>112</v>
      </c>
      <c r="B4" t="s">
        <v>283</v>
      </c>
      <c r="C4" t="s">
        <v>113</v>
      </c>
      <c r="D4" t="s">
        <v>284</v>
      </c>
      <c r="E4" t="s">
        <v>49</v>
      </c>
      <c r="F4" t="n">
        <v>0.431278082300371</v>
      </c>
      <c r="G4" t="n">
        <v>0.425820557775124</v>
      </c>
      <c r="H4" t="n">
        <v>0.579908820154899</v>
      </c>
      <c r="I4" t="n">
        <v>1.16377647207014</v>
      </c>
      <c r="J4" t="n">
        <v>0.714576169432264</v>
      </c>
      <c r="K4" t="n">
        <v>0.347739186223667</v>
      </c>
      <c r="L4" t="n">
        <v>1.01375854170721</v>
      </c>
      <c r="M4" t="n">
        <v>1.09497977418272</v>
      </c>
      <c r="N4" t="n">
        <v>0.68680052645347</v>
      </c>
      <c r="O4" t="n">
        <v>0.546187253940182</v>
      </c>
      <c r="P4" t="n">
        <v>0.569689945643801</v>
      </c>
      <c r="Q4" t="n">
        <v>-0.0484610166655979</v>
      </c>
      <c r="R4" t="n">
        <v>0.51249179151495</v>
      </c>
      <c r="S4" t="n">
        <v>0.916006626920563</v>
      </c>
      <c r="T4" t="n">
        <v>2.27769878748559</v>
      </c>
      <c r="U4" t="n">
        <v>-0.748643424332898</v>
      </c>
      <c r="V4" t="n">
        <v>0.100642519947043</v>
      </c>
      <c r="W4" t="n">
        <v>0.00798660308938666</v>
      </c>
      <c r="X4" t="n">
        <v>0.838268423922637</v>
      </c>
      <c r="Y4" t="n">
        <v>0.250224382011793</v>
      </c>
      <c r="Z4" t="n">
        <v>0.334863045582917</v>
      </c>
      <c r="AA4" t="n">
        <v>0.0748765594431511</v>
      </c>
      <c r="AB4" t="n">
        <v>-0.129622093287966</v>
      </c>
      <c r="AC4" t="n">
        <v>0.139851755997948</v>
      </c>
      <c r="AD4" t="n">
        <v>0</v>
      </c>
      <c r="AE4" t="n">
        <v>1.24204739662132</v>
      </c>
      <c r="AF4" t="n">
        <v>0</v>
      </c>
    </row>
    <row r="5">
      <c r="A5" t="s">
        <v>114</v>
      </c>
      <c r="B5" t="s">
        <v>283</v>
      </c>
      <c r="C5" t="s">
        <v>115</v>
      </c>
      <c r="D5" t="s">
        <v>284</v>
      </c>
      <c r="E5" t="s">
        <v>49</v>
      </c>
      <c r="F5" t="n">
        <v>0.096689685630914</v>
      </c>
      <c r="G5" t="n">
        <v>0.114734896701129</v>
      </c>
      <c r="H5" t="n">
        <v>0.295335644682813</v>
      </c>
      <c r="I5" t="n">
        <v>0.263042192948001</v>
      </c>
      <c r="J5" t="n">
        <v>0.253767739084192</v>
      </c>
      <c r="K5" t="n">
        <v>0.167634778183655</v>
      </c>
      <c r="L5" t="n">
        <v>0.230735937613114</v>
      </c>
      <c r="M5" t="n">
        <v>0.1606204366492</v>
      </c>
      <c r="N5" t="n">
        <v>0.341934865210507</v>
      </c>
      <c r="O5" t="n">
        <v>0.191237965989563</v>
      </c>
      <c r="P5" t="n">
        <v>0.213775139848802</v>
      </c>
      <c r="Q5" t="n">
        <v>0.132665948518936</v>
      </c>
      <c r="R5" t="n">
        <v>0.309453214468341</v>
      </c>
      <c r="S5" t="n">
        <v>0.152389494144009</v>
      </c>
      <c r="T5" t="n">
        <v>0.282756012644626</v>
      </c>
      <c r="U5" t="n">
        <v>-0.347121640141835</v>
      </c>
      <c r="V5" t="n">
        <v>0.173678648595578</v>
      </c>
      <c r="W5" t="n">
        <v>-0.357084702151973</v>
      </c>
      <c r="X5" t="n">
        <v>0.0977018597267522</v>
      </c>
      <c r="Y5" t="n">
        <v>-0.0548327576329978</v>
      </c>
      <c r="Z5" t="n">
        <v>-0.0990501201965934</v>
      </c>
      <c r="AA5" t="n">
        <v>-0.068372274097845</v>
      </c>
      <c r="AB5" t="n">
        <v>-0.119828936055029</v>
      </c>
      <c r="AC5" t="n">
        <v>0.0800879137133085</v>
      </c>
      <c r="AD5" t="n">
        <v>0</v>
      </c>
      <c r="AE5" t="n">
        <v>0.315258943148859</v>
      </c>
      <c r="AF5" t="n">
        <v>0</v>
      </c>
    </row>
    <row r="6">
      <c r="A6" t="s">
        <v>116</v>
      </c>
      <c r="B6" t="s">
        <v>283</v>
      </c>
      <c r="C6" t="s">
        <v>117</v>
      </c>
      <c r="D6" t="s">
        <v>284</v>
      </c>
      <c r="E6" t="s">
        <v>49</v>
      </c>
      <c r="F6" t="n">
        <v>-0.088897510540433</v>
      </c>
      <c r="G6" t="n">
        <v>-0.168268370265675</v>
      </c>
      <c r="H6" t="n">
        <v>-0.000764550536562561</v>
      </c>
      <c r="I6" t="n">
        <v>0.212560278220566</v>
      </c>
      <c r="J6" t="n">
        <v>0.105602239215814</v>
      </c>
      <c r="K6" t="n">
        <v>0.200793882885578</v>
      </c>
      <c r="L6" t="n">
        <v>0.229179916092502</v>
      </c>
      <c r="M6" t="n">
        <v>0.327407602686495</v>
      </c>
      <c r="N6" t="n">
        <v>0.080887205574467</v>
      </c>
      <c r="O6" t="n">
        <v>0.142281465803553</v>
      </c>
      <c r="P6" t="n">
        <v>0.155899009659395</v>
      </c>
      <c r="Q6" t="n">
        <v>-0.195670803914915</v>
      </c>
      <c r="R6" t="n">
        <v>0.108854856086321</v>
      </c>
      <c r="S6" t="n">
        <v>0.252002177318973</v>
      </c>
      <c r="T6" t="n">
        <v>0.429536207973913</v>
      </c>
      <c r="U6" t="n">
        <v>-0.122451275276821</v>
      </c>
      <c r="V6" t="n">
        <v>0.00225092900071896</v>
      </c>
      <c r="W6" t="n">
        <v>-0.0488695433418778</v>
      </c>
      <c r="X6" t="n">
        <v>0.292678879515768</v>
      </c>
      <c r="Y6" t="n">
        <v>0.183522031861261</v>
      </c>
      <c r="Z6" t="n">
        <v>0.176339979683495</v>
      </c>
      <c r="AA6" t="n">
        <v>-0.151110819518716</v>
      </c>
      <c r="AB6" t="n">
        <v>0.0586665780270673</v>
      </c>
      <c r="AC6" t="n">
        <v>0.20000680394274</v>
      </c>
      <c r="AD6" t="n">
        <v>0</v>
      </c>
      <c r="AE6" t="n">
        <v>0.883956155271991</v>
      </c>
      <c r="AF6" t="n">
        <v>0</v>
      </c>
    </row>
    <row r="7">
      <c r="A7" t="s">
        <v>118</v>
      </c>
      <c r="B7" t="s">
        <v>283</v>
      </c>
      <c r="C7" t="s">
        <v>119</v>
      </c>
      <c r="D7" t="s">
        <v>284</v>
      </c>
      <c r="E7" t="s">
        <v>49</v>
      </c>
      <c r="F7" t="n">
        <v>0.165329946777588</v>
      </c>
      <c r="G7" t="n">
        <v>0.146723220040986</v>
      </c>
      <c r="H7" t="n">
        <v>0.2269316832332</v>
      </c>
      <c r="I7" t="n">
        <v>0.271681700444417</v>
      </c>
      <c r="J7" t="n">
        <v>0.240395297150442</v>
      </c>
      <c r="K7" t="n">
        <v>0.190368187426579</v>
      </c>
      <c r="L7" t="n">
        <v>0.259385037223966</v>
      </c>
      <c r="M7" t="n">
        <v>0.293474014990358</v>
      </c>
      <c r="N7" t="n">
        <v>0.263332936187409</v>
      </c>
      <c r="O7" t="n">
        <v>0.241071851560101</v>
      </c>
      <c r="P7" t="n">
        <v>0.215289675357317</v>
      </c>
      <c r="Q7" t="n">
        <v>0.0515196763178945</v>
      </c>
      <c r="R7" t="n">
        <v>0.234620074937153</v>
      </c>
      <c r="S7" t="n">
        <v>0.245374292980758</v>
      </c>
      <c r="T7" t="n">
        <v>0.33450751858697</v>
      </c>
      <c r="U7" t="n">
        <v>-0.0442861809354913</v>
      </c>
      <c r="V7" t="n">
        <v>0.00090646554852853</v>
      </c>
      <c r="W7" t="n">
        <v>-0.227886049832615</v>
      </c>
      <c r="X7" t="n">
        <v>0.17895879202263</v>
      </c>
      <c r="Y7" t="n">
        <v>0.0249632864577612</v>
      </c>
      <c r="Z7" t="n">
        <v>-0.220002753929726</v>
      </c>
      <c r="AA7" t="n">
        <v>-0.221045743182178</v>
      </c>
      <c r="AB7" t="n">
        <v>-0.155013995175314</v>
      </c>
      <c r="AC7" t="n">
        <v>-0.0466571244926187</v>
      </c>
      <c r="AD7" t="n">
        <v>0</v>
      </c>
      <c r="AE7" t="n">
        <v>0.288999667836341</v>
      </c>
      <c r="AF7" t="n">
        <v>0</v>
      </c>
    </row>
    <row r="8">
      <c r="A8" t="s">
        <v>120</v>
      </c>
      <c r="B8" t="s">
        <v>283</v>
      </c>
      <c r="C8" t="s">
        <v>121</v>
      </c>
      <c r="D8" t="s">
        <v>284</v>
      </c>
      <c r="E8" t="s">
        <v>49</v>
      </c>
      <c r="F8" t="n">
        <v>0.446634893984266</v>
      </c>
      <c r="G8" t="n">
        <v>0.0880327049126447</v>
      </c>
      <c r="H8" t="n">
        <v>0.235493270037299</v>
      </c>
      <c r="I8" t="n">
        <v>0.386452627949939</v>
      </c>
      <c r="J8" t="n">
        <v>0.549343429455637</v>
      </c>
      <c r="K8" t="n">
        <v>0.601307317095626</v>
      </c>
      <c r="L8" t="n">
        <v>0.647340764706004</v>
      </c>
      <c r="M8" t="n">
        <v>0.903320053270799</v>
      </c>
      <c r="N8" t="n">
        <v>0.477844018218721</v>
      </c>
      <c r="O8" t="n">
        <v>0.696333720442706</v>
      </c>
      <c r="P8" t="n">
        <v>0.606667899730117</v>
      </c>
      <c r="Q8" t="n">
        <v>0.361656594956193</v>
      </c>
      <c r="R8" t="n">
        <v>0.99649707161025</v>
      </c>
      <c r="S8" t="n">
        <v>0.122321068368646</v>
      </c>
      <c r="T8" t="n">
        <v>0.615509793131435</v>
      </c>
      <c r="U8" t="n">
        <v>-1.07209333317483</v>
      </c>
      <c r="V8" t="n">
        <v>-1.27048773257603</v>
      </c>
      <c r="W8" t="n">
        <v>0.705983037968035</v>
      </c>
      <c r="X8" t="n">
        <v>0.493565987081607</v>
      </c>
      <c r="Y8" t="n">
        <v>-0.545626825016265</v>
      </c>
      <c r="Z8" t="n">
        <v>-1.50556329860199</v>
      </c>
      <c r="AA8" t="n">
        <v>-1.68965202399434</v>
      </c>
      <c r="AB8" t="n">
        <v>-1.2545271582408</v>
      </c>
      <c r="AC8" t="n">
        <v>-0.821975713887275</v>
      </c>
      <c r="AD8" t="n">
        <v>0</v>
      </c>
      <c r="AE8" t="n">
        <v>-0.913837514682615</v>
      </c>
      <c r="AF8" t="n">
        <v>0</v>
      </c>
    </row>
    <row r="9">
      <c r="A9" t="s">
        <v>122</v>
      </c>
      <c r="B9" t="s">
        <v>283</v>
      </c>
      <c r="C9" t="s">
        <v>123</v>
      </c>
      <c r="D9" t="s">
        <v>284</v>
      </c>
      <c r="E9" t="s">
        <v>49</v>
      </c>
      <c r="F9" t="n">
        <v>1.52335423427841</v>
      </c>
      <c r="G9" t="n">
        <v>0.70625588961171</v>
      </c>
      <c r="H9" t="n">
        <v>0.606032924646647</v>
      </c>
      <c r="I9" t="n">
        <v>1.10970441203745</v>
      </c>
      <c r="J9" t="n">
        <v>0.423273242105481</v>
      </c>
      <c r="K9" t="n">
        <v>-0.0941903539426266</v>
      </c>
      <c r="L9" t="n">
        <v>0.640421837391676</v>
      </c>
      <c r="M9" t="n">
        <v>1.04825226620186</v>
      </c>
      <c r="N9" t="n">
        <v>0.92435862537118</v>
      </c>
      <c r="O9" t="n">
        <v>0.418691923590341</v>
      </c>
      <c r="P9" t="n">
        <v>-0.0628985985129547</v>
      </c>
      <c r="Q9" t="n">
        <v>-0.198768773168893</v>
      </c>
      <c r="R9" t="n">
        <v>1.61564704045666</v>
      </c>
      <c r="S9" t="n">
        <v>0.981910752404653</v>
      </c>
      <c r="T9" t="n">
        <v>2.15883819473814</v>
      </c>
      <c r="U9" t="n">
        <v>-0.775350131740987</v>
      </c>
      <c r="V9" t="n">
        <v>-0.604126047343463</v>
      </c>
      <c r="W9" t="n">
        <v>0.561730933905948</v>
      </c>
      <c r="X9" t="n">
        <v>1.59262125098999</v>
      </c>
      <c r="Y9" t="n">
        <v>0.855623341281821</v>
      </c>
      <c r="Z9" t="n">
        <v>-0.554376167699529</v>
      </c>
      <c r="AA9" t="n">
        <v>-0.509464286216969</v>
      </c>
      <c r="AB9" t="n">
        <v>-0.599793515102504</v>
      </c>
      <c r="AC9" t="n">
        <v>-0.314261832202004</v>
      </c>
      <c r="AD9" t="n">
        <v>0</v>
      </c>
      <c r="AE9" t="n">
        <v>-0.168568276476969</v>
      </c>
      <c r="AF9" t="n">
        <v>0</v>
      </c>
    </row>
    <row r="10">
      <c r="A10" t="s">
        <v>124</v>
      </c>
      <c r="B10" t="s">
        <v>283</v>
      </c>
      <c r="C10" t="s">
        <v>125</v>
      </c>
      <c r="D10" t="s">
        <v>284</v>
      </c>
      <c r="E10" t="s">
        <v>49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126</v>
      </c>
      <c r="B11" t="s">
        <v>283</v>
      </c>
      <c r="C11" t="s">
        <v>127</v>
      </c>
      <c r="D11" t="s">
        <v>284</v>
      </c>
      <c r="E11" t="s">
        <v>49</v>
      </c>
      <c r="F11" t="n">
        <v>-0.970703364027879</v>
      </c>
      <c r="G11" t="n">
        <v>-1.81367888769995</v>
      </c>
      <c r="H11" t="n">
        <v>-0.197604371266562</v>
      </c>
      <c r="I11" t="n">
        <v>1.79904560011008</v>
      </c>
      <c r="J11" t="n">
        <v>-0.61943740027245</v>
      </c>
      <c r="K11" t="n">
        <v>1.31636974935202</v>
      </c>
      <c r="L11" t="n">
        <v>0.434948168660058</v>
      </c>
      <c r="M11" t="n">
        <v>1.50987315301849</v>
      </c>
      <c r="N11" t="n">
        <v>2.38320932946232</v>
      </c>
      <c r="O11" t="n">
        <v>0.243100287684358</v>
      </c>
      <c r="P11" t="n">
        <v>0.65848011294578</v>
      </c>
      <c r="Q11" t="n">
        <v>0.796100670980603</v>
      </c>
      <c r="R11" t="n">
        <v>4.4089381679855</v>
      </c>
      <c r="S11" t="n">
        <v>2.06111302851936</v>
      </c>
      <c r="T11" t="n">
        <v>2.78029413422211</v>
      </c>
      <c r="U11" t="n">
        <v>-0.296389765040273</v>
      </c>
      <c r="V11" t="n">
        <v>1.26635921531954</v>
      </c>
      <c r="W11" t="n">
        <v>-0.464976508179865</v>
      </c>
      <c r="X11" t="n">
        <v>2.19042012000864</v>
      </c>
      <c r="Y11" t="n">
        <v>-0.337983622200373</v>
      </c>
      <c r="Z11" t="n">
        <v>-0.0772302175525895</v>
      </c>
      <c r="AA11" t="n">
        <v>-0.363965797263763</v>
      </c>
      <c r="AB11" t="n">
        <v>0.0866248806288946</v>
      </c>
      <c r="AC11" t="n">
        <v>-0.00382979210665119</v>
      </c>
      <c r="AD11" t="n">
        <v>0</v>
      </c>
      <c r="AE11" t="n">
        <v>-0.701262563720727</v>
      </c>
      <c r="AF11" t="n">
        <v>0</v>
      </c>
    </row>
    <row r="12">
      <c r="A12" t="s">
        <v>128</v>
      </c>
      <c r="B12" t="s">
        <v>283</v>
      </c>
      <c r="C12" t="s">
        <v>129</v>
      </c>
      <c r="D12" t="s">
        <v>284</v>
      </c>
      <c r="E12" t="s">
        <v>49</v>
      </c>
      <c r="F12" t="n">
        <v>0.162222209915535</v>
      </c>
      <c r="G12" t="n">
        <v>0.221353525319922</v>
      </c>
      <c r="H12" t="n">
        <v>0.302978377480025</v>
      </c>
      <c r="I12" t="n">
        <v>0.615331986655701</v>
      </c>
      <c r="J12" t="n">
        <v>0.303344829608464</v>
      </c>
      <c r="K12" t="n">
        <v>0.059868306177794</v>
      </c>
      <c r="L12" t="n">
        <v>0.392152194279546</v>
      </c>
      <c r="M12" t="n">
        <v>0.401417861597145</v>
      </c>
      <c r="N12" t="n">
        <v>0.108487721922321</v>
      </c>
      <c r="O12" t="n">
        <v>0.231678964887468</v>
      </c>
      <c r="P12" t="n">
        <v>0.206560804341339</v>
      </c>
      <c r="Q12" t="n">
        <v>-0.121217920276186</v>
      </c>
      <c r="R12" t="n">
        <v>-0.0263835124287948</v>
      </c>
      <c r="S12" t="n">
        <v>0.489831790826547</v>
      </c>
      <c r="T12" t="n">
        <v>1.05891374024724</v>
      </c>
      <c r="U12" t="n">
        <v>-0.473190569717674</v>
      </c>
      <c r="V12" t="n">
        <v>-0.065190773649189</v>
      </c>
      <c r="W12" t="n">
        <v>-0.14205356272813</v>
      </c>
      <c r="X12" t="n">
        <v>0.146305478686688</v>
      </c>
      <c r="Y12" t="n">
        <v>0.323378181821865</v>
      </c>
      <c r="Z12" t="n">
        <v>0.133087608960207</v>
      </c>
      <c r="AA12" t="n">
        <v>0.113286714486422</v>
      </c>
      <c r="AB12" t="n">
        <v>-0.0457636832425886</v>
      </c>
      <c r="AC12" t="n">
        <v>-0.010149770766904</v>
      </c>
      <c r="AD12" t="n">
        <v>0</v>
      </c>
      <c r="AE12" t="n">
        <v>0.61010986287003</v>
      </c>
      <c r="AF12" t="n">
        <v>0</v>
      </c>
    </row>
    <row r="13">
      <c r="A13" t="s">
        <v>130</v>
      </c>
      <c r="B13" t="s">
        <v>283</v>
      </c>
      <c r="C13" t="s">
        <v>131</v>
      </c>
      <c r="D13" t="s">
        <v>284</v>
      </c>
      <c r="E13" t="s">
        <v>49</v>
      </c>
      <c r="F13" t="n">
        <v>-0.0917717326587032</v>
      </c>
      <c r="G13" t="n">
        <v>-0.0623548527564843</v>
      </c>
      <c r="H13" t="n">
        <v>-0.0209013868036218</v>
      </c>
      <c r="I13" t="n">
        <v>0.530408786143264</v>
      </c>
      <c r="J13" t="n">
        <v>0.203847735780961</v>
      </c>
      <c r="K13" t="n">
        <v>-0.30226578913779</v>
      </c>
      <c r="L13" t="n">
        <v>0.153471737329056</v>
      </c>
      <c r="M13" t="n">
        <v>0.183762946888158</v>
      </c>
      <c r="N13" t="n">
        <v>0.00340179879668999</v>
      </c>
      <c r="O13" t="n">
        <v>0.0795603889272531</v>
      </c>
      <c r="P13" t="n">
        <v>-0.0446866471035044</v>
      </c>
      <c r="Q13" t="n">
        <v>-0.289204253201779</v>
      </c>
      <c r="R13" t="n">
        <v>0.011270690434696</v>
      </c>
      <c r="S13" t="n">
        <v>0.24858346658137</v>
      </c>
      <c r="T13" t="n">
        <v>1.19874608172816</v>
      </c>
      <c r="U13" t="n">
        <v>-0.44346987870622</v>
      </c>
      <c r="V13" t="n">
        <v>-0.0824056229168037</v>
      </c>
      <c r="W13" t="n">
        <v>-0.246026368645432</v>
      </c>
      <c r="X13" t="n">
        <v>0.176739868600559</v>
      </c>
      <c r="Y13" t="n">
        <v>-0.0466731875435017</v>
      </c>
      <c r="Z13" t="n">
        <v>0.536810951617386</v>
      </c>
      <c r="AA13" t="n">
        <v>0.0391320656158994</v>
      </c>
      <c r="AB13" t="n">
        <v>-0.0678540271956777</v>
      </c>
      <c r="AC13" t="n">
        <v>-0.124870999437908</v>
      </c>
      <c r="AD13" t="n">
        <v>0</v>
      </c>
      <c r="AE13" t="n">
        <v>0.59462715668594</v>
      </c>
      <c r="AF13" t="n">
        <v>0</v>
      </c>
    </row>
    <row r="14">
      <c r="A14" t="s">
        <v>132</v>
      </c>
      <c r="B14" t="s">
        <v>283</v>
      </c>
      <c r="C14" t="s">
        <v>133</v>
      </c>
      <c r="D14" t="s">
        <v>284</v>
      </c>
      <c r="E14" t="s">
        <v>49</v>
      </c>
      <c r="F14" t="n">
        <v>0.901950543069497</v>
      </c>
      <c r="G14" t="n">
        <v>1.25980400888026</v>
      </c>
      <c r="H14" t="n">
        <v>0.572985998802374</v>
      </c>
      <c r="I14" t="n">
        <v>1.61806897884649</v>
      </c>
      <c r="J14" t="n">
        <v>0.642006039497921</v>
      </c>
      <c r="K14" t="n">
        <v>0.334322109143553</v>
      </c>
      <c r="L14" t="n">
        <v>2.6044223247395</v>
      </c>
      <c r="M14" t="n">
        <v>2.69579654718259</v>
      </c>
      <c r="N14" t="n">
        <v>0.973755264500903</v>
      </c>
      <c r="O14" t="n">
        <v>0.792265681715153</v>
      </c>
      <c r="P14" t="n">
        <v>1.7399097847422</v>
      </c>
      <c r="Q14" t="n">
        <v>-0.865750635236017</v>
      </c>
      <c r="R14" t="n">
        <v>0.0972413111086685</v>
      </c>
      <c r="S14" t="n">
        <v>1.8222873933245</v>
      </c>
      <c r="T14" t="n">
        <v>4.62439290744455</v>
      </c>
      <c r="U14" t="n">
        <v>-1.15724208127629</v>
      </c>
      <c r="V14" t="n">
        <v>0.0379114190282934</v>
      </c>
      <c r="W14" t="n">
        <v>3.0969013428054</v>
      </c>
      <c r="X14" t="n">
        <v>1.88608254393263</v>
      </c>
      <c r="Y14" t="n">
        <v>0.298162468285333</v>
      </c>
      <c r="Z14" t="n">
        <v>0.185016693016386</v>
      </c>
      <c r="AA14" t="n">
        <v>-0.223211128437931</v>
      </c>
      <c r="AB14" t="n">
        <v>-0.823428854998578</v>
      </c>
      <c r="AC14" t="n">
        <v>-0.605101053544219</v>
      </c>
      <c r="AD14" t="n">
        <v>0</v>
      </c>
      <c r="AE14" t="n">
        <v>0.64197324668822</v>
      </c>
      <c r="AF14" t="n">
        <v>0</v>
      </c>
    </row>
    <row r="15">
      <c r="A15" t="s">
        <v>134</v>
      </c>
      <c r="B15" t="s">
        <v>283</v>
      </c>
      <c r="C15" t="s">
        <v>135</v>
      </c>
      <c r="D15" t="s">
        <v>284</v>
      </c>
      <c r="E15" t="s">
        <v>49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136</v>
      </c>
      <c r="B16" t="s">
        <v>283</v>
      </c>
      <c r="C16" t="s">
        <v>137</v>
      </c>
      <c r="D16" t="s">
        <v>284</v>
      </c>
      <c r="E16" t="s">
        <v>49</v>
      </c>
      <c r="F16" t="n">
        <v>0.969383718444622</v>
      </c>
      <c r="G16" t="n">
        <v>1.47415240975109</v>
      </c>
      <c r="H16" t="n">
        <v>1.3119068130844</v>
      </c>
      <c r="I16" t="n">
        <v>2.73065982196917</v>
      </c>
      <c r="J16" t="n">
        <v>1.6903648542037</v>
      </c>
      <c r="K16" t="n">
        <v>1.239086950079</v>
      </c>
      <c r="L16" t="n">
        <v>3.14616511064908</v>
      </c>
      <c r="M16" t="n">
        <v>3.09807588030288</v>
      </c>
      <c r="N16" t="n">
        <v>2.73538396719134</v>
      </c>
      <c r="O16" t="n">
        <v>1.13737216742648</v>
      </c>
      <c r="P16" t="n">
        <v>0.449584202777946</v>
      </c>
      <c r="Q16" t="n">
        <v>-0.427533391209702</v>
      </c>
      <c r="R16" t="n">
        <v>0.802787119916115</v>
      </c>
      <c r="S16" t="n">
        <v>2.73548202197047</v>
      </c>
      <c r="T16" t="n">
        <v>3.692445842295</v>
      </c>
      <c r="U16" t="n">
        <v>-2.66494528596895</v>
      </c>
      <c r="V16" t="n">
        <v>0.00873596391049611</v>
      </c>
      <c r="W16" t="n">
        <v>0.701906601444779</v>
      </c>
      <c r="X16" t="n">
        <v>1.52928665376104</v>
      </c>
      <c r="Y16" t="n">
        <v>0.197337691555782</v>
      </c>
      <c r="Z16" t="n">
        <v>0.0789780355208508</v>
      </c>
      <c r="AA16" t="n">
        <v>0.274795298949723</v>
      </c>
      <c r="AB16" t="n">
        <v>0.308549295984259</v>
      </c>
      <c r="AC16" t="n">
        <v>-0.252909749362256</v>
      </c>
      <c r="AD16" t="n">
        <v>0</v>
      </c>
      <c r="AE16" t="n">
        <v>0.798700638629193</v>
      </c>
      <c r="AF16" t="n">
        <v>0</v>
      </c>
    </row>
    <row r="17">
      <c r="A17" t="s">
        <v>138</v>
      </c>
      <c r="B17" t="s">
        <v>283</v>
      </c>
      <c r="C17" t="s">
        <v>139</v>
      </c>
      <c r="D17" t="s">
        <v>284</v>
      </c>
      <c r="E17" t="s">
        <v>49</v>
      </c>
      <c r="F17" t="n">
        <v>0.48227472844456</v>
      </c>
      <c r="G17" t="n">
        <v>0.39282572086386</v>
      </c>
      <c r="H17" t="n">
        <v>0.587984377739361</v>
      </c>
      <c r="I17" t="n">
        <v>1.00459280947028</v>
      </c>
      <c r="J17" t="n">
        <v>0.837371127009974</v>
      </c>
      <c r="K17" t="n">
        <v>0.182144821408711</v>
      </c>
      <c r="L17" t="n">
        <v>0.948605755070762</v>
      </c>
      <c r="M17" t="n">
        <v>1.1074741672858</v>
      </c>
      <c r="N17" t="n">
        <v>0.81176799795461</v>
      </c>
      <c r="O17" t="n">
        <v>0.51639780234358</v>
      </c>
      <c r="P17" t="n">
        <v>0.685560539736313</v>
      </c>
      <c r="Q17" t="n">
        <v>-0.0919352316200651</v>
      </c>
      <c r="R17" t="n">
        <v>0.0846375514932562</v>
      </c>
      <c r="S17" t="n">
        <v>0.349286358499589</v>
      </c>
      <c r="T17" t="n">
        <v>2.77302741293065</v>
      </c>
      <c r="U17" t="n">
        <v>-0.872415280600705</v>
      </c>
      <c r="V17" t="n">
        <v>-0.0247648136951339</v>
      </c>
      <c r="W17" t="n">
        <v>0.0926814931583589</v>
      </c>
      <c r="X17" t="n">
        <v>0.969067825494193</v>
      </c>
      <c r="Y17" t="n">
        <v>0.161483532909759</v>
      </c>
      <c r="Z17" t="n">
        <v>0.548136234910414</v>
      </c>
      <c r="AA17" t="n">
        <v>0.281233914675186</v>
      </c>
      <c r="AB17" t="n">
        <v>-0.470810704694148</v>
      </c>
      <c r="AC17" t="n">
        <v>0.0536969036242347</v>
      </c>
      <c r="AD17" t="n">
        <v>0</v>
      </c>
      <c r="AE17" t="n">
        <v>0.738268790885327</v>
      </c>
      <c r="AF17" t="n">
        <v>0</v>
      </c>
    </row>
    <row r="18">
      <c r="A18" t="s">
        <v>140</v>
      </c>
      <c r="B18" t="s">
        <v>283</v>
      </c>
      <c r="C18" t="s">
        <v>141</v>
      </c>
      <c r="D18" t="s">
        <v>284</v>
      </c>
      <c r="E18" t="s">
        <v>49</v>
      </c>
      <c r="F18" t="n">
        <v>0.591323975633929</v>
      </c>
      <c r="G18" t="n">
        <v>0.53966103345253</v>
      </c>
      <c r="H18" t="n">
        <v>0.196018537923229</v>
      </c>
      <c r="I18" t="n">
        <v>1.46873239780615</v>
      </c>
      <c r="J18" t="n">
        <v>0.641251344946377</v>
      </c>
      <c r="K18" t="n">
        <v>0.190190304437869</v>
      </c>
      <c r="L18" t="n">
        <v>0.724084023964226</v>
      </c>
      <c r="M18" t="n">
        <v>0.604367383295737</v>
      </c>
      <c r="N18" t="n">
        <v>0.233587503812139</v>
      </c>
      <c r="O18" t="n">
        <v>0.28837556871539</v>
      </c>
      <c r="P18" t="n">
        <v>0.285088794580488</v>
      </c>
      <c r="Q18" t="n">
        <v>0.355337475686369</v>
      </c>
      <c r="R18" t="n">
        <v>0.738031120702562</v>
      </c>
      <c r="S18" t="n">
        <v>1.06463288920214</v>
      </c>
      <c r="T18" t="n">
        <v>3.27900881055251</v>
      </c>
      <c r="U18" t="n">
        <v>-0.983151433551979</v>
      </c>
      <c r="V18" t="n">
        <v>0.136233645074008</v>
      </c>
      <c r="W18" t="n">
        <v>0.366643659186816</v>
      </c>
      <c r="X18" t="n">
        <v>0.924344201997964</v>
      </c>
      <c r="Y18" t="n">
        <v>0.252407679837127</v>
      </c>
      <c r="Z18" t="n">
        <v>0.108598689164694</v>
      </c>
      <c r="AA18" t="n">
        <v>0.530165431914844</v>
      </c>
      <c r="AB18" t="n">
        <v>0.508338175756531</v>
      </c>
      <c r="AC18" t="n">
        <v>0.876059939154026</v>
      </c>
      <c r="AD18" t="n">
        <v>0</v>
      </c>
      <c r="AE18" t="n">
        <v>2.48750023253304</v>
      </c>
      <c r="AF18" t="n">
        <v>0</v>
      </c>
    </row>
    <row r="19">
      <c r="A19" t="s">
        <v>142</v>
      </c>
      <c r="B19" t="s">
        <v>283</v>
      </c>
      <c r="C19" t="s">
        <v>143</v>
      </c>
      <c r="D19" t="s">
        <v>284</v>
      </c>
      <c r="E19" t="s">
        <v>49</v>
      </c>
      <c r="F19" t="n">
        <v>0.513711076925846</v>
      </c>
      <c r="G19" t="n">
        <v>0.431735396933109</v>
      </c>
      <c r="H19" t="n">
        <v>0.655433529631103</v>
      </c>
      <c r="I19" t="n">
        <v>0.946176520154569</v>
      </c>
      <c r="J19" t="n">
        <v>0.858844315086171</v>
      </c>
      <c r="K19" t="n">
        <v>0.617858128553041</v>
      </c>
      <c r="L19" t="n">
        <v>0.890822770398256</v>
      </c>
      <c r="M19" t="n">
        <v>1.07631469375649</v>
      </c>
      <c r="N19" t="n">
        <v>0.301125329686518</v>
      </c>
      <c r="O19" t="n">
        <v>0.47925105285868</v>
      </c>
      <c r="P19" t="n">
        <v>0.174432224392335</v>
      </c>
      <c r="Q19" t="n">
        <v>-0.260793538654388</v>
      </c>
      <c r="R19" t="n">
        <v>-0.157164130236521</v>
      </c>
      <c r="S19" t="n">
        <v>0.568427259718292</v>
      </c>
      <c r="T19" t="n">
        <v>0.57313441166041</v>
      </c>
      <c r="U19" t="n">
        <v>-0.0978271635925139</v>
      </c>
      <c r="V19" t="n">
        <v>-0.330975795777643</v>
      </c>
      <c r="W19" t="n">
        <v>-0.36513960788214</v>
      </c>
      <c r="X19" t="n">
        <v>0.522130053330582</v>
      </c>
      <c r="Y19" t="n">
        <v>0.0847610916761092</v>
      </c>
      <c r="Z19" t="n">
        <v>-0.324072201534826</v>
      </c>
      <c r="AA19" t="n">
        <v>-0.631744189750307</v>
      </c>
      <c r="AB19" t="n">
        <v>-0.208990908445106</v>
      </c>
      <c r="AC19" t="n">
        <v>0.127298543397023</v>
      </c>
      <c r="AD19" t="n">
        <v>0</v>
      </c>
      <c r="AE19" t="n">
        <v>1.26226854498509</v>
      </c>
      <c r="AF19" t="n">
        <v>0</v>
      </c>
    </row>
    <row r="20">
      <c r="A20" t="s">
        <v>144</v>
      </c>
      <c r="B20" t="s">
        <v>283</v>
      </c>
      <c r="C20" t="s">
        <v>145</v>
      </c>
      <c r="D20" t="s">
        <v>284</v>
      </c>
      <c r="E20" t="s">
        <v>49</v>
      </c>
      <c r="F20" t="n">
        <v>-0.0239208843685039</v>
      </c>
      <c r="G20" t="n">
        <v>0.227671776111765</v>
      </c>
      <c r="H20" t="n">
        <v>0.166976330759349</v>
      </c>
      <c r="I20" t="n">
        <v>0.0147858287410733</v>
      </c>
      <c r="J20" t="n">
        <v>0.0830199740960927</v>
      </c>
      <c r="K20" t="n">
        <v>0.116686752821411</v>
      </c>
      <c r="L20" t="n">
        <v>0.0688567875163266</v>
      </c>
      <c r="M20" t="n">
        <v>0.0576891603842833</v>
      </c>
      <c r="N20" t="n">
        <v>0.139850261635046</v>
      </c>
      <c r="O20" t="n">
        <v>-0.00222907016366214</v>
      </c>
      <c r="P20" t="n">
        <v>-0.190058585020818</v>
      </c>
      <c r="Q20" t="n">
        <v>-0.0607248695408261</v>
      </c>
      <c r="R20" t="n">
        <v>0.243236427675668</v>
      </c>
      <c r="S20" t="n">
        <v>0.00518302449865935</v>
      </c>
      <c r="T20" t="n">
        <v>-0.130253366196569</v>
      </c>
      <c r="U20" t="n">
        <v>-0.0580842849384412</v>
      </c>
      <c r="V20" t="n">
        <v>0.0907826528763529</v>
      </c>
      <c r="W20" t="n">
        <v>-0.0820272066957392</v>
      </c>
      <c r="X20" t="n">
        <v>0.11461430147989</v>
      </c>
      <c r="Y20" t="n">
        <v>0.0144005394447315</v>
      </c>
      <c r="Z20" t="n">
        <v>0.0273894178713595</v>
      </c>
      <c r="AA20" t="n">
        <v>-0.101249806656573</v>
      </c>
      <c r="AB20" t="n">
        <v>0.169707515312096</v>
      </c>
      <c r="AC20" t="n">
        <v>-0.00488737350272211</v>
      </c>
      <c r="AD20" t="n">
        <v>0</v>
      </c>
      <c r="AE20" t="n">
        <v>-0.364766951904142</v>
      </c>
      <c r="AF20" t="n">
        <v>0</v>
      </c>
    </row>
    <row r="21">
      <c r="A21" t="s">
        <v>146</v>
      </c>
      <c r="B21" t="s">
        <v>283</v>
      </c>
      <c r="C21" t="s">
        <v>147</v>
      </c>
      <c r="D21" t="s">
        <v>284</v>
      </c>
      <c r="E21" t="s">
        <v>49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148</v>
      </c>
      <c r="B22" t="s">
        <v>283</v>
      </c>
      <c r="C22" t="s">
        <v>149</v>
      </c>
      <c r="D22" t="s">
        <v>284</v>
      </c>
      <c r="E22" t="s">
        <v>49</v>
      </c>
      <c r="F22" t="n">
        <v>-0.0619563680606876</v>
      </c>
      <c r="G22" t="n">
        <v>-0.0045376550017781</v>
      </c>
      <c r="H22" t="n">
        <v>0.00608300650699586</v>
      </c>
      <c r="I22" t="n">
        <v>0.00510987106656684</v>
      </c>
      <c r="J22" t="n">
        <v>0.0193598111709254</v>
      </c>
      <c r="K22" t="n">
        <v>0.0230537714266902</v>
      </c>
      <c r="L22" t="n">
        <v>0.0441007764260425</v>
      </c>
      <c r="M22" t="n">
        <v>0.0281871856770777</v>
      </c>
      <c r="N22" t="n">
        <v>0.0176642284056371</v>
      </c>
      <c r="O22" t="n">
        <v>-0.00990389786875783</v>
      </c>
      <c r="P22" t="n">
        <v>-0.016625501541735</v>
      </c>
      <c r="Q22" t="n">
        <v>0.0176590680401577</v>
      </c>
      <c r="R22" t="n">
        <v>0.0504044887035128</v>
      </c>
      <c r="S22" t="n">
        <v>0.0206440173195815</v>
      </c>
      <c r="T22" t="n">
        <v>-0.00593320277779046</v>
      </c>
      <c r="U22" t="n">
        <v>-0.0177175248094194</v>
      </c>
      <c r="V22" t="n">
        <v>0.0221328904935925</v>
      </c>
      <c r="W22" t="n">
        <v>0.00560641276593179</v>
      </c>
      <c r="X22" t="n">
        <v>0.0307049831626784</v>
      </c>
      <c r="Y22" t="n">
        <v>0.0144587682668364</v>
      </c>
      <c r="Z22" t="n">
        <v>0.0215596591315263</v>
      </c>
      <c r="AA22" t="n">
        <v>0.00622600985695668</v>
      </c>
      <c r="AB22" t="n">
        <v>0.0247062876630458</v>
      </c>
      <c r="AC22" t="n">
        <v>0.0134952718887361</v>
      </c>
      <c r="AD22" t="n">
        <v>0</v>
      </c>
      <c r="AE22" t="n">
        <v>0.0189375048664671</v>
      </c>
      <c r="AF22" t="n">
        <v>0</v>
      </c>
    </row>
    <row r="23">
      <c r="A23" t="s">
        <v>150</v>
      </c>
      <c r="B23" t="s">
        <v>283</v>
      </c>
      <c r="C23" t="s">
        <v>151</v>
      </c>
      <c r="D23" t="s">
        <v>284</v>
      </c>
      <c r="E23" t="s">
        <v>49</v>
      </c>
      <c r="F23" t="n">
        <v>0.00299973455589757</v>
      </c>
      <c r="G23" t="n">
        <v>0.0213357430061461</v>
      </c>
      <c r="H23" t="n">
        <v>0.0278669581105695</v>
      </c>
      <c r="I23" t="n">
        <v>0.0497223040666345</v>
      </c>
      <c r="J23" t="n">
        <v>0.0334686414378671</v>
      </c>
      <c r="K23" t="n">
        <v>0.00958164255617092</v>
      </c>
      <c r="L23" t="n">
        <v>0.0672661492934398</v>
      </c>
      <c r="M23" t="n">
        <v>0.0401512852576534</v>
      </c>
      <c r="N23" t="n">
        <v>0.0282039012530724</v>
      </c>
      <c r="O23" t="n">
        <v>-0.0197466404798768</v>
      </c>
      <c r="P23" t="n">
        <v>0.0745405562357019</v>
      </c>
      <c r="Q23" t="n">
        <v>0.0202400263642708</v>
      </c>
      <c r="R23" t="n">
        <v>-0.00417271795520051</v>
      </c>
      <c r="S23" t="n">
        <v>0.0417480960393151</v>
      </c>
      <c r="T23" t="n">
        <v>0.0697018710180671</v>
      </c>
      <c r="U23" t="n">
        <v>0.0231396457837191</v>
      </c>
      <c r="V23" t="n">
        <v>-0.0267749937527592</v>
      </c>
      <c r="W23" t="n">
        <v>-0.00764621465510557</v>
      </c>
      <c r="X23" t="n">
        <v>0.0322261497087531</v>
      </c>
      <c r="Y23" t="n">
        <v>-0.0445662494054531</v>
      </c>
      <c r="Z23" t="n">
        <v>0.0391970260737309</v>
      </c>
      <c r="AA23" t="n">
        <v>0.0448200900533087</v>
      </c>
      <c r="AB23" t="n">
        <v>-0.0042671415603473</v>
      </c>
      <c r="AC23" t="n">
        <v>0.0303961321389159</v>
      </c>
      <c r="AD23" t="n">
        <v>0</v>
      </c>
      <c r="AE23" t="n">
        <v>0.0535392994695281</v>
      </c>
      <c r="AF23" t="n">
        <v>0</v>
      </c>
    </row>
    <row r="24">
      <c r="A24" t="s">
        <v>152</v>
      </c>
      <c r="B24" t="s">
        <v>283</v>
      </c>
      <c r="C24" t="s">
        <v>153</v>
      </c>
      <c r="D24" t="s">
        <v>284</v>
      </c>
      <c r="E24" t="s">
        <v>49</v>
      </c>
      <c r="F24" t="n">
        <v>-0.0133172509258838</v>
      </c>
      <c r="G24" t="n">
        <v>0.0264976701357841</v>
      </c>
      <c r="H24" t="n">
        <v>0.0680417651572319</v>
      </c>
      <c r="I24" t="n">
        <v>0.0528921786918589</v>
      </c>
      <c r="J24" t="n">
        <v>0.0426829097891262</v>
      </c>
      <c r="K24" t="n">
        <v>0.0653839679960819</v>
      </c>
      <c r="L24" t="n">
        <v>0.148437410633228</v>
      </c>
      <c r="M24" t="n">
        <v>0.204038409549964</v>
      </c>
      <c r="N24" t="n">
        <v>0.154532590516089</v>
      </c>
      <c r="O24" t="n">
        <v>0.0693427581251694</v>
      </c>
      <c r="P24" t="n">
        <v>0.176699970086577</v>
      </c>
      <c r="Q24" t="n">
        <v>0.174736780820253</v>
      </c>
      <c r="R24" t="n">
        <v>0.18237197403531</v>
      </c>
      <c r="S24" t="n">
        <v>0.191034795936363</v>
      </c>
      <c r="T24" t="n">
        <v>0.117198090023601</v>
      </c>
      <c r="U24" t="n">
        <v>0.0362655028484445</v>
      </c>
      <c r="V24" t="n">
        <v>0.116661157170294</v>
      </c>
      <c r="W24" t="n">
        <v>0.162752074703523</v>
      </c>
      <c r="X24" t="n">
        <v>0.131149981273054</v>
      </c>
      <c r="Y24" t="n">
        <v>0.107256912544878</v>
      </c>
      <c r="Z24" t="n">
        <v>-0.0972184865654649</v>
      </c>
      <c r="AA24" t="n">
        <v>-0.0644870021254888</v>
      </c>
      <c r="AB24" t="n">
        <v>-0.0378889974999557</v>
      </c>
      <c r="AC24" t="n">
        <v>0.0327458163649524</v>
      </c>
      <c r="AD24" t="n">
        <v>0</v>
      </c>
      <c r="AE24" t="n">
        <v>0.14537713643404</v>
      </c>
      <c r="AF24" t="n">
        <v>0</v>
      </c>
    </row>
    <row r="25">
      <c r="A25" t="s">
        <v>154</v>
      </c>
      <c r="B25" t="s">
        <v>283</v>
      </c>
      <c r="C25" t="s">
        <v>155</v>
      </c>
      <c r="D25" t="s">
        <v>284</v>
      </c>
      <c r="E25" t="s">
        <v>49</v>
      </c>
      <c r="F25" t="n">
        <v>0.466320295200594</v>
      </c>
      <c r="G25" t="n">
        <v>0.32039243873594</v>
      </c>
      <c r="H25" t="n">
        <v>0.164859004198291</v>
      </c>
      <c r="I25" t="n">
        <v>0.0952403996728291</v>
      </c>
      <c r="J25" t="n">
        <v>0.0217705198924108</v>
      </c>
      <c r="K25" t="n">
        <v>-0.151369545594028</v>
      </c>
      <c r="L25" t="n">
        <v>-0.12310209740541</v>
      </c>
      <c r="M25" t="n">
        <v>-0.00698353789951506</v>
      </c>
      <c r="N25" t="n">
        <v>-0.092585067831133</v>
      </c>
      <c r="O25" t="n">
        <v>-0.226276588290223</v>
      </c>
      <c r="P25" t="n">
        <v>-0.137449899440036</v>
      </c>
      <c r="Q25" t="n">
        <v>-0.104332521390912</v>
      </c>
      <c r="R25" t="n">
        <v>-0.0466911261425404</v>
      </c>
      <c r="S25" t="n">
        <v>-0.0328125648334221</v>
      </c>
      <c r="T25" t="n">
        <v>-0.0412509227881367</v>
      </c>
      <c r="U25" t="n">
        <v>-0.0446268155805928</v>
      </c>
      <c r="V25" t="n">
        <v>-0.0356984213841727</v>
      </c>
      <c r="W25" t="n">
        <v>-0.0177538012391854</v>
      </c>
      <c r="X25" t="n">
        <v>0.00595864583169029</v>
      </c>
      <c r="Y25" t="n">
        <v>0.0110628627401532</v>
      </c>
      <c r="Z25" t="n">
        <v>0.0395911354196189</v>
      </c>
      <c r="AA25" t="n">
        <v>0.129679881247933</v>
      </c>
      <c r="AB25" t="n">
        <v>0.0847204878274204</v>
      </c>
      <c r="AC25" t="n">
        <v>0.0794439003346996</v>
      </c>
      <c r="AD25" t="n">
        <v>0</v>
      </c>
      <c r="AE25" t="n">
        <v>0.155872354124815</v>
      </c>
      <c r="AF25" t="n">
        <v>0</v>
      </c>
    </row>
    <row r="26">
      <c r="A26" t="s">
        <v>156</v>
      </c>
      <c r="B26" t="s">
        <v>283</v>
      </c>
      <c r="C26" t="s">
        <v>157</v>
      </c>
      <c r="D26" t="s">
        <v>284</v>
      </c>
      <c r="E26" t="s">
        <v>49</v>
      </c>
      <c r="F26" t="n">
        <v>0.224482925558857</v>
      </c>
      <c r="G26" t="n">
        <v>0.176533094598926</v>
      </c>
      <c r="H26" t="n">
        <v>0.146904038272748</v>
      </c>
      <c r="I26" t="n">
        <v>0.109797379305172</v>
      </c>
      <c r="J26" t="n">
        <v>0.0861277234104742</v>
      </c>
      <c r="K26" t="n">
        <v>0.12937340438004</v>
      </c>
      <c r="L26" t="n">
        <v>0.167808096240081</v>
      </c>
      <c r="M26" t="n">
        <v>0.346075453829887</v>
      </c>
      <c r="N26" t="n">
        <v>0.290162452422014</v>
      </c>
      <c r="O26" t="n">
        <v>0.189097473844217</v>
      </c>
      <c r="P26" t="n">
        <v>0.361338299317291</v>
      </c>
      <c r="Q26" t="n">
        <v>0.241605963274514</v>
      </c>
      <c r="R26" t="n">
        <v>0.16990886145741</v>
      </c>
      <c r="S26" t="n">
        <v>0.227489112767518</v>
      </c>
      <c r="T26" t="n">
        <v>0.0429874658045165</v>
      </c>
      <c r="U26" t="n">
        <v>0.0418653500626713</v>
      </c>
      <c r="V26" t="n">
        <v>0.0596220058025298</v>
      </c>
      <c r="W26" t="n">
        <v>0.221362417406493</v>
      </c>
      <c r="X26" t="n">
        <v>0.104459522710773</v>
      </c>
      <c r="Y26" t="n">
        <v>0.00836416149577491</v>
      </c>
      <c r="Z26" t="n">
        <v>-0.25729667736807</v>
      </c>
      <c r="AA26" t="n">
        <v>-0.139092460556751</v>
      </c>
      <c r="AB26" t="n">
        <v>-0.114571275368129</v>
      </c>
      <c r="AC26" t="n">
        <v>-0.0521926205982051</v>
      </c>
      <c r="AD26" t="n">
        <v>0</v>
      </c>
      <c r="AE26" t="n">
        <v>-0.0237046448446597</v>
      </c>
      <c r="AF26" t="n">
        <v>0</v>
      </c>
    </row>
    <row r="27">
      <c r="A27" t="s">
        <v>158</v>
      </c>
      <c r="B27" t="s">
        <v>283</v>
      </c>
      <c r="C27" t="s">
        <v>159</v>
      </c>
      <c r="D27" t="s">
        <v>284</v>
      </c>
      <c r="E27" t="s">
        <v>49</v>
      </c>
      <c r="F27" t="n">
        <v>-0.380886908478276</v>
      </c>
      <c r="G27" t="n">
        <v>-0.194692341433915</v>
      </c>
      <c r="H27" t="n">
        <v>-0.047058768239581</v>
      </c>
      <c r="I27" t="n">
        <v>0.000830769291195824</v>
      </c>
      <c r="J27" t="n">
        <v>0.0240866349309699</v>
      </c>
      <c r="K27" t="n">
        <v>0.073908560860515</v>
      </c>
      <c r="L27" t="n">
        <v>0.178884272698846</v>
      </c>
      <c r="M27" t="n">
        <v>0.122422029367751</v>
      </c>
      <c r="N27" t="n">
        <v>0.0572895400476347</v>
      </c>
      <c r="O27" t="n">
        <v>0.00689779688216998</v>
      </c>
      <c r="P27" t="n">
        <v>0.013823205651913</v>
      </c>
      <c r="Q27" t="n">
        <v>0.139241293413849</v>
      </c>
      <c r="R27" t="n">
        <v>0.185391407862764</v>
      </c>
      <c r="S27" t="n">
        <v>0.160825214135202</v>
      </c>
      <c r="T27" t="n">
        <v>0.210903138828269</v>
      </c>
      <c r="U27" t="n">
        <v>0.071802849313803</v>
      </c>
      <c r="V27" t="n">
        <v>0.152069099681269</v>
      </c>
      <c r="W27" t="n">
        <v>0.149433027251933</v>
      </c>
      <c r="X27" t="n">
        <v>0.165621499057758</v>
      </c>
      <c r="Y27" t="n">
        <v>0.196330863591901</v>
      </c>
      <c r="Z27" t="n">
        <v>0.00951847390223614</v>
      </c>
      <c r="AA27" t="n">
        <v>-0.0204351101991218</v>
      </c>
      <c r="AB27" t="n">
        <v>0.00585263048628118</v>
      </c>
      <c r="AC27" t="n">
        <v>0.0974327887206039</v>
      </c>
      <c r="AD27" t="n">
        <v>0</v>
      </c>
      <c r="AE27" t="n">
        <v>0.245884242835406</v>
      </c>
      <c r="AF27" t="n">
        <v>0</v>
      </c>
    </row>
    <row r="28">
      <c r="A28" t="s">
        <v>160</v>
      </c>
      <c r="B28" t="s">
        <v>283</v>
      </c>
      <c r="C28" t="s">
        <v>161</v>
      </c>
      <c r="D28" t="s">
        <v>284</v>
      </c>
      <c r="E28" t="s">
        <v>49</v>
      </c>
      <c r="F28" t="n">
        <v>-0.0319921575354663</v>
      </c>
      <c r="G28" t="n">
        <v>0.00889715263986031</v>
      </c>
      <c r="H28" t="n">
        <v>0.0580898999643169</v>
      </c>
      <c r="I28" t="n">
        <v>0.0675587169491012</v>
      </c>
      <c r="J28" t="n">
        <v>0.0789221987568737</v>
      </c>
      <c r="K28" t="n">
        <v>0.078252878466675</v>
      </c>
      <c r="L28" t="n">
        <v>0.138858275991439</v>
      </c>
      <c r="M28" t="n">
        <v>0.0982221530919999</v>
      </c>
      <c r="N28" t="n">
        <v>0.0514206393975558</v>
      </c>
      <c r="O28" t="n">
        <v>0.0581933746368275</v>
      </c>
      <c r="P28" t="n">
        <v>0.0756053801813104</v>
      </c>
      <c r="Q28" t="n">
        <v>0.0102586979044595</v>
      </c>
      <c r="R28" t="n">
        <v>0.066245187779059</v>
      </c>
      <c r="S28" t="n">
        <v>0.175242400861925</v>
      </c>
      <c r="T28" t="n">
        <v>0.0664039505528775</v>
      </c>
      <c r="U28" t="n">
        <v>-0.016642578317448</v>
      </c>
      <c r="V28" t="n">
        <v>-0.0195311900413861</v>
      </c>
      <c r="W28" t="n">
        <v>-0.0859880885452759</v>
      </c>
      <c r="X28" t="n">
        <v>-0.0484660929537975</v>
      </c>
      <c r="Y28" t="n">
        <v>-0.0475611055224498</v>
      </c>
      <c r="Z28" t="n">
        <v>0.0601301591922156</v>
      </c>
      <c r="AA28" t="n">
        <v>0.00826518443565383</v>
      </c>
      <c r="AB28" t="n">
        <v>-0.0180738660731831</v>
      </c>
      <c r="AC28" t="n">
        <v>0.0990204077447435</v>
      </c>
      <c r="AD28" t="n">
        <v>0</v>
      </c>
      <c r="AE28" t="n">
        <v>0.115768479269757</v>
      </c>
      <c r="AF28" t="n">
        <v>0</v>
      </c>
    </row>
    <row r="29">
      <c r="A29" t="s">
        <v>162</v>
      </c>
      <c r="B29" t="s">
        <v>283</v>
      </c>
      <c r="C29" t="s">
        <v>163</v>
      </c>
      <c r="D29" t="s">
        <v>284</v>
      </c>
      <c r="E29" t="s">
        <v>49</v>
      </c>
      <c r="F29" t="n">
        <v>0.0298229443564458</v>
      </c>
      <c r="G29" t="n">
        <v>0.0291375530585252</v>
      </c>
      <c r="H29" t="n">
        <v>0.0446036077812331</v>
      </c>
      <c r="I29" t="n">
        <v>0.0406256695278568</v>
      </c>
      <c r="J29" t="n">
        <v>0.0301099143530599</v>
      </c>
      <c r="K29" t="n">
        <v>0.0489849337156515</v>
      </c>
      <c r="L29" t="n">
        <v>0.0847119633299207</v>
      </c>
      <c r="M29" t="n">
        <v>0.0931984639974825</v>
      </c>
      <c r="N29" t="n">
        <v>0.0610200259048404</v>
      </c>
      <c r="O29" t="n">
        <v>0.084667062975394</v>
      </c>
      <c r="P29" t="n">
        <v>0.0594561315082358</v>
      </c>
      <c r="Q29" t="n">
        <v>0.0410289234893313</v>
      </c>
      <c r="R29" t="n">
        <v>0.0516666694859982</v>
      </c>
      <c r="S29" t="n">
        <v>0.16136624761488</v>
      </c>
      <c r="T29" t="n">
        <v>0.090629112670349</v>
      </c>
      <c r="U29" t="n">
        <v>-0.0181709905771044</v>
      </c>
      <c r="V29" t="n">
        <v>-0.0137836307468969</v>
      </c>
      <c r="W29" t="n">
        <v>-0.0830514342580031</v>
      </c>
      <c r="X29" t="n">
        <v>-0.0317007422772201</v>
      </c>
      <c r="Y29" t="n">
        <v>-0.0334861120179044</v>
      </c>
      <c r="Z29" t="n">
        <v>0.0208911751394704</v>
      </c>
      <c r="AA29" t="n">
        <v>0.0161133660557824</v>
      </c>
      <c r="AB29" t="n">
        <v>0.0032481518954567</v>
      </c>
      <c r="AC29" t="n">
        <v>0.0750481831709223</v>
      </c>
      <c r="AD29" t="n">
        <v>0</v>
      </c>
      <c r="AE29" t="n">
        <v>0.111217176047833</v>
      </c>
      <c r="AF29" t="n">
        <v>0</v>
      </c>
    </row>
    <row r="30">
      <c r="A30" t="s">
        <v>164</v>
      </c>
      <c r="B30" t="s">
        <v>283</v>
      </c>
      <c r="C30" t="s">
        <v>165</v>
      </c>
      <c r="D30" t="s">
        <v>284</v>
      </c>
      <c r="E30" t="s">
        <v>49</v>
      </c>
      <c r="F30" t="n">
        <v>0.0289763565734982</v>
      </c>
      <c r="G30" t="n">
        <v>0.0306763410960455</v>
      </c>
      <c r="H30" t="n">
        <v>0.109046444380248</v>
      </c>
      <c r="I30" t="n">
        <v>0.136535434284618</v>
      </c>
      <c r="J30" t="n">
        <v>0.166912609499841</v>
      </c>
      <c r="K30" t="n">
        <v>0.147530513605565</v>
      </c>
      <c r="L30" t="n">
        <v>0.204401553353194</v>
      </c>
      <c r="M30" t="n">
        <v>0.127866619176474</v>
      </c>
      <c r="N30" t="n">
        <v>0.0657133767706247</v>
      </c>
      <c r="O30" t="n">
        <v>0.0776038119004453</v>
      </c>
      <c r="P30" t="n">
        <v>0.0452004100984334</v>
      </c>
      <c r="Q30" t="n">
        <v>-0.0120341945569754</v>
      </c>
      <c r="R30" t="n">
        <v>0.131086611573216</v>
      </c>
      <c r="S30" t="n">
        <v>0.249797796416679</v>
      </c>
      <c r="T30" t="n">
        <v>0.0680009169235678</v>
      </c>
      <c r="U30" t="n">
        <v>0.0425975600938703</v>
      </c>
      <c r="V30" t="n">
        <v>-0.0103990201462485</v>
      </c>
      <c r="W30" t="n">
        <v>-0.121745094057608</v>
      </c>
      <c r="X30" t="n">
        <v>-0.179721241770016</v>
      </c>
      <c r="Y30" t="n">
        <v>-0.0750740031733734</v>
      </c>
      <c r="Z30" t="n">
        <v>0.122169697017799</v>
      </c>
      <c r="AA30" t="n">
        <v>0.00271125272082564</v>
      </c>
      <c r="AB30" t="n">
        <v>-0.0199490453081188</v>
      </c>
      <c r="AC30" t="n">
        <v>-0.0155930299429964</v>
      </c>
      <c r="AD30" t="n">
        <v>0</v>
      </c>
      <c r="AE30" t="n">
        <v>0.150365506112647</v>
      </c>
      <c r="AF30" t="n">
        <v>0</v>
      </c>
    </row>
    <row r="31">
      <c r="A31" t="s">
        <v>166</v>
      </c>
      <c r="B31" t="s">
        <v>283</v>
      </c>
      <c r="C31" t="s">
        <v>167</v>
      </c>
      <c r="D31" t="s">
        <v>284</v>
      </c>
      <c r="E31" t="s">
        <v>49</v>
      </c>
      <c r="F31" t="n">
        <v>0.278689178215999</v>
      </c>
      <c r="G31" t="n">
        <v>0.268727163513441</v>
      </c>
      <c r="H31" t="n">
        <v>0.284883342173826</v>
      </c>
      <c r="I31" t="n">
        <v>0.263654966961496</v>
      </c>
      <c r="J31" t="n">
        <v>0.166878898848871</v>
      </c>
      <c r="K31" t="n">
        <v>0.0681457322731629</v>
      </c>
      <c r="L31" t="n">
        <v>0.00650310965937723</v>
      </c>
      <c r="M31" t="n">
        <v>-0.0369963626251595</v>
      </c>
      <c r="N31" t="n">
        <v>-0.204792884528028</v>
      </c>
      <c r="O31" t="n">
        <v>-0.228739347735738</v>
      </c>
      <c r="P31" t="n">
        <v>-0.404779355005443</v>
      </c>
      <c r="Q31" t="n">
        <v>-0.179105827110003</v>
      </c>
      <c r="R31" t="n">
        <v>-0.0779979951936216</v>
      </c>
      <c r="S31" t="n">
        <v>0.160488604248314</v>
      </c>
      <c r="T31" t="n">
        <v>0.184948059678761</v>
      </c>
      <c r="U31" t="n">
        <v>0.0506662293839841</v>
      </c>
      <c r="V31" t="n">
        <v>-0.0359893416039608</v>
      </c>
      <c r="W31" t="n">
        <v>-0.0757862342401375</v>
      </c>
      <c r="X31" t="n">
        <v>0.123790864976787</v>
      </c>
      <c r="Y31" t="n">
        <v>0.165382325365689</v>
      </c>
      <c r="Z31" t="n">
        <v>0.0830039431888744</v>
      </c>
      <c r="AA31" t="n">
        <v>0.111149386778845</v>
      </c>
      <c r="AB31" t="n">
        <v>0.0891698398633247</v>
      </c>
      <c r="AC31" t="n">
        <v>0.139485097783274</v>
      </c>
      <c r="AD31" t="n">
        <v>0</v>
      </c>
      <c r="AE31" t="n">
        <v>0.127714247597438</v>
      </c>
      <c r="AF31" t="n">
        <v>0</v>
      </c>
    </row>
    <row r="32">
      <c r="A32" t="s">
        <v>168</v>
      </c>
      <c r="B32" t="s">
        <v>283</v>
      </c>
      <c r="C32" t="s">
        <v>169</v>
      </c>
      <c r="D32" t="s">
        <v>284</v>
      </c>
      <c r="E32" t="s">
        <v>49</v>
      </c>
      <c r="F32" t="n">
        <v>0.305427090230894</v>
      </c>
      <c r="G32" t="n">
        <v>0.360157479488077</v>
      </c>
      <c r="H32" t="n">
        <v>0.425898354293362</v>
      </c>
      <c r="I32" t="n">
        <v>0.446427847507668</v>
      </c>
      <c r="J32" t="n">
        <v>0.552758363968319</v>
      </c>
      <c r="K32" t="n">
        <v>0.287108248894765</v>
      </c>
      <c r="L32" t="n">
        <v>0.446284630482759</v>
      </c>
      <c r="M32" t="n">
        <v>0.272901565063875</v>
      </c>
      <c r="N32" t="n">
        <v>0.214495019563596</v>
      </c>
      <c r="O32" t="n">
        <v>0.0768793093598793</v>
      </c>
      <c r="P32" t="n">
        <v>0.260039341668396</v>
      </c>
      <c r="Q32" t="n">
        <v>-0.197803071619067</v>
      </c>
      <c r="R32" t="n">
        <v>0.0361315453986923</v>
      </c>
      <c r="S32" t="n">
        <v>0.256205316962468</v>
      </c>
      <c r="T32" t="n">
        <v>-0.0334361011533625</v>
      </c>
      <c r="U32" t="n">
        <v>0.0156194212702411</v>
      </c>
      <c r="V32" t="n">
        <v>0.0567756046077149</v>
      </c>
      <c r="W32" t="n">
        <v>0.0203965625591741</v>
      </c>
      <c r="X32" t="n">
        <v>-0.165323430562464</v>
      </c>
      <c r="Y32" t="n">
        <v>-0.230691940545608</v>
      </c>
      <c r="Z32" t="n">
        <v>0.232374156602273</v>
      </c>
      <c r="AA32" t="n">
        <v>-0.0945916969032149</v>
      </c>
      <c r="AB32" t="n">
        <v>-0.201329427803276</v>
      </c>
      <c r="AC32" t="n">
        <v>0.259380992293354</v>
      </c>
      <c r="AD32" t="n">
        <v>0</v>
      </c>
      <c r="AE32" t="n">
        <v>0.206912941075085</v>
      </c>
      <c r="AF32" t="n">
        <v>0</v>
      </c>
    </row>
    <row r="33">
      <c r="A33" t="s">
        <v>170</v>
      </c>
      <c r="B33" t="s">
        <v>283</v>
      </c>
      <c r="C33" t="s">
        <v>171</v>
      </c>
      <c r="D33" t="s">
        <v>284</v>
      </c>
      <c r="E33" t="s">
        <v>49</v>
      </c>
      <c r="F33" t="n">
        <v>-1.23314734485013</v>
      </c>
      <c r="G33" t="n">
        <v>-0.713574163715117</v>
      </c>
      <c r="H33" t="n">
        <v>-0.568832429078399</v>
      </c>
      <c r="I33" t="n">
        <v>-0.387341096042103</v>
      </c>
      <c r="J33" t="n">
        <v>-0.258893882048715</v>
      </c>
      <c r="K33" t="n">
        <v>-0.202143138267485</v>
      </c>
      <c r="L33" t="n">
        <v>-0.0721237481376405</v>
      </c>
      <c r="M33" t="n">
        <v>-0.0467334058426242</v>
      </c>
      <c r="N33" t="n">
        <v>0.00399188245373915</v>
      </c>
      <c r="O33" t="n">
        <v>0.0125301175433291</v>
      </c>
      <c r="P33" t="n">
        <v>0.114998908587985</v>
      </c>
      <c r="Q33" t="n">
        <v>0.0344535222564654</v>
      </c>
      <c r="R33" t="n">
        <v>0.0230069358095822</v>
      </c>
      <c r="S33" t="n">
        <v>-0.0533089919474585</v>
      </c>
      <c r="T33" t="n">
        <v>-0.122441165747918</v>
      </c>
      <c r="U33" t="n">
        <v>-0.164372306829749</v>
      </c>
      <c r="V33" t="n">
        <v>-0.0831851898777927</v>
      </c>
      <c r="W33" t="n">
        <v>-0.094882585355977</v>
      </c>
      <c r="X33" t="n">
        <v>-0.0792457952130451</v>
      </c>
      <c r="Y33" t="n">
        <v>-0.0753131638503305</v>
      </c>
      <c r="Z33" t="n">
        <v>-0.046571330873669</v>
      </c>
      <c r="AA33" t="n">
        <v>-0.036874173977761</v>
      </c>
      <c r="AB33" t="n">
        <v>-0.0212608082454258</v>
      </c>
      <c r="AC33" t="n">
        <v>-0.00133207551364294</v>
      </c>
      <c r="AD33" t="n">
        <v>0</v>
      </c>
      <c r="AE33" t="n">
        <v>0.00355518626821375</v>
      </c>
      <c r="AF33" t="n">
        <v>0</v>
      </c>
    </row>
    <row r="34">
      <c r="A34" t="s">
        <v>172</v>
      </c>
      <c r="B34" t="s">
        <v>283</v>
      </c>
      <c r="C34" t="s">
        <v>173</v>
      </c>
      <c r="D34" t="s">
        <v>284</v>
      </c>
      <c r="E34" t="s">
        <v>49</v>
      </c>
      <c r="F34" t="n">
        <v>-0.0448110280335997</v>
      </c>
      <c r="G34" t="n">
        <v>0.00816227199091011</v>
      </c>
      <c r="H34" t="n">
        <v>0.0786655072126003</v>
      </c>
      <c r="I34" t="n">
        <v>0.104015381868361</v>
      </c>
      <c r="J34" t="n">
        <v>0.129834934928614</v>
      </c>
      <c r="K34" t="n">
        <v>0.153145365597332</v>
      </c>
      <c r="L34" t="n">
        <v>0.208686039766554</v>
      </c>
      <c r="M34" t="n">
        <v>0.137383527034975</v>
      </c>
      <c r="N34" t="n">
        <v>0.161520390471494</v>
      </c>
      <c r="O34" t="n">
        <v>0.0374146390249086</v>
      </c>
      <c r="P34" t="n">
        <v>0.136010906324927</v>
      </c>
      <c r="Q34" t="n">
        <v>0.0837116113253619</v>
      </c>
      <c r="R34" t="n">
        <v>0.092070902197579</v>
      </c>
      <c r="S34" t="n">
        <v>0.0773740669675888</v>
      </c>
      <c r="T34" t="n">
        <v>-0.023962600648423</v>
      </c>
      <c r="U34" t="n">
        <v>-0.0712773100063836</v>
      </c>
      <c r="V34" t="n">
        <v>0.0359388347029424</v>
      </c>
      <c r="W34" t="n">
        <v>-0.00342203574926805</v>
      </c>
      <c r="X34" t="n">
        <v>-0.0171659445853239</v>
      </c>
      <c r="Y34" t="n">
        <v>0.0291146141328808</v>
      </c>
      <c r="Z34" t="n">
        <v>-0.0560823558761812</v>
      </c>
      <c r="AA34" t="n">
        <v>-0.0896311236195736</v>
      </c>
      <c r="AB34" t="n">
        <v>0.00283416129939009</v>
      </c>
      <c r="AC34" t="n">
        <v>-0.0487817886770872</v>
      </c>
      <c r="AD34" t="n">
        <v>0</v>
      </c>
      <c r="AE34" t="n">
        <v>0.208389464995423</v>
      </c>
      <c r="AF34" t="n">
        <v>0</v>
      </c>
    </row>
    <row r="35">
      <c r="A35" t="s">
        <v>174</v>
      </c>
      <c r="B35" t="s">
        <v>283</v>
      </c>
      <c r="C35" t="s">
        <v>175</v>
      </c>
      <c r="D35" t="s">
        <v>284</v>
      </c>
      <c r="E35" t="s">
        <v>49</v>
      </c>
      <c r="F35" t="n">
        <v>-0.161535842984307</v>
      </c>
      <c r="G35" t="n">
        <v>0.259878188937309</v>
      </c>
      <c r="H35" t="n">
        <v>0.319431312590757</v>
      </c>
      <c r="I35" t="n">
        <v>0.300293035145759</v>
      </c>
      <c r="J35" t="n">
        <v>0.703121251738823</v>
      </c>
      <c r="K35" t="n">
        <v>-0.277857809676418</v>
      </c>
      <c r="L35" t="n">
        <v>0.487848562391825</v>
      </c>
      <c r="M35" t="n">
        <v>1.25342029878785</v>
      </c>
      <c r="N35" t="n">
        <v>0.37067167618914</v>
      </c>
      <c r="O35" t="n">
        <v>0.77890446593891</v>
      </c>
      <c r="P35" t="n">
        <v>-0.162755334391438</v>
      </c>
      <c r="Q35" t="n">
        <v>-0.465616707718975</v>
      </c>
      <c r="R35" t="n">
        <v>0.266788916746527</v>
      </c>
      <c r="S35" t="n">
        <v>-0.014471756762614</v>
      </c>
      <c r="T35" t="n">
        <v>0.215330613309872</v>
      </c>
      <c r="U35" t="n">
        <v>-0.459457578176404</v>
      </c>
      <c r="V35" t="n">
        <v>0.258235807922338</v>
      </c>
      <c r="W35" t="n">
        <v>1.14011383097242</v>
      </c>
      <c r="X35" t="n">
        <v>0.291459854884627</v>
      </c>
      <c r="Y35" t="n">
        <v>-0.204215508819657</v>
      </c>
      <c r="Z35" t="n">
        <v>0.92858375426316</v>
      </c>
      <c r="AA35" t="n">
        <v>-0.367267857088576</v>
      </c>
      <c r="AB35" t="n">
        <v>-0.692314042396472</v>
      </c>
      <c r="AC35" t="n">
        <v>-0.655272432810839</v>
      </c>
      <c r="AD35" t="n">
        <v>0</v>
      </c>
      <c r="AE35" t="n">
        <v>-0.719783704805369</v>
      </c>
      <c r="AF35" t="n">
        <v>0</v>
      </c>
    </row>
    <row r="36">
      <c r="A36" t="s">
        <v>176</v>
      </c>
      <c r="B36" t="s">
        <v>283</v>
      </c>
      <c r="C36" t="s">
        <v>177</v>
      </c>
      <c r="D36" t="s">
        <v>284</v>
      </c>
      <c r="E36" t="s">
        <v>49</v>
      </c>
      <c r="F36" t="n">
        <v>0.653007390758277</v>
      </c>
      <c r="G36" t="n">
        <v>0.545361480404525</v>
      </c>
      <c r="H36" t="n">
        <v>0.599078097037314</v>
      </c>
      <c r="I36" t="n">
        <v>0.729498945971716</v>
      </c>
      <c r="J36" t="n">
        <v>0.283947189365907</v>
      </c>
      <c r="K36" t="n">
        <v>0.330958948585026</v>
      </c>
      <c r="L36" t="n">
        <v>0.430242086615565</v>
      </c>
      <c r="M36" t="n">
        <v>0.64702472669252</v>
      </c>
      <c r="N36" t="n">
        <v>0.223244734286435</v>
      </c>
      <c r="O36" t="n">
        <v>0.830630653291492</v>
      </c>
      <c r="P36" t="n">
        <v>0.260513756147154</v>
      </c>
      <c r="Q36" t="n">
        <v>-0.0566703801063194</v>
      </c>
      <c r="R36" t="n">
        <v>0.252429881823766</v>
      </c>
      <c r="S36" t="n">
        <v>-0.0410941576964632</v>
      </c>
      <c r="T36" t="n">
        <v>0.426475596301911</v>
      </c>
      <c r="U36" t="n">
        <v>-0.39247653712844</v>
      </c>
      <c r="V36" t="n">
        <v>0.430522134365118</v>
      </c>
      <c r="W36" t="n">
        <v>2.06582843931744</v>
      </c>
      <c r="X36" t="n">
        <v>0.953798050363828</v>
      </c>
      <c r="Y36" t="n">
        <v>0.109147757878237</v>
      </c>
      <c r="Z36" t="n">
        <v>0.358323522663613</v>
      </c>
      <c r="AA36" t="n">
        <v>-0.0247881988844184</v>
      </c>
      <c r="AB36" t="n">
        <v>-0.592925841630348</v>
      </c>
      <c r="AC36" t="n">
        <v>-0.711874764944877</v>
      </c>
      <c r="AD36" t="n">
        <v>0</v>
      </c>
      <c r="AE36" t="n">
        <v>-0.239427419857356</v>
      </c>
      <c r="AF36" t="n">
        <v>0</v>
      </c>
    </row>
    <row r="37">
      <c r="A37" t="s">
        <v>178</v>
      </c>
      <c r="B37" t="s">
        <v>283</v>
      </c>
      <c r="C37" t="s">
        <v>179</v>
      </c>
      <c r="D37" t="s">
        <v>284</v>
      </c>
      <c r="E37" t="s">
        <v>49</v>
      </c>
      <c r="F37" t="n">
        <v>-0.418179491921917</v>
      </c>
      <c r="G37" t="n">
        <v>-0.955142458842196</v>
      </c>
      <c r="H37" t="n">
        <v>-0.00125328635527831</v>
      </c>
      <c r="I37" t="n">
        <v>0.19251607280949</v>
      </c>
      <c r="J37" t="n">
        <v>0.293513922080738</v>
      </c>
      <c r="K37" t="n">
        <v>-0.563024227491029</v>
      </c>
      <c r="L37" t="n">
        <v>0.328052462365763</v>
      </c>
      <c r="M37" t="n">
        <v>1.16849127664376</v>
      </c>
      <c r="N37" t="n">
        <v>0.588947591671486</v>
      </c>
      <c r="O37" t="n">
        <v>0.543768605027868</v>
      </c>
      <c r="P37" t="n">
        <v>-1.0164382484016</v>
      </c>
      <c r="Q37" t="n">
        <v>-0.896648494569518</v>
      </c>
      <c r="R37" t="n">
        <v>-0.155722541237097</v>
      </c>
      <c r="S37" t="n">
        <v>-0.113178825195944</v>
      </c>
      <c r="T37" t="n">
        <v>0.178160808737739</v>
      </c>
      <c r="U37" t="n">
        <v>-0.19365194308285</v>
      </c>
      <c r="V37" t="n">
        <v>0.0398016596619239</v>
      </c>
      <c r="W37" t="n">
        <v>0.11035774628297</v>
      </c>
      <c r="X37" t="n">
        <v>0.161903753637185</v>
      </c>
      <c r="Y37" t="n">
        <v>0.341777407727178</v>
      </c>
      <c r="Z37" t="n">
        <v>1.12567272386982</v>
      </c>
      <c r="AA37" t="n">
        <v>-0.515407390180691</v>
      </c>
      <c r="AB37" t="n">
        <v>-0.696042510698137</v>
      </c>
      <c r="AC37" t="n">
        <v>-0.587820448477828</v>
      </c>
      <c r="AD37" t="n">
        <v>0</v>
      </c>
      <c r="AE37" t="n">
        <v>-0.805273460534395</v>
      </c>
      <c r="AF37" t="n">
        <v>0</v>
      </c>
    </row>
    <row r="38">
      <c r="A38" t="s">
        <v>180</v>
      </c>
      <c r="B38" t="s">
        <v>283</v>
      </c>
      <c r="C38" t="s">
        <v>181</v>
      </c>
      <c r="D38" t="s">
        <v>284</v>
      </c>
      <c r="E38" t="s">
        <v>49</v>
      </c>
      <c r="F38" t="n">
        <v>-1.0533585794993</v>
      </c>
      <c r="G38" t="n">
        <v>1.03982372425188</v>
      </c>
      <c r="H38" t="n">
        <v>0.473314776779722</v>
      </c>
      <c r="I38" t="n">
        <v>0.222961568719302</v>
      </c>
      <c r="J38" t="n">
        <v>1.2761803736658</v>
      </c>
      <c r="K38" t="n">
        <v>-0.40056202368139</v>
      </c>
      <c r="L38" t="n">
        <v>0.65221913804152</v>
      </c>
      <c r="M38" t="n">
        <v>1.64253659856434</v>
      </c>
      <c r="N38" t="n">
        <v>0.321360519690648</v>
      </c>
      <c r="O38" t="n">
        <v>0.963422782372499</v>
      </c>
      <c r="P38" t="n">
        <v>0.174579886349172</v>
      </c>
      <c r="Q38" t="n">
        <v>-0.350238302333568</v>
      </c>
      <c r="R38" t="n">
        <v>0.553513736615148</v>
      </c>
      <c r="S38" t="n">
        <v>0.0607851454651068</v>
      </c>
      <c r="T38" t="n">
        <v>0.139785233899814</v>
      </c>
      <c r="U38" t="n">
        <v>-0.658313256047911</v>
      </c>
      <c r="V38" t="n">
        <v>0.314604082384174</v>
      </c>
      <c r="W38" t="n">
        <v>1.42313649913573</v>
      </c>
      <c r="X38" t="n">
        <v>0.165452008740527</v>
      </c>
      <c r="Y38" t="n">
        <v>-0.588314632371058</v>
      </c>
      <c r="Z38" t="n">
        <v>1.01445446469343</v>
      </c>
      <c r="AA38" t="n">
        <v>-0.383468228462935</v>
      </c>
      <c r="AB38" t="n">
        <v>-0.695810614973076</v>
      </c>
      <c r="AC38" t="n">
        <v>-0.660810686461478</v>
      </c>
      <c r="AD38" t="n">
        <v>0</v>
      </c>
      <c r="AE38" t="n">
        <v>-0.768737599014968</v>
      </c>
      <c r="AF38" t="n">
        <v>0</v>
      </c>
    </row>
    <row r="39">
      <c r="A39" t="s">
        <v>182</v>
      </c>
      <c r="B39" t="s">
        <v>283</v>
      </c>
      <c r="C39" t="s">
        <v>183</v>
      </c>
      <c r="D39" t="s">
        <v>284</v>
      </c>
      <c r="E39" t="s">
        <v>49</v>
      </c>
      <c r="F39" t="n">
        <v>-0.135065536048953</v>
      </c>
      <c r="G39" t="n">
        <v>0.59765389746789</v>
      </c>
      <c r="H39" t="n">
        <v>0.613378277821569</v>
      </c>
      <c r="I39" t="n">
        <v>0.58056204288744</v>
      </c>
      <c r="J39" t="n">
        <v>0.837582052880946</v>
      </c>
      <c r="K39" t="n">
        <v>0.608667675329482</v>
      </c>
      <c r="L39" t="n">
        <v>1.71410885001086</v>
      </c>
      <c r="M39" t="n">
        <v>1.17340696928806</v>
      </c>
      <c r="N39" t="n">
        <v>1.53956817215119</v>
      </c>
      <c r="O39" t="n">
        <v>1.23805489222364</v>
      </c>
      <c r="P39" t="n">
        <v>-0.0290599407322333</v>
      </c>
      <c r="Q39" t="n">
        <v>-0.236758583093913</v>
      </c>
      <c r="R39" t="n">
        <v>-0.385410237964035</v>
      </c>
      <c r="S39" t="n">
        <v>-0.322416307603907</v>
      </c>
      <c r="T39" t="n">
        <v>1.24189941397545</v>
      </c>
      <c r="U39" t="n">
        <v>0.327978558079904</v>
      </c>
      <c r="V39" t="n">
        <v>-0.263573112943924</v>
      </c>
      <c r="W39" t="n">
        <v>-0.27344342686196</v>
      </c>
      <c r="X39" t="n">
        <v>0.722122679910344</v>
      </c>
      <c r="Y39" t="n">
        <v>0.755033027947328</v>
      </c>
      <c r="Z39" t="n">
        <v>-0.123815851570782</v>
      </c>
      <c r="AA39" t="n">
        <v>-0.283166657135144</v>
      </c>
      <c r="AB39" t="n">
        <v>-0.277508662236399</v>
      </c>
      <c r="AC39" t="n">
        <v>0.135925115660599</v>
      </c>
      <c r="AD39" t="n">
        <v>0</v>
      </c>
      <c r="AE39" t="n">
        <v>-0.285982521883787</v>
      </c>
      <c r="AF39" t="n">
        <v>0</v>
      </c>
    </row>
    <row r="40">
      <c r="A40" t="s">
        <v>184</v>
      </c>
      <c r="B40" t="s">
        <v>283</v>
      </c>
      <c r="C40" t="s">
        <v>185</v>
      </c>
      <c r="D40" t="s">
        <v>284</v>
      </c>
      <c r="E40" t="s">
        <v>49</v>
      </c>
      <c r="F40" t="n">
        <v>-0.0153359516519971</v>
      </c>
      <c r="G40" t="n">
        <v>0.00578472820989176</v>
      </c>
      <c r="H40" t="n">
        <v>0.00535203513030085</v>
      </c>
      <c r="I40" t="n">
        <v>-0.00188092948670329</v>
      </c>
      <c r="J40" t="n">
        <v>0.00740103080102157</v>
      </c>
      <c r="K40" t="n">
        <v>0.00679929108552107</v>
      </c>
      <c r="L40" t="n">
        <v>0.0136549703031504</v>
      </c>
      <c r="M40" t="n">
        <v>0.000401743116665891</v>
      </c>
      <c r="N40" t="n">
        <v>0.0113468593849086</v>
      </c>
      <c r="O40" t="n">
        <v>0.00389184129498066</v>
      </c>
      <c r="P40" t="n">
        <v>0.007597377078932</v>
      </c>
      <c r="Q40" t="n">
        <v>-0.00133719928741188</v>
      </c>
      <c r="R40" t="n">
        <v>0.00959585290677958</v>
      </c>
      <c r="S40" t="n">
        <v>-0.00764225410030825</v>
      </c>
      <c r="T40" t="n">
        <v>-0.0101223981334307</v>
      </c>
      <c r="U40" t="n">
        <v>-0.0111046310833207</v>
      </c>
      <c r="V40" t="n">
        <v>0.00079661030260639</v>
      </c>
      <c r="W40" t="n">
        <v>-0.0181863656401585</v>
      </c>
      <c r="X40" t="n">
        <v>0.00736668025531895</v>
      </c>
      <c r="Y40" t="n">
        <v>-0.0143982190498358</v>
      </c>
      <c r="Z40" t="n">
        <v>-0.0126158143366616</v>
      </c>
      <c r="AA40" t="n">
        <v>-0.00995651661210875</v>
      </c>
      <c r="AB40" t="n">
        <v>-0.0181752439299256</v>
      </c>
      <c r="AC40" t="n">
        <v>0.013376197413153</v>
      </c>
      <c r="AD40" t="n">
        <v>0</v>
      </c>
      <c r="AE40" t="n">
        <v>-0.00652776736499832</v>
      </c>
      <c r="AF40" t="n">
        <v>0</v>
      </c>
    </row>
    <row r="41">
      <c r="A41" t="s">
        <v>186</v>
      </c>
      <c r="B41" t="s">
        <v>283</v>
      </c>
      <c r="C41" t="s">
        <v>187</v>
      </c>
      <c r="D41" t="s">
        <v>284</v>
      </c>
      <c r="E41" t="s">
        <v>49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188</v>
      </c>
      <c r="B42" t="s">
        <v>283</v>
      </c>
      <c r="C42" t="s">
        <v>189</v>
      </c>
      <c r="D42" t="s">
        <v>284</v>
      </c>
      <c r="E42" t="s">
        <v>49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190</v>
      </c>
      <c r="B43" t="s">
        <v>283</v>
      </c>
      <c r="C43" t="s">
        <v>191</v>
      </c>
      <c r="D43" t="s">
        <v>284</v>
      </c>
      <c r="E43" t="s">
        <v>49</v>
      </c>
      <c r="F43" t="n">
        <v>-0.285126897746661</v>
      </c>
      <c r="G43" t="n">
        <v>0.102058852255213</v>
      </c>
      <c r="H43" t="n">
        <v>0.0167847769717163</v>
      </c>
      <c r="I43" t="n">
        <v>0.176156751982035</v>
      </c>
      <c r="J43" t="n">
        <v>0.318402007756992</v>
      </c>
      <c r="K43" t="n">
        <v>-0.0986525188128436</v>
      </c>
      <c r="L43" t="n">
        <v>0.195038197435985</v>
      </c>
      <c r="M43" t="n">
        <v>0.255615124542437</v>
      </c>
      <c r="N43" t="n">
        <v>-0.349830611092435</v>
      </c>
      <c r="O43" t="n">
        <v>-0.405469881150464</v>
      </c>
      <c r="P43" t="n">
        <v>-0.168219839521389</v>
      </c>
      <c r="Q43" t="n">
        <v>-0.368204730824649</v>
      </c>
      <c r="R43" t="n">
        <v>0.0660457683134632</v>
      </c>
      <c r="S43" t="n">
        <v>-0.0615657382071891</v>
      </c>
      <c r="T43" t="n">
        <v>0.678606769720238</v>
      </c>
      <c r="U43" t="n">
        <v>0.062478613900878</v>
      </c>
      <c r="V43" t="n">
        <v>-0.298200186103063</v>
      </c>
      <c r="W43" t="n">
        <v>-0.948466916772224</v>
      </c>
      <c r="X43" t="n">
        <v>0.172472483208447</v>
      </c>
      <c r="Y43" t="n">
        <v>0.0169228401150128</v>
      </c>
      <c r="Z43" t="n">
        <v>0.100717252333997</v>
      </c>
      <c r="AA43" t="n">
        <v>-0.103156079375088</v>
      </c>
      <c r="AB43" t="n">
        <v>-0.141500949680432</v>
      </c>
      <c r="AC43" t="n">
        <v>-0.12946490450298</v>
      </c>
      <c r="AD43" t="n">
        <v>0</v>
      </c>
      <c r="AE43" t="n">
        <v>0.362308023632273</v>
      </c>
      <c r="AF43" t="n">
        <v>0</v>
      </c>
    </row>
    <row r="44">
      <c r="A44" t="s">
        <v>192</v>
      </c>
      <c r="B44" t="s">
        <v>283</v>
      </c>
      <c r="C44" t="s">
        <v>193</v>
      </c>
      <c r="D44" t="s">
        <v>284</v>
      </c>
      <c r="E44" t="s">
        <v>49</v>
      </c>
      <c r="F44" t="n">
        <v>0.0510441630791312</v>
      </c>
      <c r="G44" t="n">
        <v>0.174423197155582</v>
      </c>
      <c r="H44" t="n">
        <v>0.305279819116112</v>
      </c>
      <c r="I44" t="n">
        <v>0.392061168075359</v>
      </c>
      <c r="J44" t="n">
        <v>0.312764358690367</v>
      </c>
      <c r="K44" t="n">
        <v>0.216298462948287</v>
      </c>
      <c r="L44" t="n">
        <v>0.497057533519086</v>
      </c>
      <c r="M44" t="n">
        <v>0.51048192604966</v>
      </c>
      <c r="N44" t="n">
        <v>0.323009746872356</v>
      </c>
      <c r="O44" t="n">
        <v>0.165627297863</v>
      </c>
      <c r="P44" t="n">
        <v>0.293265066453401</v>
      </c>
      <c r="Q44" t="n">
        <v>0.0899225020905574</v>
      </c>
      <c r="R44" t="n">
        <v>0.254692092967672</v>
      </c>
      <c r="S44" t="n">
        <v>0.339495296152672</v>
      </c>
      <c r="T44" t="n">
        <v>0.519577420553988</v>
      </c>
      <c r="U44" t="n">
        <v>-0.0736705898543151</v>
      </c>
      <c r="V44" t="n">
        <v>0.0424583139689734</v>
      </c>
      <c r="W44" t="n">
        <v>-0.0142463712520815</v>
      </c>
      <c r="X44" t="n">
        <v>0.25460163164536</v>
      </c>
      <c r="Y44" t="n">
        <v>0.118708200873412</v>
      </c>
      <c r="Z44" t="n">
        <v>0.140462240796147</v>
      </c>
      <c r="AA44" t="n">
        <v>0.0381631684922194</v>
      </c>
      <c r="AB44" t="n">
        <v>-0.0561704684010431</v>
      </c>
      <c r="AC44" t="n">
        <v>0.0764568659986676</v>
      </c>
      <c r="AD44" t="n">
        <v>0</v>
      </c>
      <c r="AE44" t="n">
        <v>0.47366270917692</v>
      </c>
      <c r="AF44" t="n">
        <v>0</v>
      </c>
    </row>
    <row r="45">
      <c r="A45" t="s">
        <v>194</v>
      </c>
      <c r="B45" t="s">
        <v>283</v>
      </c>
      <c r="C45" t="s">
        <v>195</v>
      </c>
      <c r="D45" t="s">
        <v>284</v>
      </c>
      <c r="E45" t="s">
        <v>49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196</v>
      </c>
      <c r="B46" t="s">
        <v>283</v>
      </c>
      <c r="C46" t="s">
        <v>197</v>
      </c>
      <c r="D46" t="s">
        <v>284</v>
      </c>
      <c r="E46" t="s">
        <v>49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198</v>
      </c>
      <c r="B47" t="s">
        <v>283</v>
      </c>
      <c r="C47" t="s">
        <v>199</v>
      </c>
      <c r="D47" t="s">
        <v>284</v>
      </c>
      <c r="E47" t="s">
        <v>49</v>
      </c>
      <c r="F47" t="n">
        <v>0.018858815763316</v>
      </c>
      <c r="G47" t="n">
        <v>0.123474294826128</v>
      </c>
      <c r="H47" t="n">
        <v>0.111139561791423</v>
      </c>
      <c r="I47" t="n">
        <v>0.106643665453207</v>
      </c>
      <c r="J47" t="n">
        <v>0.0869888084547663</v>
      </c>
      <c r="K47" t="n">
        <v>0.103390539803094</v>
      </c>
      <c r="L47" t="n">
        <v>0.218455439427228</v>
      </c>
      <c r="M47" t="n">
        <v>0.0156277871954921</v>
      </c>
      <c r="N47" t="n">
        <v>0.0252791482723488</v>
      </c>
      <c r="O47" t="n">
        <v>0.0224420048605255</v>
      </c>
      <c r="P47" t="n">
        <v>0.0104121988296762</v>
      </c>
      <c r="Q47" t="n">
        <v>-0.0151176301487905</v>
      </c>
      <c r="R47" t="n">
        <v>-0.0446815820637142</v>
      </c>
      <c r="S47" t="n">
        <v>-0.0203339687047556</v>
      </c>
      <c r="T47" t="n">
        <v>-0.0665130745444304</v>
      </c>
      <c r="U47" t="n">
        <v>0.0358713570673375</v>
      </c>
      <c r="V47" t="n">
        <v>-0.0166415562377336</v>
      </c>
      <c r="W47" t="n">
        <v>-0.122647172163057</v>
      </c>
      <c r="X47" t="n">
        <v>-0.142862542658562</v>
      </c>
      <c r="Y47" t="n">
        <v>0.0503448424223719</v>
      </c>
      <c r="Z47" t="n">
        <v>0.161988440688496</v>
      </c>
      <c r="AA47" t="n">
        <v>0.195917074399211</v>
      </c>
      <c r="AB47" t="n">
        <v>0.159319663837445</v>
      </c>
      <c r="AC47" t="n">
        <v>-0.0829470013138554</v>
      </c>
      <c r="AD47" t="n">
        <v>0</v>
      </c>
      <c r="AE47" t="n">
        <v>-0.0345253412185693</v>
      </c>
      <c r="AF47" t="n">
        <v>0</v>
      </c>
    </row>
    <row r="48">
      <c r="A48" t="s">
        <v>200</v>
      </c>
      <c r="B48" t="s">
        <v>283</v>
      </c>
      <c r="C48" t="s">
        <v>201</v>
      </c>
      <c r="D48" t="s">
        <v>284</v>
      </c>
      <c r="E48" t="s">
        <v>49</v>
      </c>
      <c r="F48" t="n">
        <v>-0.0498893128404285</v>
      </c>
      <c r="G48" t="n">
        <v>0.100750369249592</v>
      </c>
      <c r="H48" t="n">
        <v>0.0459604604175227</v>
      </c>
      <c r="I48" t="n">
        <v>0.0262819663285416</v>
      </c>
      <c r="J48" t="n">
        <v>0.131035143775367</v>
      </c>
      <c r="K48" t="n">
        <v>0.0178524585646242</v>
      </c>
      <c r="L48" t="n">
        <v>0.175288773455765</v>
      </c>
      <c r="M48" t="n">
        <v>0.0424073363309913</v>
      </c>
      <c r="N48" t="n">
        <v>-0.111723176294919</v>
      </c>
      <c r="O48" t="n">
        <v>-0.137289991131567</v>
      </c>
      <c r="P48" t="n">
        <v>-0.0124112163758822</v>
      </c>
      <c r="Q48" t="n">
        <v>-0.0833559986435199</v>
      </c>
      <c r="R48" t="n">
        <v>0.0549481238617174</v>
      </c>
      <c r="S48" t="n">
        <v>-0.0113714759910785</v>
      </c>
      <c r="T48" t="n">
        <v>-0.0966790209829503</v>
      </c>
      <c r="U48" t="n">
        <v>-0.0884699315269406</v>
      </c>
      <c r="V48" t="n">
        <v>-0.0494744628907103</v>
      </c>
      <c r="W48" t="n">
        <v>-0.066665502473765</v>
      </c>
      <c r="X48" t="n">
        <v>-0.037885234348315</v>
      </c>
      <c r="Y48" t="n">
        <v>-0.00652350406449691</v>
      </c>
      <c r="Z48" t="n">
        <v>0.0379838492682619</v>
      </c>
      <c r="AA48" t="n">
        <v>0.0191737056322386</v>
      </c>
      <c r="AB48" t="n">
        <v>-0.0484399269591973</v>
      </c>
      <c r="AC48" t="n">
        <v>-0.0101188319866978</v>
      </c>
      <c r="AD48" t="n">
        <v>0</v>
      </c>
      <c r="AE48" t="n">
        <v>0.061493906514624</v>
      </c>
      <c r="AF48" t="n">
        <v>0</v>
      </c>
    </row>
    <row r="49">
      <c r="A49" t="s">
        <v>202</v>
      </c>
      <c r="B49" t="s">
        <v>283</v>
      </c>
      <c r="C49" t="s">
        <v>203</v>
      </c>
      <c r="D49" t="s">
        <v>284</v>
      </c>
      <c r="E49" t="s">
        <v>49</v>
      </c>
      <c r="F49" t="n">
        <v>0.169649519513058</v>
      </c>
      <c r="G49" t="n">
        <v>0.451339728137343</v>
      </c>
      <c r="H49" t="n">
        <v>0.0108940181007576</v>
      </c>
      <c r="I49" t="n">
        <v>0.00962578703266784</v>
      </c>
      <c r="J49" t="n">
        <v>0.33246677681542</v>
      </c>
      <c r="K49" t="n">
        <v>0.340825290320424</v>
      </c>
      <c r="L49" t="n">
        <v>0.470380715756724</v>
      </c>
      <c r="M49" t="n">
        <v>0.417931924743435</v>
      </c>
      <c r="N49" t="n">
        <v>-0.378667081986728</v>
      </c>
      <c r="O49" t="n">
        <v>-0.411820655663857</v>
      </c>
      <c r="P49" t="n">
        <v>0.18752594284618</v>
      </c>
      <c r="Q49" t="n">
        <v>0.0146152354428056</v>
      </c>
      <c r="R49" t="n">
        <v>0.486556517640922</v>
      </c>
      <c r="S49" t="n">
        <v>-0.0344495279690556</v>
      </c>
      <c r="T49" t="n">
        <v>-0.107969330732089</v>
      </c>
      <c r="U49" t="n">
        <v>-0.145341342182847</v>
      </c>
      <c r="V49" t="n">
        <v>0.0658481259727102</v>
      </c>
      <c r="W49" t="n">
        <v>0.245455975809252</v>
      </c>
      <c r="X49" t="n">
        <v>0.314975609144611</v>
      </c>
      <c r="Y49" t="n">
        <v>-0.0114757138500114</v>
      </c>
      <c r="Z49" t="n">
        <v>-0.263887013614717</v>
      </c>
      <c r="AA49" t="n">
        <v>-0.276525699181665</v>
      </c>
      <c r="AB49" t="n">
        <v>-0.282966105220382</v>
      </c>
      <c r="AC49" t="n">
        <v>0.0875631408622002</v>
      </c>
      <c r="AD49" t="n">
        <v>0</v>
      </c>
      <c r="AE49" t="n">
        <v>0.431023179785087</v>
      </c>
      <c r="AF49" t="n">
        <v>0</v>
      </c>
    </row>
    <row r="50">
      <c r="A50" t="s">
        <v>204</v>
      </c>
      <c r="B50" t="s">
        <v>283</v>
      </c>
      <c r="C50" t="s">
        <v>205</v>
      </c>
      <c r="D50" t="s">
        <v>284</v>
      </c>
      <c r="E50" t="s">
        <v>49</v>
      </c>
      <c r="F50" t="n">
        <v>-0.177616266736836</v>
      </c>
      <c r="G50" t="n">
        <v>-0.0948817727880712</v>
      </c>
      <c r="H50" t="n">
        <v>-0.0235244239749763</v>
      </c>
      <c r="I50" t="n">
        <v>-0.00458246581735653</v>
      </c>
      <c r="J50" t="n">
        <v>0.119335313964247</v>
      </c>
      <c r="K50" t="n">
        <v>-0.0360339580301828</v>
      </c>
      <c r="L50" t="n">
        <v>0.0586892956918132</v>
      </c>
      <c r="M50" t="n">
        <v>0.0446779692154278</v>
      </c>
      <c r="N50" t="n">
        <v>-0.0562269353304346</v>
      </c>
      <c r="O50" t="n">
        <v>-0.105175428867029</v>
      </c>
      <c r="P50" t="n">
        <v>-0.0376492319223646</v>
      </c>
      <c r="Q50" t="n">
        <v>-0.104090010039356</v>
      </c>
      <c r="R50" t="n">
        <v>-0.0171803470373634</v>
      </c>
      <c r="S50" t="n">
        <v>-0.0593880167567139</v>
      </c>
      <c r="T50" t="n">
        <v>-0.0966632081221755</v>
      </c>
      <c r="U50" t="n">
        <v>-0.114186421208072</v>
      </c>
      <c r="V50" t="n">
        <v>-0.0501954040333482</v>
      </c>
      <c r="W50" t="n">
        <v>0.00763362456156762</v>
      </c>
      <c r="X50" t="n">
        <v>0.0402158430794576</v>
      </c>
      <c r="Y50" t="n">
        <v>0.00239239922166618</v>
      </c>
      <c r="Z50" t="n">
        <v>0.0721603559734412</v>
      </c>
      <c r="AA50" t="n">
        <v>0.0285485756790178</v>
      </c>
      <c r="AB50" t="n">
        <v>-0.0171515325018218</v>
      </c>
      <c r="AC50" t="n">
        <v>-0.0177988237146705</v>
      </c>
      <c r="AD50" t="n">
        <v>0</v>
      </c>
      <c r="AE50" t="n">
        <v>-0.015251488544108</v>
      </c>
      <c r="AF50" t="n">
        <v>0</v>
      </c>
    </row>
    <row r="51">
      <c r="A51" t="s">
        <v>206</v>
      </c>
      <c r="B51" t="s">
        <v>283</v>
      </c>
      <c r="C51" t="s">
        <v>207</v>
      </c>
      <c r="D51" t="s">
        <v>284</v>
      </c>
      <c r="E51" t="s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208</v>
      </c>
      <c r="B52" t="s">
        <v>283</v>
      </c>
      <c r="C52" t="s">
        <v>209</v>
      </c>
      <c r="D52" t="s">
        <v>284</v>
      </c>
      <c r="E52" t="s">
        <v>49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210</v>
      </c>
      <c r="B53" t="s">
        <v>283</v>
      </c>
      <c r="C53" t="s">
        <v>211</v>
      </c>
      <c r="D53" t="s">
        <v>284</v>
      </c>
      <c r="E53" t="s">
        <v>49</v>
      </c>
      <c r="F53" t="n">
        <v>-0.561296511243899</v>
      </c>
      <c r="G53" t="n">
        <v>0.121633839841563</v>
      </c>
      <c r="H53" t="n">
        <v>0.363382712765713</v>
      </c>
      <c r="I53" t="n">
        <v>0.39656673770716</v>
      </c>
      <c r="J53" t="n">
        <v>0.316535367658594</v>
      </c>
      <c r="K53" t="n">
        <v>0.226709781501299</v>
      </c>
      <c r="L53" t="n">
        <v>0.396140214961255</v>
      </c>
      <c r="M53" t="n">
        <v>0.220978364193966</v>
      </c>
      <c r="N53" t="n">
        <v>0.272965706346685</v>
      </c>
      <c r="O53" t="n">
        <v>0.2278331343211</v>
      </c>
      <c r="P53" t="n">
        <v>0.425418902151628</v>
      </c>
      <c r="Q53" t="n">
        <v>0.0615665602471739</v>
      </c>
      <c r="R53" t="n">
        <v>0.294491431305823</v>
      </c>
      <c r="S53" t="n">
        <v>0.023222187008668</v>
      </c>
      <c r="T53" t="n">
        <v>-0.125177729262528</v>
      </c>
      <c r="U53" t="n">
        <v>-0.124320247182064</v>
      </c>
      <c r="V53" t="n">
        <v>0.0293845174011882</v>
      </c>
      <c r="W53" t="n">
        <v>-0.0514428060431612</v>
      </c>
      <c r="X53" t="n">
        <v>0.190359602096077</v>
      </c>
      <c r="Y53" t="n">
        <v>0.0528495189267245</v>
      </c>
      <c r="Z53" t="n">
        <v>0.216162531145876</v>
      </c>
      <c r="AA53" t="n">
        <v>-0.0320580530794628</v>
      </c>
      <c r="AB53" t="n">
        <v>-0.121153212344346</v>
      </c>
      <c r="AC53" t="n">
        <v>0.0766430164728978</v>
      </c>
      <c r="AD53" t="n">
        <v>0</v>
      </c>
      <c r="AE53" t="n">
        <v>0.534300645268271</v>
      </c>
      <c r="AF53" t="n">
        <v>0</v>
      </c>
    </row>
    <row r="54">
      <c r="A54" t="s">
        <v>212</v>
      </c>
      <c r="B54" t="s">
        <v>283</v>
      </c>
      <c r="C54" t="s">
        <v>213</v>
      </c>
      <c r="D54" t="s">
        <v>284</v>
      </c>
      <c r="E54" t="s">
        <v>49</v>
      </c>
      <c r="F54" t="n">
        <v>-0.164547619407441</v>
      </c>
      <c r="G54" t="n">
        <v>0.0740383793997005</v>
      </c>
      <c r="H54" t="n">
        <v>0.132066335557568</v>
      </c>
      <c r="I54" t="n">
        <v>0.147658555281096</v>
      </c>
      <c r="J54" t="n">
        <v>0.159437415587262</v>
      </c>
      <c r="K54" t="n">
        <v>0.0735671198920871</v>
      </c>
      <c r="L54" t="n">
        <v>0.0952627556910968</v>
      </c>
      <c r="M54" t="n">
        <v>0.106180581970157</v>
      </c>
      <c r="N54" t="n">
        <v>0.0957881126382013</v>
      </c>
      <c r="O54" t="n">
        <v>0.0782528087543783</v>
      </c>
      <c r="P54" t="n">
        <v>0.0881886706602985</v>
      </c>
      <c r="Q54" t="n">
        <v>-0.0305285439675155</v>
      </c>
      <c r="R54" t="n">
        <v>0.139535100795306</v>
      </c>
      <c r="S54" t="n">
        <v>0.0626516192284989</v>
      </c>
      <c r="T54" t="n">
        <v>0.000322331504899675</v>
      </c>
      <c r="U54" t="n">
        <v>-0.0488308662454287</v>
      </c>
      <c r="V54" t="n">
        <v>0.00595284928882199</v>
      </c>
      <c r="W54" t="n">
        <v>0.0144595447560878</v>
      </c>
      <c r="X54" t="n">
        <v>0.0607193520238207</v>
      </c>
      <c r="Y54" t="n">
        <v>0.0297494897858806</v>
      </c>
      <c r="Z54" t="n">
        <v>0.120677288074277</v>
      </c>
      <c r="AA54" t="n">
        <v>0.0606695770232418</v>
      </c>
      <c r="AB54" t="n">
        <v>-0.0111273402211284</v>
      </c>
      <c r="AC54" t="n">
        <v>0.0596527474511813</v>
      </c>
      <c r="AD54" t="n">
        <v>0</v>
      </c>
      <c r="AE54" t="n">
        <v>0.228749292528717</v>
      </c>
      <c r="AF54" t="n">
        <v>0</v>
      </c>
    </row>
    <row r="55">
      <c r="A55" t="s">
        <v>214</v>
      </c>
      <c r="B55" t="s">
        <v>283</v>
      </c>
      <c r="C55" t="s">
        <v>215</v>
      </c>
      <c r="D55" t="s">
        <v>284</v>
      </c>
      <c r="E55" t="s">
        <v>49</v>
      </c>
      <c r="F55" t="n">
        <v>-0.00103064811052612</v>
      </c>
      <c r="G55" t="n">
        <v>0.00420786510077233</v>
      </c>
      <c r="H55" t="n">
        <v>0.0254936420094327</v>
      </c>
      <c r="I55" t="n">
        <v>0.0482266454589286</v>
      </c>
      <c r="J55" t="n">
        <v>0.0563315632416746</v>
      </c>
      <c r="K55" t="n">
        <v>0.022759826961543</v>
      </c>
      <c r="L55" t="n">
        <v>0.00212391860382601</v>
      </c>
      <c r="M55" t="n">
        <v>0.0202897259910018</v>
      </c>
      <c r="N55" t="n">
        <v>0.016982493262736</v>
      </c>
      <c r="O55" t="n">
        <v>0.0133855701326725</v>
      </c>
      <c r="P55" t="n">
        <v>0.0357780554904394</v>
      </c>
      <c r="Q55" t="n">
        <v>-0.0123980792218556</v>
      </c>
      <c r="R55" t="n">
        <v>0.0546406219793312</v>
      </c>
      <c r="S55" t="n">
        <v>0.0295088914115668</v>
      </c>
      <c r="T55" t="n">
        <v>0.00522479136780028</v>
      </c>
      <c r="U55" t="n">
        <v>-0.000220681250241563</v>
      </c>
      <c r="V55" t="n">
        <v>0.0319107719261435</v>
      </c>
      <c r="W55" t="n">
        <v>0.0459793016231788</v>
      </c>
      <c r="X55" t="n">
        <v>0.0225946623871519</v>
      </c>
      <c r="Y55" t="n">
        <v>0.0137018161185558</v>
      </c>
      <c r="Z55" t="n">
        <v>0.0513998540735438</v>
      </c>
      <c r="AA55" t="n">
        <v>0.0178919261681566</v>
      </c>
      <c r="AB55" t="n">
        <v>0.000234829250543251</v>
      </c>
      <c r="AC55" t="n">
        <v>0.0363152119107891</v>
      </c>
      <c r="AD55" t="n">
        <v>0</v>
      </c>
      <c r="AE55" t="n">
        <v>0.11620639066054</v>
      </c>
      <c r="AF55" t="n">
        <v>0</v>
      </c>
    </row>
    <row r="56">
      <c r="A56" t="s">
        <v>216</v>
      </c>
      <c r="B56" t="s">
        <v>283</v>
      </c>
      <c r="C56" t="s">
        <v>217</v>
      </c>
      <c r="D56" t="s">
        <v>284</v>
      </c>
      <c r="E56" t="s">
        <v>49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218</v>
      </c>
      <c r="B57" t="s">
        <v>283</v>
      </c>
      <c r="C57" t="s">
        <v>219</v>
      </c>
      <c r="D57" t="s">
        <v>284</v>
      </c>
      <c r="E57" t="s">
        <v>49</v>
      </c>
      <c r="F57" t="n">
        <v>0.0263868654852355</v>
      </c>
      <c r="G57" t="n">
        <v>0.145221279284482</v>
      </c>
      <c r="H57" t="n">
        <v>0.232702390323206</v>
      </c>
      <c r="I57" t="n">
        <v>0.288294272236854</v>
      </c>
      <c r="J57" t="n">
        <v>0.250117696702633</v>
      </c>
      <c r="K57" t="n">
        <v>0.157656834973765</v>
      </c>
      <c r="L57" t="n">
        <v>0.391068316452845</v>
      </c>
      <c r="M57" t="n">
        <v>0.367840472632364</v>
      </c>
      <c r="N57" t="n">
        <v>0.202486852881094</v>
      </c>
      <c r="O57" t="n">
        <v>0.0820554068825637</v>
      </c>
      <c r="P57" t="n">
        <v>0.201265011033131</v>
      </c>
      <c r="Q57" t="n">
        <v>0.0403117049685694</v>
      </c>
      <c r="R57" t="n">
        <v>0.192645313875973</v>
      </c>
      <c r="S57" t="n">
        <v>0.225235533941249</v>
      </c>
      <c r="T57" t="n">
        <v>0.305608594172043</v>
      </c>
      <c r="U57" t="n">
        <v>-0.0774193480183765</v>
      </c>
      <c r="V57" t="n">
        <v>0.00981234049396809</v>
      </c>
      <c r="W57" t="n">
        <v>-0.0385412403237214</v>
      </c>
      <c r="X57" t="n">
        <v>0.155308742407915</v>
      </c>
      <c r="Y57" t="n">
        <v>0.0744734229426286</v>
      </c>
      <c r="Z57" t="n">
        <v>0.0965479436878243</v>
      </c>
      <c r="AA57" t="n">
        <v>0.0232334812175703</v>
      </c>
      <c r="AB57" t="n">
        <v>-0.0659132951376306</v>
      </c>
      <c r="AC57" t="n">
        <v>0.0510682505240534</v>
      </c>
      <c r="AD57" t="n">
        <v>0</v>
      </c>
      <c r="AE57" t="n">
        <v>0.328488763858049</v>
      </c>
      <c r="AF57" t="n">
        <v>0</v>
      </c>
    </row>
    <row r="58">
      <c r="A58" t="s">
        <v>220</v>
      </c>
      <c r="B58" t="s">
        <v>283</v>
      </c>
      <c r="C58" t="s">
        <v>221</v>
      </c>
      <c r="D58" t="s">
        <v>284</v>
      </c>
      <c r="E58" t="s">
        <v>49</v>
      </c>
      <c r="F58" t="n">
        <v>0.0263959057361001</v>
      </c>
      <c r="G58" t="n">
        <v>0.14523006398801</v>
      </c>
      <c r="H58" t="n">
        <v>0.232725437295303</v>
      </c>
      <c r="I58" t="n">
        <v>0.288332749611833</v>
      </c>
      <c r="J58" t="n">
        <v>0.250124218913786</v>
      </c>
      <c r="K58" t="n">
        <v>0.157643250840357</v>
      </c>
      <c r="L58" t="n">
        <v>0.391101321447689</v>
      </c>
      <c r="M58" t="n">
        <v>0.367812918563551</v>
      </c>
      <c r="N58" t="n">
        <v>0.202456865483296</v>
      </c>
      <c r="O58" t="n">
        <v>0.0819901391103357</v>
      </c>
      <c r="P58" t="n">
        <v>0.201302941220964</v>
      </c>
      <c r="Q58" t="n">
        <v>0.0403343159242121</v>
      </c>
      <c r="R58" t="n">
        <v>0.192627604170689</v>
      </c>
      <c r="S58" t="n">
        <v>0.225254800361575</v>
      </c>
      <c r="T58" t="n">
        <v>0.305673912736279</v>
      </c>
      <c r="U58" t="n">
        <v>-0.0774047167667573</v>
      </c>
      <c r="V58" t="n">
        <v>0.0098323786046976</v>
      </c>
      <c r="W58" t="n">
        <v>-0.0385407877505381</v>
      </c>
      <c r="X58" t="n">
        <v>0.155379588370699</v>
      </c>
      <c r="Y58" t="n">
        <v>0.0745241928053183</v>
      </c>
      <c r="Z58" t="n">
        <v>0.0964747461283849</v>
      </c>
      <c r="AA58" t="n">
        <v>0.0231552797842056</v>
      </c>
      <c r="AB58" t="n">
        <v>-0.0659313364397819</v>
      </c>
      <c r="AC58" t="n">
        <v>0.0510838446431644</v>
      </c>
      <c r="AD58" t="n">
        <v>0</v>
      </c>
      <c r="AE58" t="n">
        <v>0.328531989214684</v>
      </c>
      <c r="AF58" t="n">
        <v>0</v>
      </c>
    </row>
    <row r="59">
      <c r="A59" t="s">
        <v>222</v>
      </c>
      <c r="B59" t="s">
        <v>283</v>
      </c>
      <c r="C59" t="s">
        <v>223</v>
      </c>
      <c r="D59" t="s">
        <v>284</v>
      </c>
      <c r="E59" t="s">
        <v>49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283</v>
      </c>
      <c r="C2" t="s">
        <v>108</v>
      </c>
      <c r="D2" t="s">
        <v>284</v>
      </c>
      <c r="E2" t="s">
        <v>51</v>
      </c>
      <c r="F2" t="n">
        <v>-5.67918853785812</v>
      </c>
      <c r="G2" t="n">
        <v>8.7272453552484</v>
      </c>
      <c r="H2" t="n">
        <v>1.45566311578054</v>
      </c>
      <c r="I2" t="n">
        <v>3.98029990683164</v>
      </c>
      <c r="J2" t="n">
        <v>2.43607597009914</v>
      </c>
      <c r="K2" t="n">
        <v>10.6031401061296</v>
      </c>
      <c r="L2" t="n">
        <v>-3.75486691747378</v>
      </c>
      <c r="M2" t="n">
        <v>11.1280823028882</v>
      </c>
      <c r="N2" t="n">
        <v>-6.69125485355931</v>
      </c>
      <c r="O2" t="n">
        <v>-7.64941451272435</v>
      </c>
      <c r="P2" t="n">
        <v>2.49379103494204</v>
      </c>
      <c r="Q2" t="n">
        <v>3.94333408261236</v>
      </c>
      <c r="R2" t="n">
        <v>9.21726671099819</v>
      </c>
      <c r="S2" t="n">
        <v>11.1046776779912</v>
      </c>
      <c r="T2" t="n">
        <v>-3.81495776795157</v>
      </c>
      <c r="U2" t="n">
        <v>-0.457124312390717</v>
      </c>
      <c r="V2" t="n">
        <v>4.47074952044256</v>
      </c>
      <c r="W2" t="n">
        <v>2.16880618657785</v>
      </c>
      <c r="X2" t="n">
        <v>1.74700891758674</v>
      </c>
      <c r="Y2" t="n">
        <v>-3.72962048782866</v>
      </c>
      <c r="Z2" t="n">
        <v>-3.29174458636008</v>
      </c>
      <c r="AA2" t="n">
        <v>-3.96799840688154</v>
      </c>
      <c r="AB2" t="n">
        <v>-0.977070942240666</v>
      </c>
      <c r="AC2" t="n">
        <v>-6.39607668833871</v>
      </c>
      <c r="AD2" t="n">
        <v>7.81962075201123</v>
      </c>
      <c r="AE2" t="n">
        <v>-2.2044303126792</v>
      </c>
      <c r="AF2"/>
    </row>
    <row r="3">
      <c r="A3" t="s">
        <v>110</v>
      </c>
      <c r="B3" t="s">
        <v>283</v>
      </c>
      <c r="C3" t="s">
        <v>111</v>
      </c>
      <c r="D3" t="s">
        <v>284</v>
      </c>
      <c r="E3" t="s">
        <v>51</v>
      </c>
      <c r="F3" t="n">
        <v>-3.88721796205413</v>
      </c>
      <c r="G3" t="n">
        <v>8.0152017247458</v>
      </c>
      <c r="H3" t="n">
        <v>-8.82306359502026</v>
      </c>
      <c r="I3" t="n">
        <v>2.05808999674003</v>
      </c>
      <c r="J3" t="n">
        <v>2.2501972133046</v>
      </c>
      <c r="K3" t="n">
        <v>12.2310759170654</v>
      </c>
      <c r="L3" t="n">
        <v>8.04679627293564</v>
      </c>
      <c r="M3" t="n">
        <v>1.84121254821605</v>
      </c>
      <c r="N3" t="n">
        <v>-0.287694707893326</v>
      </c>
      <c r="O3" t="n">
        <v>-3.06997341799341</v>
      </c>
      <c r="P3" t="n">
        <v>4.34194991385662</v>
      </c>
      <c r="Q3" t="n">
        <v>-2.03830220723325</v>
      </c>
      <c r="R3" t="n">
        <v>-9.40684304355482</v>
      </c>
      <c r="S3" t="n">
        <v>-1.32348965590709</v>
      </c>
      <c r="T3" t="n">
        <v>-66.8157460567647</v>
      </c>
      <c r="U3" t="n">
        <v>7.30871807099922</v>
      </c>
      <c r="V3" t="n">
        <v>10.3220910093863</v>
      </c>
      <c r="W3" t="n">
        <v>-7.94075579127742</v>
      </c>
      <c r="X3" t="n">
        <v>11.8866560037153</v>
      </c>
      <c r="Y3" t="n">
        <v>-14.2653033855803</v>
      </c>
      <c r="Z3" t="n">
        <v>-4.6791631752223</v>
      </c>
      <c r="AA3" t="n">
        <v>3.77635434861023</v>
      </c>
      <c r="AB3" t="n">
        <v>-5.08780941963603</v>
      </c>
      <c r="AC3" t="n">
        <v>11.5753125882382</v>
      </c>
      <c r="AD3" t="n">
        <v>-4.56934638758196</v>
      </c>
      <c r="AE3" t="n">
        <v>-0.573121126581595</v>
      </c>
      <c r="AF3"/>
    </row>
    <row r="4">
      <c r="A4" t="s">
        <v>112</v>
      </c>
      <c r="B4" t="s">
        <v>283</v>
      </c>
      <c r="C4" t="s">
        <v>113</v>
      </c>
      <c r="D4" t="s">
        <v>284</v>
      </c>
      <c r="E4" t="s">
        <v>51</v>
      </c>
      <c r="F4" t="n">
        <v>4.52204483652294</v>
      </c>
      <c r="G4" t="n">
        <v>2.67305571300726</v>
      </c>
      <c r="H4" t="n">
        <v>1.49427211970395</v>
      </c>
      <c r="I4" t="n">
        <v>-2.07513874791165</v>
      </c>
      <c r="J4" t="n">
        <v>-0.0590391632898326</v>
      </c>
      <c r="K4" t="n">
        <v>3.6994511298389</v>
      </c>
      <c r="L4" t="n">
        <v>-3.9197714714191</v>
      </c>
      <c r="M4" t="n">
        <v>1.23555519154132</v>
      </c>
      <c r="N4" t="n">
        <v>5.0395384587031</v>
      </c>
      <c r="O4" t="n">
        <v>5.4086030121585</v>
      </c>
      <c r="P4" t="n">
        <v>3.65340972523105</v>
      </c>
      <c r="Q4" t="n">
        <v>0.529723734172139</v>
      </c>
      <c r="R4" t="n">
        <v>3.14379126403138</v>
      </c>
      <c r="S4" t="n">
        <v>0.488641676448638</v>
      </c>
      <c r="T4" t="n">
        <v>-11.7208800269357</v>
      </c>
      <c r="U4" t="n">
        <v>13.6516912111924</v>
      </c>
      <c r="V4" t="n">
        <v>-2.34822987520586</v>
      </c>
      <c r="W4" t="n">
        <v>1.54645157084956</v>
      </c>
      <c r="X4" t="n">
        <v>1.87639015016175</v>
      </c>
      <c r="Y4" t="n">
        <v>2.20960478183982</v>
      </c>
      <c r="Z4" t="n">
        <v>2.15731257156219</v>
      </c>
      <c r="AA4" t="n">
        <v>-0.970161005769479</v>
      </c>
      <c r="AB4" t="n">
        <v>2.39466033727735</v>
      </c>
      <c r="AC4" t="n">
        <v>2.53150650620525</v>
      </c>
      <c r="AD4" t="n">
        <v>-0.875805366262191</v>
      </c>
      <c r="AE4" t="n">
        <v>-1.77838813159523</v>
      </c>
      <c r="AF4"/>
    </row>
    <row r="5">
      <c r="A5" t="s">
        <v>114</v>
      </c>
      <c r="B5" t="s">
        <v>283</v>
      </c>
      <c r="C5" t="s">
        <v>115</v>
      </c>
      <c r="D5" t="s">
        <v>284</v>
      </c>
      <c r="E5" t="s">
        <v>51</v>
      </c>
      <c r="F5" t="n">
        <v>4.15025464714698</v>
      </c>
      <c r="G5" t="n">
        <v>0.195885311480112</v>
      </c>
      <c r="H5" t="n">
        <v>-0.28085854357922</v>
      </c>
      <c r="I5" t="n">
        <v>0.929739688888068</v>
      </c>
      <c r="J5" t="n">
        <v>-1.64125966451453</v>
      </c>
      <c r="K5" t="n">
        <v>-2.82655191110281</v>
      </c>
      <c r="L5" t="n">
        <v>0.390482873978726</v>
      </c>
      <c r="M5" t="n">
        <v>-2.12591802765178</v>
      </c>
      <c r="N5" t="n">
        <v>1.45096146858507</v>
      </c>
      <c r="O5" t="n">
        <v>-0.164108336557549</v>
      </c>
      <c r="P5" t="n">
        <v>-3.52761527634027</v>
      </c>
      <c r="Q5" t="n">
        <v>-2.12180306306682</v>
      </c>
      <c r="R5" t="n">
        <v>2.21401144949064</v>
      </c>
      <c r="S5" t="n">
        <v>-4.27158739593034</v>
      </c>
      <c r="T5" t="n">
        <v>-4.8670516013584</v>
      </c>
      <c r="U5" t="n">
        <v>1.34942741452018</v>
      </c>
      <c r="V5" t="n">
        <v>-2.90876052468468</v>
      </c>
      <c r="W5" t="n">
        <v>-2.50361290766758</v>
      </c>
      <c r="X5" t="n">
        <v>2.72546299998854</v>
      </c>
      <c r="Y5" t="n">
        <v>1.00097958579026</v>
      </c>
      <c r="Z5" t="n">
        <v>4.62189089495479</v>
      </c>
      <c r="AA5" t="n">
        <v>1.28751095202105</v>
      </c>
      <c r="AB5" t="n">
        <v>-0.755158421923445</v>
      </c>
      <c r="AC5" t="n">
        <v>0.310961968836124</v>
      </c>
      <c r="AD5" t="n">
        <v>0.65683776823965</v>
      </c>
      <c r="AE5" t="n">
        <v>-2.25697001851483</v>
      </c>
      <c r="AF5"/>
    </row>
    <row r="6">
      <c r="A6" t="s">
        <v>116</v>
      </c>
      <c r="B6" t="s">
        <v>283</v>
      </c>
      <c r="C6" t="s">
        <v>117</v>
      </c>
      <c r="D6" t="s">
        <v>284</v>
      </c>
      <c r="E6" t="s">
        <v>51</v>
      </c>
      <c r="F6" t="n">
        <v>2.96076822008731</v>
      </c>
      <c r="G6" t="n">
        <v>-2.52315920777884</v>
      </c>
      <c r="H6" t="n">
        <v>-1.94332472406472</v>
      </c>
      <c r="I6" t="n">
        <v>1.08061061737497</v>
      </c>
      <c r="J6" t="n">
        <v>-10.4691812913394</v>
      </c>
      <c r="K6" t="n">
        <v>-1.16154607316171</v>
      </c>
      <c r="L6" t="n">
        <v>-7.47644683190657</v>
      </c>
      <c r="M6" t="n">
        <v>-2.22613639384177</v>
      </c>
      <c r="N6" t="n">
        <v>2.18038171752808</v>
      </c>
      <c r="O6" t="n">
        <v>1.71229542533818</v>
      </c>
      <c r="P6" t="n">
        <v>-4.412729528779</v>
      </c>
      <c r="Q6" t="n">
        <v>-0.942732339163513</v>
      </c>
      <c r="R6" t="n">
        <v>5.75108979771858</v>
      </c>
      <c r="S6" t="n">
        <v>1.7624521963072</v>
      </c>
      <c r="T6" t="n">
        <v>-12.8646386611783</v>
      </c>
      <c r="U6" t="n">
        <v>-1.61417955675066</v>
      </c>
      <c r="V6" t="n">
        <v>7.08812250479873</v>
      </c>
      <c r="W6" t="n">
        <v>-0.626739030809039</v>
      </c>
      <c r="X6" t="n">
        <v>1.51876513232377</v>
      </c>
      <c r="Y6" t="n">
        <v>4.2572821389871</v>
      </c>
      <c r="Z6" t="n">
        <v>16.8871790593717</v>
      </c>
      <c r="AA6" t="n">
        <v>-19.1030957666929</v>
      </c>
      <c r="AB6" t="n">
        <v>-0.186621462918607</v>
      </c>
      <c r="AC6" t="n">
        <v>10.0655854047641</v>
      </c>
      <c r="AD6" t="n">
        <v>2.95890562191483</v>
      </c>
      <c r="AE6" t="n">
        <v>4.5494780943874</v>
      </c>
      <c r="AF6"/>
    </row>
    <row r="7">
      <c r="A7" t="s">
        <v>118</v>
      </c>
      <c r="B7" t="s">
        <v>283</v>
      </c>
      <c r="C7" t="s">
        <v>119</v>
      </c>
      <c r="D7" t="s">
        <v>284</v>
      </c>
      <c r="E7" t="s">
        <v>51</v>
      </c>
      <c r="F7" t="n">
        <v>4.80283166079543</v>
      </c>
      <c r="G7" t="n">
        <v>-0.556397478718301</v>
      </c>
      <c r="H7" t="n">
        <v>-0.471544081982979</v>
      </c>
      <c r="I7" t="n">
        <v>1.024781033058</v>
      </c>
      <c r="J7" t="n">
        <v>-5.73585177296036</v>
      </c>
      <c r="K7" t="n">
        <v>1.73352462059737</v>
      </c>
      <c r="L7" t="n">
        <v>-3.52715505565731</v>
      </c>
      <c r="M7" t="n">
        <v>-2.5920912094249</v>
      </c>
      <c r="N7" t="n">
        <v>-0.882170567375916</v>
      </c>
      <c r="O7" t="n">
        <v>2.41812715560664</v>
      </c>
      <c r="P7" t="n">
        <v>5.46278689062917</v>
      </c>
      <c r="Q7" t="n">
        <v>-4.61944709926531</v>
      </c>
      <c r="R7" t="n">
        <v>-1.15581877136716</v>
      </c>
      <c r="S7" t="n">
        <v>-0.156445142227535</v>
      </c>
      <c r="T7" t="n">
        <v>-5.81287842150378</v>
      </c>
      <c r="U7" t="n">
        <v>7.07248762611412</v>
      </c>
      <c r="V7" t="n">
        <v>-1.00192753029614</v>
      </c>
      <c r="W7" t="n">
        <v>-5.13391141868146</v>
      </c>
      <c r="X7" t="n">
        <v>8.89521942467636</v>
      </c>
      <c r="Y7" t="n">
        <v>2.38837105140382</v>
      </c>
      <c r="Z7" t="n">
        <v>10.2178281034468</v>
      </c>
      <c r="AA7" t="n">
        <v>-2.15998752501309</v>
      </c>
      <c r="AB7" t="n">
        <v>1.71018512066757</v>
      </c>
      <c r="AC7" t="n">
        <v>1.55486869349799</v>
      </c>
      <c r="AD7" t="n">
        <v>1.03785243554155</v>
      </c>
      <c r="AE7" t="n">
        <v>-4.81144394565334</v>
      </c>
      <c r="AF7"/>
    </row>
    <row r="8">
      <c r="A8" t="s">
        <v>120</v>
      </c>
      <c r="B8" t="s">
        <v>283</v>
      </c>
      <c r="C8" t="s">
        <v>121</v>
      </c>
      <c r="D8" t="s">
        <v>284</v>
      </c>
      <c r="E8" t="s">
        <v>51</v>
      </c>
      <c r="F8" t="n">
        <v>-4.07663757530544</v>
      </c>
      <c r="G8" t="n">
        <v>13.4727338024819</v>
      </c>
      <c r="H8" t="n">
        <v>4.87591825171026</v>
      </c>
      <c r="I8" t="n">
        <v>-12.9720856609054</v>
      </c>
      <c r="J8" t="n">
        <v>-7.09294317052487</v>
      </c>
      <c r="K8" t="n">
        <v>4.5319272368564</v>
      </c>
      <c r="L8" t="n">
        <v>-4.73797830586304</v>
      </c>
      <c r="M8" t="n">
        <v>-9.16609058323698</v>
      </c>
      <c r="N8" t="n">
        <v>-12.4267459435861</v>
      </c>
      <c r="O8" t="n">
        <v>-7.17953056959237</v>
      </c>
      <c r="P8" t="n">
        <v>-3.04968844579264</v>
      </c>
      <c r="Q8" t="n">
        <v>0.970339773743594</v>
      </c>
      <c r="R8" t="n">
        <v>-7.27291451698343</v>
      </c>
      <c r="S8" t="n">
        <v>-3.11140921438392</v>
      </c>
      <c r="T8" t="n">
        <v>6.09075621797876</v>
      </c>
      <c r="U8" t="n">
        <v>3.53091648226513</v>
      </c>
      <c r="V8" t="n">
        <v>-7.21690130540851</v>
      </c>
      <c r="W8" t="n">
        <v>11.4318487513992</v>
      </c>
      <c r="X8" t="n">
        <v>29.6123703384245</v>
      </c>
      <c r="Y8" t="n">
        <v>-13.7631412091632</v>
      </c>
      <c r="Z8" t="n">
        <v>-16.1476046594252</v>
      </c>
      <c r="AA8" t="n">
        <v>-0.0709373862844402</v>
      </c>
      <c r="AB8" t="n">
        <v>2.41685104281288</v>
      </c>
      <c r="AC8" t="n">
        <v>1.29771811565361</v>
      </c>
      <c r="AD8" t="n">
        <v>-1.84406158103069</v>
      </c>
      <c r="AE8" t="n">
        <v>-5.40266243871997</v>
      </c>
      <c r="AF8"/>
    </row>
    <row r="9">
      <c r="A9" t="s">
        <v>122</v>
      </c>
      <c r="B9" t="s">
        <v>283</v>
      </c>
      <c r="C9" t="s">
        <v>123</v>
      </c>
      <c r="D9" t="s">
        <v>284</v>
      </c>
      <c r="E9" t="s">
        <v>51</v>
      </c>
      <c r="F9" t="n">
        <v>-2.58496100179764</v>
      </c>
      <c r="G9" t="n">
        <v>2.59348288033343</v>
      </c>
      <c r="H9" t="n">
        <v>1.90970912718598</v>
      </c>
      <c r="I9" t="n">
        <v>-6.27441987718413</v>
      </c>
      <c r="J9" t="n">
        <v>4.2038165306664</v>
      </c>
      <c r="K9" t="n">
        <v>-9.69870355938277</v>
      </c>
      <c r="L9" t="n">
        <v>-1.97113015775957</v>
      </c>
      <c r="M9" t="n">
        <v>2.29498812171525</v>
      </c>
      <c r="N9" t="n">
        <v>0.271545449608918</v>
      </c>
      <c r="O9" t="n">
        <v>-4.47607992849641</v>
      </c>
      <c r="P9" t="n">
        <v>-2.80271783483956</v>
      </c>
      <c r="Q9" t="n">
        <v>-4.32732402836233</v>
      </c>
      <c r="R9" t="n">
        <v>-0.128563099231875</v>
      </c>
      <c r="S9" t="n">
        <v>-5.65308398916837</v>
      </c>
      <c r="T9" t="n">
        <v>-4.11909517208651</v>
      </c>
      <c r="U9" t="n">
        <v>8.53230453608408</v>
      </c>
      <c r="V9" t="n">
        <v>-5.42786390923685</v>
      </c>
      <c r="W9" t="n">
        <v>5.3062612207529</v>
      </c>
      <c r="X9" t="n">
        <v>5.18506457806697</v>
      </c>
      <c r="Y9" t="n">
        <v>1.046203430174</v>
      </c>
      <c r="Z9" t="n">
        <v>12.1033401933122</v>
      </c>
      <c r="AA9" t="n">
        <v>5.57305842488724</v>
      </c>
      <c r="AB9" t="n">
        <v>-3.42984638549851</v>
      </c>
      <c r="AC9" t="n">
        <v>1.9709331304787</v>
      </c>
      <c r="AD9" t="n">
        <v>8.44400859695354</v>
      </c>
      <c r="AE9" t="n">
        <v>-2.20793136340226</v>
      </c>
      <c r="AF9"/>
    </row>
    <row r="10">
      <c r="A10" t="s">
        <v>124</v>
      </c>
      <c r="B10" t="s">
        <v>283</v>
      </c>
      <c r="C10" t="s">
        <v>125</v>
      </c>
      <c r="D10" t="s">
        <v>284</v>
      </c>
      <c r="E10" t="s">
        <v>51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283</v>
      </c>
      <c r="C11" t="s">
        <v>127</v>
      </c>
      <c r="D11" t="s">
        <v>284</v>
      </c>
      <c r="E11" t="s">
        <v>51</v>
      </c>
      <c r="F11" t="n">
        <v>10.6815820250228</v>
      </c>
      <c r="G11" t="n">
        <v>2.94425887441899</v>
      </c>
      <c r="H11" t="n">
        <v>0.217218480637657</v>
      </c>
      <c r="I11" t="n">
        <v>0.75760167058297</v>
      </c>
      <c r="J11" t="n">
        <v>2.04549632029454</v>
      </c>
      <c r="K11" t="n">
        <v>9.60411992196274</v>
      </c>
      <c r="L11" t="n">
        <v>-3.67153331163603</v>
      </c>
      <c r="M11" t="n">
        <v>4.08279590055667</v>
      </c>
      <c r="N11" t="n">
        <v>6.48557948856592</v>
      </c>
      <c r="O11" t="n">
        <v>1.85594440230433</v>
      </c>
      <c r="P11" t="n">
        <v>-2.75521142717172</v>
      </c>
      <c r="Q11" t="n">
        <v>5.9672797074463</v>
      </c>
      <c r="R11" t="n">
        <v>1.39157757587367</v>
      </c>
      <c r="S11" t="n">
        <v>7.01692957443545</v>
      </c>
      <c r="T11" t="n">
        <v>1.24012316246057</v>
      </c>
      <c r="U11" t="n">
        <v>10.0162605302984</v>
      </c>
      <c r="V11" t="n">
        <v>0.372665236524</v>
      </c>
      <c r="W11" t="n">
        <v>-6.17844526162673</v>
      </c>
      <c r="X11" t="n">
        <v>0.619237844252076</v>
      </c>
      <c r="Y11" t="n">
        <v>-5.13512506652231</v>
      </c>
      <c r="Z11" t="n">
        <v>4.3406052984815</v>
      </c>
      <c r="AA11" t="n">
        <v>6.08185264755135</v>
      </c>
      <c r="AB11" t="n">
        <v>1.31454296849163</v>
      </c>
      <c r="AC11" t="n">
        <v>7.45430470347056</v>
      </c>
      <c r="AD11" t="n">
        <v>-0.182569896791888</v>
      </c>
      <c r="AE11" t="n">
        <v>11.6846943831035</v>
      </c>
      <c r="AF11"/>
    </row>
    <row r="12">
      <c r="A12" t="s">
        <v>128</v>
      </c>
      <c r="B12" t="s">
        <v>283</v>
      </c>
      <c r="C12" t="s">
        <v>129</v>
      </c>
      <c r="D12" t="s">
        <v>284</v>
      </c>
      <c r="E12" t="s">
        <v>51</v>
      </c>
      <c r="F12" t="n">
        <v>0.307981494090481</v>
      </c>
      <c r="G12" t="n">
        <v>-0.802103271892817</v>
      </c>
      <c r="H12" t="n">
        <v>-1.77323554662437</v>
      </c>
      <c r="I12" t="n">
        <v>-4.56766120002662</v>
      </c>
      <c r="J12" t="n">
        <v>-5.19847318329395</v>
      </c>
      <c r="K12" t="n">
        <v>3.71015484260134</v>
      </c>
      <c r="L12" t="n">
        <v>-4.88371315715833</v>
      </c>
      <c r="M12" t="n">
        <v>-0.821183191289122</v>
      </c>
      <c r="N12" t="n">
        <v>4.12935747712211</v>
      </c>
      <c r="O12" t="n">
        <v>9.52453300471821</v>
      </c>
      <c r="P12" t="n">
        <v>0.327344534370326</v>
      </c>
      <c r="Q12" t="n">
        <v>-3.89595323085201</v>
      </c>
      <c r="R12" t="n">
        <v>5.0117947719043</v>
      </c>
      <c r="S12" t="n">
        <v>-0.987405604005752</v>
      </c>
      <c r="T12" t="n">
        <v>-23.699279429329</v>
      </c>
      <c r="U12" t="n">
        <v>13.4886117567543</v>
      </c>
      <c r="V12" t="n">
        <v>3.19380968431943</v>
      </c>
      <c r="W12" t="n">
        <v>-2.77989932280169</v>
      </c>
      <c r="X12" t="n">
        <v>4.80085178396336</v>
      </c>
      <c r="Y12" t="n">
        <v>3.77521996115322</v>
      </c>
      <c r="Z12" t="n">
        <v>3.62209355865571</v>
      </c>
      <c r="AA12" t="n">
        <v>-3.02174378561927</v>
      </c>
      <c r="AB12" t="n">
        <v>6.86505878370247</v>
      </c>
      <c r="AC12" t="n">
        <v>2.38415995272155</v>
      </c>
      <c r="AD12" t="n">
        <v>-1.8153841192263</v>
      </c>
      <c r="AE12" t="n">
        <v>1.97503386436162</v>
      </c>
      <c r="AF12"/>
    </row>
    <row r="13">
      <c r="A13" t="s">
        <v>130</v>
      </c>
      <c r="B13" t="s">
        <v>283</v>
      </c>
      <c r="C13" t="s">
        <v>131</v>
      </c>
      <c r="D13" t="s">
        <v>284</v>
      </c>
      <c r="E13" t="s">
        <v>51</v>
      </c>
      <c r="F13" t="n">
        <v>4.66186997637825</v>
      </c>
      <c r="G13" t="n">
        <v>1.80647287832158</v>
      </c>
      <c r="H13" t="n">
        <v>2.56055451065544</v>
      </c>
      <c r="I13" t="n">
        <v>-4.72229862328074</v>
      </c>
      <c r="J13" t="n">
        <v>2.46999136695907</v>
      </c>
      <c r="K13" t="n">
        <v>4.95570319509467</v>
      </c>
      <c r="L13" t="n">
        <v>-3.81330322464785</v>
      </c>
      <c r="M13" t="n">
        <v>-4.49811083690239</v>
      </c>
      <c r="N13" t="n">
        <v>4.0861194696839</v>
      </c>
      <c r="O13" t="n">
        <v>5.11539162641018</v>
      </c>
      <c r="P13" t="n">
        <v>6.46627142490338</v>
      </c>
      <c r="Q13" t="n">
        <v>0.160650607715031</v>
      </c>
      <c r="R13" t="n">
        <v>0.607058720845672</v>
      </c>
      <c r="S13" t="n">
        <v>-0.871730024454303</v>
      </c>
      <c r="T13" t="n">
        <v>-16.2499545135168</v>
      </c>
      <c r="U13" t="n">
        <v>21.7850832444705</v>
      </c>
      <c r="V13" t="n">
        <v>-14.4406514864245</v>
      </c>
      <c r="W13" t="n">
        <v>5.21866744910575</v>
      </c>
      <c r="X13" t="n">
        <v>4.52140958337461</v>
      </c>
      <c r="Y13" t="n">
        <v>1.04131714530839</v>
      </c>
      <c r="Z13" t="n">
        <v>0.999372353408292</v>
      </c>
      <c r="AA13" t="n">
        <v>-2.58201709103517</v>
      </c>
      <c r="AB13" t="n">
        <v>-0.880923198042869</v>
      </c>
      <c r="AC13" t="n">
        <v>-4.68250098584894</v>
      </c>
      <c r="AD13" t="n">
        <v>-4.21174142330578</v>
      </c>
      <c r="AE13" t="n">
        <v>-4.86596963303063</v>
      </c>
      <c r="AF13"/>
    </row>
    <row r="14">
      <c r="A14" t="s">
        <v>132</v>
      </c>
      <c r="B14" t="s">
        <v>283</v>
      </c>
      <c r="C14" t="s">
        <v>133</v>
      </c>
      <c r="D14" t="s">
        <v>284</v>
      </c>
      <c r="E14" t="s">
        <v>51</v>
      </c>
      <c r="F14" t="n">
        <v>11.589003830956</v>
      </c>
      <c r="G14" t="n">
        <v>13.9112823677205</v>
      </c>
      <c r="H14" t="n">
        <v>9.40355090455105</v>
      </c>
      <c r="I14" t="n">
        <v>-0.665434904038461</v>
      </c>
      <c r="J14" t="n">
        <v>5.74896005226781</v>
      </c>
      <c r="K14" t="n">
        <v>12.9845623823287</v>
      </c>
      <c r="L14" t="n">
        <v>-8.5807563582708</v>
      </c>
      <c r="M14" t="n">
        <v>11.9724548230184</v>
      </c>
      <c r="N14" t="n">
        <v>23.3196911877517</v>
      </c>
      <c r="O14" t="n">
        <v>15.8134636925605</v>
      </c>
      <c r="P14" t="n">
        <v>10.9579462538049</v>
      </c>
      <c r="Q14" t="n">
        <v>7.32177921952532</v>
      </c>
      <c r="R14" t="n">
        <v>11.0819409363321</v>
      </c>
      <c r="S14" t="n">
        <v>5.72436067365764</v>
      </c>
      <c r="T14" t="n">
        <v>-5.84062170932735</v>
      </c>
      <c r="U14" t="n">
        <v>22.9515043779407</v>
      </c>
      <c r="V14" t="n">
        <v>0.564780461189574</v>
      </c>
      <c r="W14" t="n">
        <v>1.95355144745971</v>
      </c>
      <c r="X14" t="n">
        <v>1.59977219168523</v>
      </c>
      <c r="Y14" t="n">
        <v>10.1576469073782</v>
      </c>
      <c r="Z14" t="n">
        <v>5.10018881830788</v>
      </c>
      <c r="AA14" t="n">
        <v>0.956209921264568</v>
      </c>
      <c r="AB14" t="n">
        <v>-2.62328197430345</v>
      </c>
      <c r="AC14" t="n">
        <v>8.21714205123325</v>
      </c>
      <c r="AD14" t="n">
        <v>-3.26676192950913</v>
      </c>
      <c r="AE14" t="n">
        <v>3.4158256653707</v>
      </c>
      <c r="AF14"/>
    </row>
    <row r="15">
      <c r="A15" t="s">
        <v>134</v>
      </c>
      <c r="B15" t="s">
        <v>283</v>
      </c>
      <c r="C15" t="s">
        <v>135</v>
      </c>
      <c r="D15" t="s">
        <v>284</v>
      </c>
      <c r="E15" t="s">
        <v>51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283</v>
      </c>
      <c r="C16" t="s">
        <v>137</v>
      </c>
      <c r="D16" t="s">
        <v>284</v>
      </c>
      <c r="E16" t="s">
        <v>51</v>
      </c>
      <c r="F16" t="n">
        <v>4.41490695676387</v>
      </c>
      <c r="G16" t="n">
        <v>-4.93816481927965</v>
      </c>
      <c r="H16" t="n">
        <v>-1.66586368319315</v>
      </c>
      <c r="I16" t="n">
        <v>-4.37883204673916</v>
      </c>
      <c r="J16" t="n">
        <v>-6.70716103773497</v>
      </c>
      <c r="K16" t="n">
        <v>3.12388792088226</v>
      </c>
      <c r="L16" t="n">
        <v>-8.57916741753706</v>
      </c>
      <c r="M16" t="n">
        <v>-4.43870512393945</v>
      </c>
      <c r="N16" t="n">
        <v>11.5983183330972</v>
      </c>
      <c r="O16" t="n">
        <v>6.42958594965868</v>
      </c>
      <c r="P16" t="n">
        <v>2.91776050118176</v>
      </c>
      <c r="Q16" t="n">
        <v>3.55348702672787</v>
      </c>
      <c r="R16" t="n">
        <v>6.87951462492259</v>
      </c>
      <c r="S16" t="n">
        <v>-2.61822510573047</v>
      </c>
      <c r="T16" t="n">
        <v>-13.2378600410618</v>
      </c>
      <c r="U16" t="n">
        <v>15.6376693874243</v>
      </c>
      <c r="V16" t="n">
        <v>3.51432121560557</v>
      </c>
      <c r="W16" t="n">
        <v>2.51065211839296</v>
      </c>
      <c r="X16" t="n">
        <v>0.709016526454069</v>
      </c>
      <c r="Y16" t="n">
        <v>11.6385843753794</v>
      </c>
      <c r="Z16" t="n">
        <v>-2.16388433877036</v>
      </c>
      <c r="AA16" t="n">
        <v>0.80391085962754</v>
      </c>
      <c r="AB16" t="n">
        <v>12.0729756621623</v>
      </c>
      <c r="AC16" t="n">
        <v>7.55024496203174</v>
      </c>
      <c r="AD16" t="n">
        <v>-1.80635506426096</v>
      </c>
      <c r="AE16" t="n">
        <v>-4.45977926220228</v>
      </c>
      <c r="AF16"/>
    </row>
    <row r="17">
      <c r="A17" t="s">
        <v>138</v>
      </c>
      <c r="B17" t="s">
        <v>283</v>
      </c>
      <c r="C17" t="s">
        <v>139</v>
      </c>
      <c r="D17" t="s">
        <v>284</v>
      </c>
      <c r="E17" t="s">
        <v>51</v>
      </c>
      <c r="F17" t="n">
        <v>5.35064228090347</v>
      </c>
      <c r="G17" t="n">
        <v>2.00772443380757</v>
      </c>
      <c r="H17" t="n">
        <v>1.69054344389072</v>
      </c>
      <c r="I17" t="n">
        <v>-4.87350726693847</v>
      </c>
      <c r="J17" t="n">
        <v>-2.6117962117706</v>
      </c>
      <c r="K17" t="n">
        <v>2.85536016299353</v>
      </c>
      <c r="L17" t="n">
        <v>-5.04205944266639</v>
      </c>
      <c r="M17" t="n">
        <v>-7.35969436735193</v>
      </c>
      <c r="N17" t="n">
        <v>8.77735233656082</v>
      </c>
      <c r="O17" t="n">
        <v>7.9583505449967</v>
      </c>
      <c r="P17" t="n">
        <v>4.78893507973887</v>
      </c>
      <c r="Q17" t="n">
        <v>3.71860507267118</v>
      </c>
      <c r="R17" t="n">
        <v>1.49407592291994</v>
      </c>
      <c r="S17" t="n">
        <v>1.73217104349115</v>
      </c>
      <c r="T17" t="n">
        <v>-23.7026116388786</v>
      </c>
      <c r="U17" t="n">
        <v>12.273521188897</v>
      </c>
      <c r="V17" t="n">
        <v>10.6767646244422</v>
      </c>
      <c r="W17" t="n">
        <v>-2.79302532751807</v>
      </c>
      <c r="X17" t="n">
        <v>-2.46696103026526</v>
      </c>
      <c r="Y17" t="n">
        <v>1.37318331092823</v>
      </c>
      <c r="Z17" t="n">
        <v>3.9530198810886</v>
      </c>
      <c r="AA17" t="n">
        <v>-3.2887813196611</v>
      </c>
      <c r="AB17" t="n">
        <v>7.2704256700665</v>
      </c>
      <c r="AC17" t="n">
        <v>5.3284932770764</v>
      </c>
      <c r="AD17" t="n">
        <v>-1.46627883481114</v>
      </c>
      <c r="AE17" t="n">
        <v>-5.3469594645695</v>
      </c>
      <c r="AF17"/>
    </row>
    <row r="18">
      <c r="A18" t="s">
        <v>140</v>
      </c>
      <c r="B18" t="s">
        <v>283</v>
      </c>
      <c r="C18" t="s">
        <v>141</v>
      </c>
      <c r="D18" t="s">
        <v>284</v>
      </c>
      <c r="E18" t="s">
        <v>51</v>
      </c>
      <c r="F18" t="n">
        <v>5.4139772946355</v>
      </c>
      <c r="G18" t="n">
        <v>-2.52603865196273</v>
      </c>
      <c r="H18" t="n">
        <v>-7.12862575051269</v>
      </c>
      <c r="I18" t="n">
        <v>2.49916924891015</v>
      </c>
      <c r="J18" t="n">
        <v>4.28193795739155</v>
      </c>
      <c r="K18" t="n">
        <v>4.0296280824207</v>
      </c>
      <c r="L18" t="n">
        <v>0.177414594703545</v>
      </c>
      <c r="M18" t="n">
        <v>10.2114403283805</v>
      </c>
      <c r="N18" t="n">
        <v>-4.60345055822469</v>
      </c>
      <c r="O18" t="n">
        <v>4.9157709563694</v>
      </c>
      <c r="P18" t="n">
        <v>7.20540489830096</v>
      </c>
      <c r="Q18" t="n">
        <v>-2.02403845338897</v>
      </c>
      <c r="R18" t="n">
        <v>4.07605186236965</v>
      </c>
      <c r="S18" t="n">
        <v>1.72154610014283</v>
      </c>
      <c r="T18" t="n">
        <v>-18.899980138585</v>
      </c>
      <c r="U18" t="n">
        <v>18.457877446666</v>
      </c>
      <c r="V18" t="n">
        <v>-10.1732751311456</v>
      </c>
      <c r="W18" t="n">
        <v>7.32694336679915</v>
      </c>
      <c r="X18" t="n">
        <v>-14.6801965434442</v>
      </c>
      <c r="Y18" t="n">
        <v>-0.36152418381866</v>
      </c>
      <c r="Z18" t="n">
        <v>-4.36495245998234</v>
      </c>
      <c r="AA18" t="n">
        <v>-3.75853055767718</v>
      </c>
      <c r="AB18" t="n">
        <v>2.95095146200066</v>
      </c>
      <c r="AC18" t="n">
        <v>0.876031329037902</v>
      </c>
      <c r="AD18" t="n">
        <v>-2.2028180192413</v>
      </c>
      <c r="AE18" t="n">
        <v>-5.99735237390481</v>
      </c>
      <c r="AF18"/>
    </row>
    <row r="19">
      <c r="A19" t="s">
        <v>142</v>
      </c>
      <c r="B19" t="s">
        <v>283</v>
      </c>
      <c r="C19" t="s">
        <v>143</v>
      </c>
      <c r="D19" t="s">
        <v>284</v>
      </c>
      <c r="E19" t="s">
        <v>51</v>
      </c>
      <c r="F19" t="n">
        <v>-2.14851383973336</v>
      </c>
      <c r="G19" t="n">
        <v>6.1995028820166</v>
      </c>
      <c r="H19" t="n">
        <v>12.0235932837017</v>
      </c>
      <c r="I19" t="n">
        <v>2.44709407831051</v>
      </c>
      <c r="J19" t="n">
        <v>7.11485210962049</v>
      </c>
      <c r="K19" t="n">
        <v>8.19041840295227</v>
      </c>
      <c r="L19" t="n">
        <v>-2.27479996382693</v>
      </c>
      <c r="M19" t="n">
        <v>6.83134966383239</v>
      </c>
      <c r="N19" t="n">
        <v>2.67081307818951</v>
      </c>
      <c r="O19" t="n">
        <v>4.94170531206358</v>
      </c>
      <c r="P19" t="n">
        <v>4.54921752429316</v>
      </c>
      <c r="Q19" t="n">
        <v>-6.39006453671136</v>
      </c>
      <c r="R19" t="n">
        <v>0.0474760270903868</v>
      </c>
      <c r="S19" t="n">
        <v>0.413634579339394</v>
      </c>
      <c r="T19" t="n">
        <v>-21.6062396297981</v>
      </c>
      <c r="U19" t="n">
        <v>6.97218782020517</v>
      </c>
      <c r="V19" t="n">
        <v>1.87561980037019</v>
      </c>
      <c r="W19" t="n">
        <v>-2.89589158774711</v>
      </c>
      <c r="X19" t="n">
        <v>8.59233684344975</v>
      </c>
      <c r="Y19" t="n">
        <v>6.93716677664192</v>
      </c>
      <c r="Z19" t="n">
        <v>1.52953829264903</v>
      </c>
      <c r="AA19" t="n">
        <v>-10.9337543698367</v>
      </c>
      <c r="AB19" t="n">
        <v>10.2173042656884</v>
      </c>
      <c r="AC19" t="n">
        <v>8.44112152891587</v>
      </c>
      <c r="AD19" t="n">
        <v>4.1871718564985</v>
      </c>
      <c r="AE19" t="n">
        <v>3.75594394971062</v>
      </c>
      <c r="AF19"/>
    </row>
    <row r="20">
      <c r="A20" t="s">
        <v>144</v>
      </c>
      <c r="B20" t="s">
        <v>283</v>
      </c>
      <c r="C20" t="s">
        <v>145</v>
      </c>
      <c r="D20" t="s">
        <v>284</v>
      </c>
      <c r="E20" t="s">
        <v>51</v>
      </c>
      <c r="F20" t="n">
        <v>-2.20418880169265</v>
      </c>
      <c r="G20" t="n">
        <v>7.48192788981938</v>
      </c>
      <c r="H20" t="n">
        <v>1.7708939350962</v>
      </c>
      <c r="I20" t="n">
        <v>0.443622248226831</v>
      </c>
      <c r="J20" t="n">
        <v>-0.0114045612961204</v>
      </c>
      <c r="K20" t="n">
        <v>3.05758669500774</v>
      </c>
      <c r="L20" t="n">
        <v>2.59812359862954</v>
      </c>
      <c r="M20" t="n">
        <v>0.804671655183145</v>
      </c>
      <c r="N20" t="n">
        <v>1.43767370238471</v>
      </c>
      <c r="O20" t="n">
        <v>4.84451353974435</v>
      </c>
      <c r="P20" t="n">
        <v>7.13983961931288</v>
      </c>
      <c r="Q20" t="n">
        <v>0.278936627079179</v>
      </c>
      <c r="R20" t="n">
        <v>-5.98569940882851</v>
      </c>
      <c r="S20" t="n">
        <v>8.97554271574084</v>
      </c>
      <c r="T20" t="n">
        <v>-43.5730288438149</v>
      </c>
      <c r="U20" t="n">
        <v>17.2342951800039</v>
      </c>
      <c r="V20" t="n">
        <v>-21.8490487073588</v>
      </c>
      <c r="W20" t="n">
        <v>-34.3616314205598</v>
      </c>
      <c r="X20" t="n">
        <v>19.3379684551294</v>
      </c>
      <c r="Y20" t="n">
        <v>11.7537470880552</v>
      </c>
      <c r="Z20" t="n">
        <v>-5.99999409454443</v>
      </c>
      <c r="AA20" t="n">
        <v>-2.20905922506533</v>
      </c>
      <c r="AB20" t="n">
        <v>12.8961685975129</v>
      </c>
      <c r="AC20" t="n">
        <v>1.78471237391506</v>
      </c>
      <c r="AD20" t="n">
        <v>-3.20314861055865</v>
      </c>
      <c r="AE20" t="n">
        <v>-9.79780932727712</v>
      </c>
      <c r="AF20"/>
    </row>
    <row r="21">
      <c r="A21" t="s">
        <v>146</v>
      </c>
      <c r="B21" t="s">
        <v>283</v>
      </c>
      <c r="C21" t="s">
        <v>147</v>
      </c>
      <c r="D21" t="s">
        <v>284</v>
      </c>
      <c r="E21" t="s">
        <v>51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283</v>
      </c>
      <c r="C22" t="s">
        <v>149</v>
      </c>
      <c r="D22" t="s">
        <v>284</v>
      </c>
      <c r="E22" t="s">
        <v>51</v>
      </c>
      <c r="F22" t="n">
        <v>-0.996055559612949</v>
      </c>
      <c r="G22" t="n">
        <v>3.4835750213863</v>
      </c>
      <c r="H22" t="n">
        <v>-0.80926763309734</v>
      </c>
      <c r="I22" t="n">
        <v>-1.68087663034345</v>
      </c>
      <c r="J22" t="n">
        <v>0.974329534426994</v>
      </c>
      <c r="K22" t="n">
        <v>-1.85848343308678</v>
      </c>
      <c r="L22" t="n">
        <v>-0.357957738323537</v>
      </c>
      <c r="M22" t="n">
        <v>-2.48111286851706</v>
      </c>
      <c r="N22" t="n">
        <v>-1.24288428111119</v>
      </c>
      <c r="O22" t="n">
        <v>-1.84097816666102</v>
      </c>
      <c r="P22" t="n">
        <v>-2.48327369371091</v>
      </c>
      <c r="Q22" t="n">
        <v>-2.324618441262</v>
      </c>
      <c r="R22" t="n">
        <v>3.40786182859395</v>
      </c>
      <c r="S22" t="n">
        <v>-1.12917200154484</v>
      </c>
      <c r="T22" t="n">
        <v>-4.29275868076566</v>
      </c>
      <c r="U22" t="n">
        <v>-3.17979573222428</v>
      </c>
      <c r="V22" t="n">
        <v>2.42318889949078</v>
      </c>
      <c r="W22" t="n">
        <v>-0.479356465396726</v>
      </c>
      <c r="X22" t="n">
        <v>1.8837960782805</v>
      </c>
      <c r="Y22" t="n">
        <v>2.73225815431319</v>
      </c>
      <c r="Z22" t="n">
        <v>0.153495170179271</v>
      </c>
      <c r="AA22" t="n">
        <v>-1.17730840525399</v>
      </c>
      <c r="AB22" t="n">
        <v>5.97715933207046</v>
      </c>
      <c r="AC22" t="n">
        <v>2.73068157073967</v>
      </c>
      <c r="AD22" t="n">
        <v>1.25719575996525</v>
      </c>
      <c r="AE22" t="n">
        <v>-0.152275081494233</v>
      </c>
      <c r="AF22"/>
    </row>
    <row r="23">
      <c r="A23" t="s">
        <v>150</v>
      </c>
      <c r="B23" t="s">
        <v>283</v>
      </c>
      <c r="C23" t="s">
        <v>151</v>
      </c>
      <c r="D23" t="s">
        <v>284</v>
      </c>
      <c r="E23" t="s">
        <v>51</v>
      </c>
      <c r="F23" t="n">
        <v>-5.73456655108037</v>
      </c>
      <c r="G23" t="n">
        <v>1.38900740303944</v>
      </c>
      <c r="H23" t="n">
        <v>-8.65602529724067</v>
      </c>
      <c r="I23" t="n">
        <v>0.663761495630103</v>
      </c>
      <c r="J23" t="n">
        <v>-1.09905508173637</v>
      </c>
      <c r="K23" t="n">
        <v>-6.51815175659851</v>
      </c>
      <c r="L23" t="n">
        <v>1.01988589260448</v>
      </c>
      <c r="M23" t="n">
        <v>-2.92064896623801</v>
      </c>
      <c r="N23" t="n">
        <v>-4.38084704368222</v>
      </c>
      <c r="O23" t="n">
        <v>-5.69879107073804</v>
      </c>
      <c r="P23" t="n">
        <v>0.148098353556182</v>
      </c>
      <c r="Q23" t="n">
        <v>-0.0961566213163987</v>
      </c>
      <c r="R23" t="n">
        <v>-8.14767554174871</v>
      </c>
      <c r="S23" t="n">
        <v>-4.55995525440637</v>
      </c>
      <c r="T23" t="n">
        <v>3.69427071318681</v>
      </c>
      <c r="U23" t="n">
        <v>-2.68653501317994</v>
      </c>
      <c r="V23" t="n">
        <v>0.0798872112999508</v>
      </c>
      <c r="W23" t="n">
        <v>-0.349757221691508</v>
      </c>
      <c r="X23" t="n">
        <v>8.05397957463557</v>
      </c>
      <c r="Y23" t="n">
        <v>-1.16157505406415</v>
      </c>
      <c r="Z23" t="n">
        <v>3.81520989889707</v>
      </c>
      <c r="AA23" t="n">
        <v>5.63651700816808</v>
      </c>
      <c r="AB23" t="n">
        <v>1.05497610505236</v>
      </c>
      <c r="AC23" t="n">
        <v>0.438846099469566</v>
      </c>
      <c r="AD23" t="n">
        <v>1.19545080918915</v>
      </c>
      <c r="AE23" t="n">
        <v>4.59247556108483</v>
      </c>
      <c r="AF23"/>
    </row>
    <row r="24">
      <c r="A24" t="s">
        <v>152</v>
      </c>
      <c r="B24" t="s">
        <v>283</v>
      </c>
      <c r="C24" t="s">
        <v>153</v>
      </c>
      <c r="D24" t="s">
        <v>284</v>
      </c>
      <c r="E24" t="s">
        <v>51</v>
      </c>
      <c r="F24" t="n">
        <v>3.30057096008651</v>
      </c>
      <c r="G24" t="n">
        <v>1.18957174222081</v>
      </c>
      <c r="H24" t="n">
        <v>2.52854832994757</v>
      </c>
      <c r="I24" t="n">
        <v>-3.03311668445577</v>
      </c>
      <c r="J24" t="n">
        <v>-1.00009843454899</v>
      </c>
      <c r="K24" t="n">
        <v>-1.97071229074444</v>
      </c>
      <c r="L24" t="n">
        <v>4.24074553879404</v>
      </c>
      <c r="M24" t="n">
        <v>3.7661134390235</v>
      </c>
      <c r="N24" t="n">
        <v>0.483193752659483</v>
      </c>
      <c r="O24" t="n">
        <v>2.10661228898948</v>
      </c>
      <c r="P24" t="n">
        <v>0.818204605362809</v>
      </c>
      <c r="Q24" t="n">
        <v>-4.70312025255635</v>
      </c>
      <c r="R24" t="n">
        <v>-3.19788170519736</v>
      </c>
      <c r="S24" t="n">
        <v>-1.66189617275729</v>
      </c>
      <c r="T24" t="n">
        <v>-2.64597100492984</v>
      </c>
      <c r="U24" t="n">
        <v>0.896907950160139</v>
      </c>
      <c r="V24" t="n">
        <v>1.6547283318008</v>
      </c>
      <c r="W24" t="n">
        <v>3.78224566615079</v>
      </c>
      <c r="X24" t="n">
        <v>2.66509273684221</v>
      </c>
      <c r="Y24" t="n">
        <v>-4.19596221477636</v>
      </c>
      <c r="Z24" t="n">
        <v>-1.04216514029497</v>
      </c>
      <c r="AA24" t="n">
        <v>-1.86931726414567</v>
      </c>
      <c r="AB24" t="n">
        <v>2.65039959183397</v>
      </c>
      <c r="AC24" t="n">
        <v>0.0912149115029638</v>
      </c>
      <c r="AD24" t="n">
        <v>-0.806878534461685</v>
      </c>
      <c r="AE24" t="n">
        <v>1.13797104594558</v>
      </c>
      <c r="AF24"/>
    </row>
    <row r="25">
      <c r="A25" t="s">
        <v>154</v>
      </c>
      <c r="B25" t="s">
        <v>283</v>
      </c>
      <c r="C25" t="s">
        <v>155</v>
      </c>
      <c r="D25" t="s">
        <v>284</v>
      </c>
      <c r="E25" t="s">
        <v>51</v>
      </c>
      <c r="F25" t="n">
        <v>1.07799047241601</v>
      </c>
      <c r="G25" t="n">
        <v>6.57978574797818</v>
      </c>
      <c r="H25" t="n">
        <v>1.01483760070191</v>
      </c>
      <c r="I25" t="n">
        <v>1.43320015635108</v>
      </c>
      <c r="J25" t="n">
        <v>8.03397729143465</v>
      </c>
      <c r="K25" t="n">
        <v>6.28618793594691</v>
      </c>
      <c r="L25" t="n">
        <v>-13.6586714323981</v>
      </c>
      <c r="M25" t="n">
        <v>-1.89067888331954</v>
      </c>
      <c r="N25" t="n">
        <v>-3.76299856408113</v>
      </c>
      <c r="O25" t="n">
        <v>-1.65116270227</v>
      </c>
      <c r="P25" t="n">
        <v>-20.7619048408986</v>
      </c>
      <c r="Q25" t="n">
        <v>-13.1000030984549</v>
      </c>
      <c r="R25" t="n">
        <v>-9.19218782684601</v>
      </c>
      <c r="S25" t="n">
        <v>-15.8911516789916</v>
      </c>
      <c r="T25" t="n">
        <v>-25.6529489241964</v>
      </c>
      <c r="U25" t="n">
        <v>-6.75327051938322</v>
      </c>
      <c r="V25" t="n">
        <v>-24.4659867070418</v>
      </c>
      <c r="W25" t="n">
        <v>8.22690901622452</v>
      </c>
      <c r="X25" t="n">
        <v>9.81310435330851</v>
      </c>
      <c r="Y25" t="n">
        <v>12.557602411013</v>
      </c>
      <c r="Z25" t="n">
        <v>7.19845119296062</v>
      </c>
      <c r="AA25" t="n">
        <v>1.90736386342831</v>
      </c>
      <c r="AB25" t="n">
        <v>7.83741515665526</v>
      </c>
      <c r="AC25" t="n">
        <v>-0.260506556744272</v>
      </c>
      <c r="AD25" t="n">
        <v>-0.76415496924595</v>
      </c>
      <c r="AE25" t="n">
        <v>3.96139520949271</v>
      </c>
      <c r="AF25"/>
    </row>
    <row r="26">
      <c r="A26" t="s">
        <v>156</v>
      </c>
      <c r="B26" t="s">
        <v>283</v>
      </c>
      <c r="C26" t="s">
        <v>157</v>
      </c>
      <c r="D26" t="s">
        <v>284</v>
      </c>
      <c r="E26" t="s">
        <v>51</v>
      </c>
      <c r="F26" t="n">
        <v>3.85766523184245</v>
      </c>
      <c r="G26" t="n">
        <v>2.48984268619314</v>
      </c>
      <c r="H26" t="n">
        <v>5.39776345258832</v>
      </c>
      <c r="I26" t="n">
        <v>-0.426941348181857</v>
      </c>
      <c r="J26" t="n">
        <v>0.0630682518746912</v>
      </c>
      <c r="K26" t="n">
        <v>-1.38421325355755</v>
      </c>
      <c r="L26" t="n">
        <v>4.92430670230773</v>
      </c>
      <c r="M26" t="n">
        <v>4.88754234939895</v>
      </c>
      <c r="N26" t="n">
        <v>0.585045659971847</v>
      </c>
      <c r="O26" t="n">
        <v>6.44588537247298</v>
      </c>
      <c r="P26" t="n">
        <v>5.68885364813539</v>
      </c>
      <c r="Q26" t="n">
        <v>-3.50392218095486</v>
      </c>
      <c r="R26" t="n">
        <v>-6.51239515200091</v>
      </c>
      <c r="S26" t="n">
        <v>-3.257645647202</v>
      </c>
      <c r="T26" t="n">
        <v>-7.59447730192815</v>
      </c>
      <c r="U26" t="n">
        <v>2.13174121227027</v>
      </c>
      <c r="V26" t="n">
        <v>3.01794521153963</v>
      </c>
      <c r="W26" t="n">
        <v>0.0531792084066796</v>
      </c>
      <c r="X26" t="n">
        <v>-0.619003303393509</v>
      </c>
      <c r="Y26" t="n">
        <v>-10.9116147282957</v>
      </c>
      <c r="Z26" t="n">
        <v>-4.80984779571503</v>
      </c>
      <c r="AA26" t="n">
        <v>-1.64294654342903</v>
      </c>
      <c r="AB26" t="n">
        <v>4.92208855318398</v>
      </c>
      <c r="AC26" t="n">
        <v>0.404459334268247</v>
      </c>
      <c r="AD26" t="n">
        <v>-3.49366152506697</v>
      </c>
      <c r="AE26" t="n">
        <v>-2.74610054022812</v>
      </c>
      <c r="AF26"/>
    </row>
    <row r="27">
      <c r="A27" t="s">
        <v>158</v>
      </c>
      <c r="B27" t="s">
        <v>283</v>
      </c>
      <c r="C27" t="s">
        <v>159</v>
      </c>
      <c r="D27" t="s">
        <v>284</v>
      </c>
      <c r="E27" t="s">
        <v>51</v>
      </c>
      <c r="F27" t="n">
        <v>3.08451024207635</v>
      </c>
      <c r="G27" t="n">
        <v>-0.839183948140069</v>
      </c>
      <c r="H27" t="n">
        <v>-2.16249113831088</v>
      </c>
      <c r="I27" t="n">
        <v>-7.29796117793377</v>
      </c>
      <c r="J27" t="n">
        <v>-2.88476185195202</v>
      </c>
      <c r="K27" t="n">
        <v>-2.18391564097378</v>
      </c>
      <c r="L27" t="n">
        <v>6.97127877623635</v>
      </c>
      <c r="M27" t="n">
        <v>5.06056446102533</v>
      </c>
      <c r="N27" t="n">
        <v>1.7234454765299</v>
      </c>
      <c r="O27" t="n">
        <v>-3.59325950181207</v>
      </c>
      <c r="P27" t="n">
        <v>-6.03557959341782</v>
      </c>
      <c r="Q27" t="n">
        <v>-4.55781549019513</v>
      </c>
      <c r="R27" t="n">
        <v>2.94475213001232</v>
      </c>
      <c r="S27" t="n">
        <v>1.20994978755739</v>
      </c>
      <c r="T27" t="n">
        <v>8.21184942559589</v>
      </c>
      <c r="U27" t="n">
        <v>0.466443805485579</v>
      </c>
      <c r="V27" t="n">
        <v>0.485951953625157</v>
      </c>
      <c r="W27" t="n">
        <v>9.47065527850291</v>
      </c>
      <c r="X27" t="n">
        <v>7.32744233294293</v>
      </c>
      <c r="Y27" t="n">
        <v>2.57897558770695</v>
      </c>
      <c r="Z27" t="n">
        <v>2.08988231603562</v>
      </c>
      <c r="AA27" t="n">
        <v>-2.71715169906031</v>
      </c>
      <c r="AB27" t="n">
        <v>-0.520796870193556</v>
      </c>
      <c r="AC27" t="n">
        <v>-0.858832987954762</v>
      </c>
      <c r="AD27" t="n">
        <v>2.56826836331375</v>
      </c>
      <c r="AE27" t="n">
        <v>3.57118558152141</v>
      </c>
      <c r="AF27"/>
    </row>
    <row r="28">
      <c r="A28" t="s">
        <v>160</v>
      </c>
      <c r="B28" t="s">
        <v>283</v>
      </c>
      <c r="C28" t="s">
        <v>161</v>
      </c>
      <c r="D28" t="s">
        <v>284</v>
      </c>
      <c r="E28" t="s">
        <v>51</v>
      </c>
      <c r="F28" t="n">
        <v>1.41365240501984</v>
      </c>
      <c r="G28" t="n">
        <v>-7.29761776658446</v>
      </c>
      <c r="H28" t="n">
        <v>0.330741076862179</v>
      </c>
      <c r="I28" t="n">
        <v>-3.6282393403409</v>
      </c>
      <c r="J28" t="n">
        <v>-2.22924425342605</v>
      </c>
      <c r="K28" t="n">
        <v>-0.418901950176456</v>
      </c>
      <c r="L28" t="n">
        <v>2.46256104837917</v>
      </c>
      <c r="M28" t="n">
        <v>1.85551463128465</v>
      </c>
      <c r="N28" t="n">
        <v>0.96991221678937</v>
      </c>
      <c r="O28" t="n">
        <v>4.42261300365865</v>
      </c>
      <c r="P28" t="n">
        <v>1.56328156711429</v>
      </c>
      <c r="Q28" t="n">
        <v>2.3490438054215</v>
      </c>
      <c r="R28" t="n">
        <v>1.64638922987872</v>
      </c>
      <c r="S28" t="n">
        <v>-0.819991072419571</v>
      </c>
      <c r="T28" t="n">
        <v>-13.4129998021289</v>
      </c>
      <c r="U28" t="n">
        <v>1.65991326384863</v>
      </c>
      <c r="V28" t="n">
        <v>-0.227735865652149</v>
      </c>
      <c r="W28" t="n">
        <v>1.38879315870486</v>
      </c>
      <c r="X28" t="n">
        <v>-0.0131521299571837</v>
      </c>
      <c r="Y28" t="n">
        <v>0.942203897880424</v>
      </c>
      <c r="Z28" t="n">
        <v>-0.840145638457095</v>
      </c>
      <c r="AA28" t="n">
        <v>-0.402514309850334</v>
      </c>
      <c r="AB28" t="n">
        <v>1.5679736751797</v>
      </c>
      <c r="AC28" t="n">
        <v>-0.501517444371289</v>
      </c>
      <c r="AD28" t="n">
        <v>-0.103557560096666</v>
      </c>
      <c r="AE28" t="n">
        <v>-27.9530272814826</v>
      </c>
      <c r="AF28"/>
    </row>
    <row r="29">
      <c r="A29" t="s">
        <v>162</v>
      </c>
      <c r="B29" t="s">
        <v>283</v>
      </c>
      <c r="C29" t="s">
        <v>163</v>
      </c>
      <c r="D29" t="s">
        <v>284</v>
      </c>
      <c r="E29" t="s">
        <v>51</v>
      </c>
      <c r="F29" t="n">
        <v>-0.980593819361878</v>
      </c>
      <c r="G29" t="n">
        <v>-9.24858852132591</v>
      </c>
      <c r="H29" t="n">
        <v>0.427679193857575</v>
      </c>
      <c r="I29" t="n">
        <v>-3.1561580704095</v>
      </c>
      <c r="J29" t="n">
        <v>-0.101536199767148</v>
      </c>
      <c r="K29" t="n">
        <v>1.62709824379809</v>
      </c>
      <c r="L29" t="n">
        <v>5.20344613216137</v>
      </c>
      <c r="M29" t="n">
        <v>2.95614187432247</v>
      </c>
      <c r="N29" t="n">
        <v>1.86231142857189</v>
      </c>
      <c r="O29" t="n">
        <v>3.04760224503657</v>
      </c>
      <c r="P29" t="n">
        <v>2.43669356079979</v>
      </c>
      <c r="Q29" t="n">
        <v>2.76619445519041</v>
      </c>
      <c r="R29" t="n">
        <v>3.04159719416039</v>
      </c>
      <c r="S29" t="n">
        <v>0.313500673526001</v>
      </c>
      <c r="T29" t="n">
        <v>-10.651835455146</v>
      </c>
      <c r="U29" t="n">
        <v>0.990410905635089</v>
      </c>
      <c r="V29" t="n">
        <v>-0.805314806701063</v>
      </c>
      <c r="W29" t="n">
        <v>1.91192629716334</v>
      </c>
      <c r="X29" t="n">
        <v>-0.118535763113319</v>
      </c>
      <c r="Y29" t="n">
        <v>1.93424406855718</v>
      </c>
      <c r="Z29" t="n">
        <v>-1.10348755678889</v>
      </c>
      <c r="AA29" t="n">
        <v>-0.769699620184347</v>
      </c>
      <c r="AB29" t="n">
        <v>2.14124470009</v>
      </c>
      <c r="AC29" t="n">
        <v>2.06288378827798</v>
      </c>
      <c r="AD29" t="n">
        <v>1.04411432000917</v>
      </c>
      <c r="AE29" t="n">
        <v>-26.1118397986932</v>
      </c>
      <c r="AF29"/>
    </row>
    <row r="30">
      <c r="A30" t="s">
        <v>164</v>
      </c>
      <c r="B30" t="s">
        <v>283</v>
      </c>
      <c r="C30" t="s">
        <v>165</v>
      </c>
      <c r="D30" t="s">
        <v>284</v>
      </c>
      <c r="E30" t="s">
        <v>51</v>
      </c>
      <c r="F30" t="n">
        <v>18.3366551467988</v>
      </c>
      <c r="G30" t="n">
        <v>-21.2051307227303</v>
      </c>
      <c r="H30" t="n">
        <v>15.6525909120303</v>
      </c>
      <c r="I30" t="n">
        <v>10.5958115326204</v>
      </c>
      <c r="J30" t="n">
        <v>-3.27882614943547</v>
      </c>
      <c r="K30" t="n">
        <v>-7.8380133367323</v>
      </c>
      <c r="L30" t="n">
        <v>-4.79841158657181</v>
      </c>
      <c r="M30" t="n">
        <v>-0.924874084963543</v>
      </c>
      <c r="N30" t="n">
        <v>6.34078773979263</v>
      </c>
      <c r="O30" t="n">
        <v>8.04004635899567</v>
      </c>
      <c r="P30" t="n">
        <v>-6.5895847790532</v>
      </c>
      <c r="Q30" t="n">
        <v>1.77112435260361</v>
      </c>
      <c r="R30" t="n">
        <v>8.43120028370949</v>
      </c>
      <c r="S30" t="n">
        <v>3.65326945167645</v>
      </c>
      <c r="T30" t="n">
        <v>-20.6492090856696</v>
      </c>
      <c r="U30" t="n">
        <v>3.99410196064703</v>
      </c>
      <c r="V30" t="n">
        <v>3.77208933275274</v>
      </c>
      <c r="W30" t="n">
        <v>-14.6333098240822</v>
      </c>
      <c r="X30" t="n">
        <v>-24.8966520210566</v>
      </c>
      <c r="Y30" t="n">
        <v>-6.09140469902485</v>
      </c>
      <c r="Z30" t="n">
        <v>1.1268384541402</v>
      </c>
      <c r="AA30" t="n">
        <v>13.9393174983781</v>
      </c>
      <c r="AB30" t="n">
        <v>-4.42593461429974</v>
      </c>
      <c r="AC30" t="n">
        <v>-32.2255319326886</v>
      </c>
      <c r="AD30" t="n">
        <v>-7.7664149640969</v>
      </c>
      <c r="AE30" t="n">
        <v>1.71960203235384</v>
      </c>
      <c r="AF30"/>
    </row>
    <row r="31">
      <c r="A31" t="s">
        <v>166</v>
      </c>
      <c r="B31" t="s">
        <v>283</v>
      </c>
      <c r="C31" t="s">
        <v>167</v>
      </c>
      <c r="D31" t="s">
        <v>284</v>
      </c>
      <c r="E31" t="s">
        <v>51</v>
      </c>
      <c r="F31" t="n">
        <v>13.6543239607132</v>
      </c>
      <c r="G31" t="n">
        <v>9.28589714852619</v>
      </c>
      <c r="H31" t="n">
        <v>4.95495470779642</v>
      </c>
      <c r="I31" t="n">
        <v>-3.46078283008911</v>
      </c>
      <c r="J31" t="n">
        <v>3.24470987365848</v>
      </c>
      <c r="K31" t="n">
        <v>5.12619587004844</v>
      </c>
      <c r="L31" t="n">
        <v>-12.9777457423275</v>
      </c>
      <c r="M31" t="n">
        <v>-3.82192153760881</v>
      </c>
      <c r="N31" t="n">
        <v>-13.1458300076045</v>
      </c>
      <c r="O31" t="n">
        <v>4.88862257557969</v>
      </c>
      <c r="P31" t="n">
        <v>-7.33912385136893</v>
      </c>
      <c r="Q31" t="n">
        <v>4.33185950845625</v>
      </c>
      <c r="R31" t="n">
        <v>-11.4699936871617</v>
      </c>
      <c r="S31" t="n">
        <v>-28.0351251701113</v>
      </c>
      <c r="T31" t="n">
        <v>-48.1696744674714</v>
      </c>
      <c r="U31" t="n">
        <v>8.79427388333382</v>
      </c>
      <c r="V31" t="n">
        <v>1.48977205072559</v>
      </c>
      <c r="W31" t="n">
        <v>-5.05156880079827</v>
      </c>
      <c r="X31" t="n">
        <v>19.1828341464563</v>
      </c>
      <c r="Y31" t="n">
        <v>2.1595351534216</v>
      </c>
      <c r="Z31" t="n">
        <v>-6.45717922027856</v>
      </c>
      <c r="AA31" t="n">
        <v>-5.61224737119388</v>
      </c>
      <c r="AB31" t="n">
        <v>-0.452404976296121</v>
      </c>
      <c r="AC31" t="n">
        <v>-7.5847874957644</v>
      </c>
      <c r="AD31" t="n">
        <v>-5.69632940002614</v>
      </c>
      <c r="AE31" t="n">
        <v>-155.07581486009</v>
      </c>
      <c r="AF31"/>
    </row>
    <row r="32">
      <c r="A32" t="s">
        <v>168</v>
      </c>
      <c r="B32" t="s">
        <v>283</v>
      </c>
      <c r="C32" t="s">
        <v>169</v>
      </c>
      <c r="D32" t="s">
        <v>284</v>
      </c>
      <c r="E32" t="s">
        <v>51</v>
      </c>
      <c r="F32" t="n">
        <v>-0.765119564313246</v>
      </c>
      <c r="G32" t="n">
        <v>12.257564957333</v>
      </c>
      <c r="H32" t="n">
        <v>-13.6248861550756</v>
      </c>
      <c r="I32" t="n">
        <v>-24.0131946398546</v>
      </c>
      <c r="J32" t="n">
        <v>-23.2746759162384</v>
      </c>
      <c r="K32" t="n">
        <v>-21.7504723742539</v>
      </c>
      <c r="L32" t="n">
        <v>4.31423036355053</v>
      </c>
      <c r="M32" t="n">
        <v>8.71532813640315</v>
      </c>
      <c r="N32" t="n">
        <v>4.23639148336523</v>
      </c>
      <c r="O32" t="n">
        <v>27.6225001255002</v>
      </c>
      <c r="P32" t="n">
        <v>14.8911357747652</v>
      </c>
      <c r="Q32" t="n">
        <v>2.52207584397393</v>
      </c>
      <c r="R32" t="n">
        <v>-0.77702648232811</v>
      </c>
      <c r="S32" t="n">
        <v>10.2169349006127</v>
      </c>
      <c r="T32" t="n">
        <v>-17.7911213360193</v>
      </c>
      <c r="U32" t="n">
        <v>12.6895960494916</v>
      </c>
      <c r="V32" t="n">
        <v>-0.0944104897347349</v>
      </c>
      <c r="W32" t="n">
        <v>25.3519787288727</v>
      </c>
      <c r="X32" t="n">
        <v>9.35274752962514</v>
      </c>
      <c r="Y32" t="n">
        <v>5.40446413214936</v>
      </c>
      <c r="Z32" t="n">
        <v>8.1505791793669</v>
      </c>
      <c r="AA32" t="n">
        <v>-7.25394431273185</v>
      </c>
      <c r="AB32" t="n">
        <v>5.03345138558374</v>
      </c>
      <c r="AC32" t="n">
        <v>-0.700286211276533</v>
      </c>
      <c r="AD32" t="n">
        <v>-5.56903382754403</v>
      </c>
      <c r="AE32" t="n">
        <v>-48.9892634241629</v>
      </c>
      <c r="AF32"/>
    </row>
    <row r="33">
      <c r="A33" t="s">
        <v>170</v>
      </c>
      <c r="B33" t="s">
        <v>283</v>
      </c>
      <c r="C33" t="s">
        <v>171</v>
      </c>
      <c r="D33" t="s">
        <v>284</v>
      </c>
      <c r="E33" t="s">
        <v>51</v>
      </c>
      <c r="F33" t="n">
        <v>0.244698810143801</v>
      </c>
      <c r="G33" t="n">
        <v>2.35314555549428</v>
      </c>
      <c r="H33" t="n">
        <v>-4.47650441893401</v>
      </c>
      <c r="I33" t="n">
        <v>-3.98647458933418</v>
      </c>
      <c r="J33" t="n">
        <v>-4.42669951249144</v>
      </c>
      <c r="K33" t="n">
        <v>-2.71332027767015</v>
      </c>
      <c r="L33" t="n">
        <v>-0.20042477447611</v>
      </c>
      <c r="M33" t="n">
        <v>-2.63228091091965</v>
      </c>
      <c r="N33" t="n">
        <v>-3.3373747287925</v>
      </c>
      <c r="O33" t="n">
        <v>1.18602831303847</v>
      </c>
      <c r="P33" t="n">
        <v>-0.572514550933839</v>
      </c>
      <c r="Q33" t="n">
        <v>-3.13438980290393</v>
      </c>
      <c r="R33" t="n">
        <v>-9.28250597027465</v>
      </c>
      <c r="S33" t="n">
        <v>-1.85573369250932</v>
      </c>
      <c r="T33" t="n">
        <v>-1.33655394968035</v>
      </c>
      <c r="U33" t="n">
        <v>-9.54031911273979</v>
      </c>
      <c r="V33" t="n">
        <v>4.67301171344952</v>
      </c>
      <c r="W33" t="n">
        <v>-3.00376293405204</v>
      </c>
      <c r="X33" t="n">
        <v>0.757056031912346</v>
      </c>
      <c r="Y33" t="n">
        <v>-4.54132884330951</v>
      </c>
      <c r="Z33" t="n">
        <v>-2.59443830600521</v>
      </c>
      <c r="AA33" t="n">
        <v>-1.7287946923998</v>
      </c>
      <c r="AB33" t="n">
        <v>0.60307927037224</v>
      </c>
      <c r="AC33" t="n">
        <v>5.91412540196434</v>
      </c>
      <c r="AD33" t="n">
        <v>5.62901227391456</v>
      </c>
      <c r="AE33" t="n">
        <v>3.89437844187349</v>
      </c>
      <c r="AF33"/>
    </row>
    <row r="34">
      <c r="A34" t="s">
        <v>172</v>
      </c>
      <c r="B34" t="s">
        <v>283</v>
      </c>
      <c r="C34" t="s">
        <v>173</v>
      </c>
      <c r="D34" t="s">
        <v>284</v>
      </c>
      <c r="E34" t="s">
        <v>51</v>
      </c>
      <c r="F34" t="n">
        <v>-1.45108391293286</v>
      </c>
      <c r="G34" t="n">
        <v>-0.553026819353753</v>
      </c>
      <c r="H34" t="n">
        <v>2.02347735470445</v>
      </c>
      <c r="I34" t="n">
        <v>0.0113985812436542</v>
      </c>
      <c r="J34" t="n">
        <v>-2.82592472249096</v>
      </c>
      <c r="K34" t="n">
        <v>-5.91415197820119</v>
      </c>
      <c r="L34" t="n">
        <v>0.495999554502132</v>
      </c>
      <c r="M34" t="n">
        <v>-2.02748790085726</v>
      </c>
      <c r="N34" t="n">
        <v>-0.488071238175569</v>
      </c>
      <c r="O34" t="n">
        <v>-6.09249466374599</v>
      </c>
      <c r="P34" t="n">
        <v>-2.66609958109676</v>
      </c>
      <c r="Q34" t="n">
        <v>-1.47137134821883</v>
      </c>
      <c r="R34" t="n">
        <v>1.35864259285887</v>
      </c>
      <c r="S34" t="n">
        <v>-4.25033053610267</v>
      </c>
      <c r="T34" t="n">
        <v>-6.85797912023678</v>
      </c>
      <c r="U34" t="n">
        <v>-1.74879232393912</v>
      </c>
      <c r="V34" t="n">
        <v>2.2288346004026</v>
      </c>
      <c r="W34" t="n">
        <v>-3.88214784360617</v>
      </c>
      <c r="X34" t="n">
        <v>7.45643706074844</v>
      </c>
      <c r="Y34" t="n">
        <v>2.23563892510104</v>
      </c>
      <c r="Z34" t="n">
        <v>-4.81349148666919</v>
      </c>
      <c r="AA34" t="n">
        <v>3.28368630584926</v>
      </c>
      <c r="AB34" t="n">
        <v>5.51700695032834</v>
      </c>
      <c r="AC34" t="n">
        <v>0.0437337162048257</v>
      </c>
      <c r="AD34" t="n">
        <v>-5.63600123922913</v>
      </c>
      <c r="AE34" t="n">
        <v>-30.3847615130056</v>
      </c>
      <c r="AF34"/>
    </row>
    <row r="35">
      <c r="A35" t="s">
        <v>174</v>
      </c>
      <c r="B35" t="s">
        <v>283</v>
      </c>
      <c r="C35" t="s">
        <v>175</v>
      </c>
      <c r="D35" t="s">
        <v>284</v>
      </c>
      <c r="E35" t="s">
        <v>51</v>
      </c>
      <c r="F35" t="n">
        <v>2.97773867797587</v>
      </c>
      <c r="G35" t="n">
        <v>9.62429974797773</v>
      </c>
      <c r="H35" t="n">
        <v>6.9317072279569</v>
      </c>
      <c r="I35" t="n">
        <v>4.84320571088385</v>
      </c>
      <c r="J35" t="n">
        <v>0.275207566775247</v>
      </c>
      <c r="K35" t="n">
        <v>-0.219848143737879</v>
      </c>
      <c r="L35" t="n">
        <v>3.24695840582962</v>
      </c>
      <c r="M35" t="n">
        <v>2.43036022355728</v>
      </c>
      <c r="N35" t="n">
        <v>-1.26078874112628</v>
      </c>
      <c r="O35" t="n">
        <v>-3.10659760728538</v>
      </c>
      <c r="P35" t="n">
        <v>-2.47003933436206</v>
      </c>
      <c r="Q35" t="n">
        <v>-2.72637535697099</v>
      </c>
      <c r="R35" t="n">
        <v>0.883559886093781</v>
      </c>
      <c r="S35" t="n">
        <v>-0.521765087352909</v>
      </c>
      <c r="T35" t="n">
        <v>-2.14180260712084</v>
      </c>
      <c r="U35" t="n">
        <v>-2.99456399022684</v>
      </c>
      <c r="V35" t="n">
        <v>-1.02305296688248</v>
      </c>
      <c r="W35" t="n">
        <v>2.38882073052824</v>
      </c>
      <c r="X35" t="n">
        <v>1.60656384212102</v>
      </c>
      <c r="Y35" t="n">
        <v>-2.61639337918185</v>
      </c>
      <c r="Z35" t="n">
        <v>4.07649761140485</v>
      </c>
      <c r="AA35" t="n">
        <v>-1.37946775622763</v>
      </c>
      <c r="AB35" t="n">
        <v>-1.76324281617186</v>
      </c>
      <c r="AC35" t="n">
        <v>0.699421177111082</v>
      </c>
      <c r="AD35" t="n">
        <v>1.61804179577905</v>
      </c>
      <c r="AE35" t="n">
        <v>-0.738268241419971</v>
      </c>
      <c r="AF35"/>
    </row>
    <row r="36">
      <c r="A36" t="s">
        <v>176</v>
      </c>
      <c r="B36" t="s">
        <v>283</v>
      </c>
      <c r="C36" t="s">
        <v>177</v>
      </c>
      <c r="D36" t="s">
        <v>284</v>
      </c>
      <c r="E36" t="s">
        <v>51</v>
      </c>
      <c r="F36" t="n">
        <v>-2.74009517794964</v>
      </c>
      <c r="G36" t="n">
        <v>-4.71139606227737</v>
      </c>
      <c r="H36" t="n">
        <v>-5.00096776738903</v>
      </c>
      <c r="I36" t="n">
        <v>-1.56720758610164</v>
      </c>
      <c r="J36" t="n">
        <v>-5.67523951354715</v>
      </c>
      <c r="K36" t="n">
        <v>0.488233899142695</v>
      </c>
      <c r="L36" t="n">
        <v>-2.89581550317763</v>
      </c>
      <c r="M36" t="n">
        <v>-1.50299361356996</v>
      </c>
      <c r="N36" t="n">
        <v>-1.1112737515733</v>
      </c>
      <c r="O36" t="n">
        <v>-3.89192562937445</v>
      </c>
      <c r="P36" t="n">
        <v>2.31239083561983</v>
      </c>
      <c r="Q36" t="n">
        <v>-6.30434422408677</v>
      </c>
      <c r="R36" t="n">
        <v>-2.79424434839283</v>
      </c>
      <c r="S36" t="n">
        <v>-6.44025333877933</v>
      </c>
      <c r="T36" t="n">
        <v>-2.66938279512566</v>
      </c>
      <c r="U36" t="n">
        <v>-3.17060648910837</v>
      </c>
      <c r="V36" t="n">
        <v>-7.09575178441156</v>
      </c>
      <c r="W36" t="n">
        <v>1.509876153977</v>
      </c>
      <c r="X36" t="n">
        <v>6.59361411376474</v>
      </c>
      <c r="Y36" t="n">
        <v>1.98818709093997</v>
      </c>
      <c r="Z36" t="n">
        <v>7.91935474707623</v>
      </c>
      <c r="AA36" t="n">
        <v>-4.04710395727636</v>
      </c>
      <c r="AB36" t="n">
        <v>-4.17185042811001</v>
      </c>
      <c r="AC36" t="n">
        <v>0.919060702500193</v>
      </c>
      <c r="AD36" t="n">
        <v>-1.40180207246472</v>
      </c>
      <c r="AE36" t="n">
        <v>-1.70159213921453</v>
      </c>
      <c r="AF36"/>
    </row>
    <row r="37">
      <c r="A37" t="s">
        <v>178</v>
      </c>
      <c r="B37" t="s">
        <v>283</v>
      </c>
      <c r="C37" t="s">
        <v>179</v>
      </c>
      <c r="D37" t="s">
        <v>284</v>
      </c>
      <c r="E37" t="s">
        <v>51</v>
      </c>
      <c r="F37" t="n">
        <v>2.01264635305275</v>
      </c>
      <c r="G37" t="n">
        <v>9.55352430732626</v>
      </c>
      <c r="H37" t="n">
        <v>15.0148600835525</v>
      </c>
      <c r="I37" t="n">
        <v>5.12748832829795</v>
      </c>
      <c r="J37" t="n">
        <v>-2.67553160648131</v>
      </c>
      <c r="K37" t="n">
        <v>-2.37941867479528</v>
      </c>
      <c r="L37" t="n">
        <v>5.23108019453486</v>
      </c>
      <c r="M37" t="n">
        <v>6.2900912612781</v>
      </c>
      <c r="N37" t="n">
        <v>1.83158879822153</v>
      </c>
      <c r="O37" t="n">
        <v>-0.768367673035213</v>
      </c>
      <c r="P37" t="n">
        <v>-6.03136075227868</v>
      </c>
      <c r="Q37" t="n">
        <v>-2.09695768805577</v>
      </c>
      <c r="R37" t="n">
        <v>1.97782626573898</v>
      </c>
      <c r="S37" t="n">
        <v>5.05123917289392</v>
      </c>
      <c r="T37" t="n">
        <v>-0.381111891229295</v>
      </c>
      <c r="U37" t="n">
        <v>3.75058294960549</v>
      </c>
      <c r="V37" t="n">
        <v>-0.232821412106792</v>
      </c>
      <c r="W37" t="n">
        <v>-2.94566606210844</v>
      </c>
      <c r="X37" t="n">
        <v>1.07111500640129</v>
      </c>
      <c r="Y37" t="n">
        <v>-1.399417354079</v>
      </c>
      <c r="Z37" t="n">
        <v>4.0674395647892</v>
      </c>
      <c r="AA37" t="n">
        <v>0.283945753155073</v>
      </c>
      <c r="AB37" t="n">
        <v>-2.53769863331835</v>
      </c>
      <c r="AC37" t="n">
        <v>2.54838387391514</v>
      </c>
      <c r="AD37" t="n">
        <v>-0.183878625011034</v>
      </c>
      <c r="AE37" t="n">
        <v>3.8689281447212</v>
      </c>
      <c r="AF37"/>
    </row>
    <row r="38">
      <c r="A38" t="s">
        <v>180</v>
      </c>
      <c r="B38" t="s">
        <v>283</v>
      </c>
      <c r="C38" t="s">
        <v>181</v>
      </c>
      <c r="D38" t="s">
        <v>284</v>
      </c>
      <c r="E38" t="s">
        <v>51</v>
      </c>
      <c r="F38" t="n">
        <v>5.89008524155762</v>
      </c>
      <c r="G38" t="n">
        <v>16.8762986544137</v>
      </c>
      <c r="H38" t="n">
        <v>4.30640509867444</v>
      </c>
      <c r="I38" t="n">
        <v>10.4339066181559</v>
      </c>
      <c r="J38" t="n">
        <v>5.89398808136747</v>
      </c>
      <c r="K38" t="n">
        <v>0.152683502241164</v>
      </c>
      <c r="L38" t="n">
        <v>4.85953649459084</v>
      </c>
      <c r="M38" t="n">
        <v>2.28318343183492</v>
      </c>
      <c r="N38" t="n">
        <v>-2.84674208095321</v>
      </c>
      <c r="O38" t="n">
        <v>-3.89334068573802</v>
      </c>
      <c r="P38" t="n">
        <v>-2.24839652128711</v>
      </c>
      <c r="Q38" t="n">
        <v>-2.13714619171517</v>
      </c>
      <c r="R38" t="n">
        <v>1.54591149565268</v>
      </c>
      <c r="S38" t="n">
        <v>-1.89119370528607</v>
      </c>
      <c r="T38" t="n">
        <v>-3.38676636127482</v>
      </c>
      <c r="U38" t="n">
        <v>-7.93162859652973</v>
      </c>
      <c r="V38" t="n">
        <v>0.0696527981099382</v>
      </c>
      <c r="W38" t="n">
        <v>5.46829914099932</v>
      </c>
      <c r="X38" t="n">
        <v>-0.258719605443982</v>
      </c>
      <c r="Y38" t="n">
        <v>-5.21078826799021</v>
      </c>
      <c r="Z38" t="n">
        <v>2.35452324374057</v>
      </c>
      <c r="AA38" t="n">
        <v>-2.49191990925466</v>
      </c>
      <c r="AB38" t="n">
        <v>-0.396011862576109</v>
      </c>
      <c r="AC38" t="n">
        <v>-0.48896368529196</v>
      </c>
      <c r="AD38" t="n">
        <v>4.12277978212016</v>
      </c>
      <c r="AE38" t="n">
        <v>-5.38440978690106</v>
      </c>
      <c r="AF38"/>
    </row>
    <row r="39">
      <c r="A39" t="s">
        <v>182</v>
      </c>
      <c r="B39" t="s">
        <v>283</v>
      </c>
      <c r="C39" t="s">
        <v>183</v>
      </c>
      <c r="D39" t="s">
        <v>284</v>
      </c>
      <c r="E39" t="s">
        <v>51</v>
      </c>
      <c r="F39" t="n">
        <v>-7.45599801333347</v>
      </c>
      <c r="G39" t="n">
        <v>3.54975228545863</v>
      </c>
      <c r="H39" t="n">
        <v>3.02770880036054</v>
      </c>
      <c r="I39" t="n">
        <v>-9.30974195858905</v>
      </c>
      <c r="J39" t="n">
        <v>0.616268695594129</v>
      </c>
      <c r="K39" t="n">
        <v>-0.430339157007173</v>
      </c>
      <c r="L39" t="n">
        <v>1.55803379213198</v>
      </c>
      <c r="M39" t="n">
        <v>-1.37671392019511</v>
      </c>
      <c r="N39" t="n">
        <v>1.3009479317446</v>
      </c>
      <c r="O39" t="n">
        <v>0.184080467156043</v>
      </c>
      <c r="P39" t="n">
        <v>1.81099762485763</v>
      </c>
      <c r="Q39" t="n">
        <v>-1.1107873907297</v>
      </c>
      <c r="R39" t="n">
        <v>2.53220728019271</v>
      </c>
      <c r="S39" t="n">
        <v>-17.2307774482146</v>
      </c>
      <c r="T39" t="n">
        <v>1.52683846731499</v>
      </c>
      <c r="U39" t="n">
        <v>0.308418077301617</v>
      </c>
      <c r="V39" t="n">
        <v>-0.668922070816163</v>
      </c>
      <c r="W39" t="n">
        <v>1.66406928929739</v>
      </c>
      <c r="X39" t="n">
        <v>12.5531583083223</v>
      </c>
      <c r="Y39" t="n">
        <v>3.01310656627584</v>
      </c>
      <c r="Z39" t="n">
        <v>1.13814554342518</v>
      </c>
      <c r="AA39" t="n">
        <v>-3.93101276841874</v>
      </c>
      <c r="AB39" t="n">
        <v>0.523524748240255</v>
      </c>
      <c r="AC39" t="n">
        <v>1.5905335325837</v>
      </c>
      <c r="AD39" t="n">
        <v>-0.00304115046796044</v>
      </c>
      <c r="AE39" t="n">
        <v>4.790522543089</v>
      </c>
      <c r="AF39"/>
    </row>
    <row r="40">
      <c r="A40" t="s">
        <v>184</v>
      </c>
      <c r="B40" t="s">
        <v>283</v>
      </c>
      <c r="C40" t="s">
        <v>185</v>
      </c>
      <c r="D40" t="s">
        <v>284</v>
      </c>
      <c r="E40" t="s">
        <v>51</v>
      </c>
      <c r="F40" t="n">
        <v>-1.58145640460266</v>
      </c>
      <c r="G40" t="n">
        <v>-1.13720326015959</v>
      </c>
      <c r="H40" t="n">
        <v>-1.13156601268181</v>
      </c>
      <c r="I40" t="n">
        <v>-2.38773561254594</v>
      </c>
      <c r="J40" t="n">
        <v>0.459660678794474</v>
      </c>
      <c r="K40" t="n">
        <v>1.70261718189469</v>
      </c>
      <c r="L40" t="n">
        <v>1.24453280696804</v>
      </c>
      <c r="M40" t="n">
        <v>0.639750124091684</v>
      </c>
      <c r="N40" t="n">
        <v>1.44604278481347</v>
      </c>
      <c r="O40" t="n">
        <v>1.14919758205504</v>
      </c>
      <c r="P40" t="n">
        <v>1.14909184449177</v>
      </c>
      <c r="Q40" t="n">
        <v>0.860245660198902</v>
      </c>
      <c r="R40" t="n">
        <v>-0.352455557137354</v>
      </c>
      <c r="S40" t="n">
        <v>0.0911403518303997</v>
      </c>
      <c r="T40" t="n">
        <v>1.07151297629519</v>
      </c>
      <c r="U40" t="n">
        <v>2.65481386294789</v>
      </c>
      <c r="V40" t="n">
        <v>2.47231330856971</v>
      </c>
      <c r="W40" t="n">
        <v>0.472142331025195</v>
      </c>
      <c r="X40" t="n">
        <v>3.17815479920722</v>
      </c>
      <c r="Y40" t="n">
        <v>2.55704028478937</v>
      </c>
      <c r="Z40" t="n">
        <v>0.21028044543446</v>
      </c>
      <c r="AA40" t="n">
        <v>0.0273394145003842</v>
      </c>
      <c r="AB40" t="n">
        <v>-0.730027961007957</v>
      </c>
      <c r="AC40" t="n">
        <v>-0.158339875235308</v>
      </c>
      <c r="AD40" t="n">
        <v>0.901908628736181</v>
      </c>
      <c r="AE40" t="n">
        <v>-1.5734868011834</v>
      </c>
      <c r="AF40"/>
    </row>
    <row r="41">
      <c r="A41" t="s">
        <v>186</v>
      </c>
      <c r="B41" t="s">
        <v>283</v>
      </c>
      <c r="C41" t="s">
        <v>187</v>
      </c>
      <c r="D41" t="s">
        <v>284</v>
      </c>
      <c r="E41" t="s">
        <v>51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283</v>
      </c>
      <c r="C42" t="s">
        <v>189</v>
      </c>
      <c r="D42" t="s">
        <v>284</v>
      </c>
      <c r="E42" t="s">
        <v>51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283</v>
      </c>
      <c r="C43" t="s">
        <v>191</v>
      </c>
      <c r="D43" t="s">
        <v>284</v>
      </c>
      <c r="E43" t="s">
        <v>51</v>
      </c>
      <c r="F43" t="n">
        <v>-2.69173448528642</v>
      </c>
      <c r="G43" t="n">
        <v>4.86160080932814</v>
      </c>
      <c r="H43" t="n">
        <v>-2.28022489299343</v>
      </c>
      <c r="I43" t="n">
        <v>0.995696520527304</v>
      </c>
      <c r="J43" t="n">
        <v>0.176971810271754</v>
      </c>
      <c r="K43" t="n">
        <v>7.7255552561189</v>
      </c>
      <c r="L43" t="n">
        <v>2.48535818765608</v>
      </c>
      <c r="M43" t="n">
        <v>0.89787631302096</v>
      </c>
      <c r="N43" t="n">
        <v>-1.1909074412775</v>
      </c>
      <c r="O43" t="n">
        <v>-1.54434511755758</v>
      </c>
      <c r="P43" t="n">
        <v>3.35846087171597</v>
      </c>
      <c r="Q43" t="n">
        <v>0.105542018483895</v>
      </c>
      <c r="R43" t="n">
        <v>6.07130930861317</v>
      </c>
      <c r="S43" t="n">
        <v>5.18608708213807</v>
      </c>
      <c r="T43" t="n">
        <v>-0.433330411858158</v>
      </c>
      <c r="U43" t="n">
        <v>0.15040051931045</v>
      </c>
      <c r="V43" t="n">
        <v>2.15424534257431</v>
      </c>
      <c r="W43" t="n">
        <v>-8.03810847518096</v>
      </c>
      <c r="X43" t="n">
        <v>2.36703488706376</v>
      </c>
      <c r="Y43" t="n">
        <v>-1.05236132398237</v>
      </c>
      <c r="Z43" t="n">
        <v>0.00439861528462515</v>
      </c>
      <c r="AA43" t="n">
        <v>1.21528875432231</v>
      </c>
      <c r="AB43" t="n">
        <v>-3.35421375462422</v>
      </c>
      <c r="AC43" t="n">
        <v>-0.955140037961159</v>
      </c>
      <c r="AD43" t="n">
        <v>1.08353806242433</v>
      </c>
      <c r="AE43" t="n">
        <v>4.00926920226593</v>
      </c>
      <c r="AF43"/>
    </row>
    <row r="44">
      <c r="A44" t="s">
        <v>192</v>
      </c>
      <c r="B44" t="s">
        <v>283</v>
      </c>
      <c r="C44" t="s">
        <v>193</v>
      </c>
      <c r="D44" t="s">
        <v>284</v>
      </c>
      <c r="E44" t="s">
        <v>51</v>
      </c>
      <c r="F44" t="n">
        <v>0.326508980233597</v>
      </c>
      <c r="G44" t="n">
        <v>1.87408001960928</v>
      </c>
      <c r="H44" t="n">
        <v>0.846262625059578</v>
      </c>
      <c r="I44" t="n">
        <v>-1.28469997717855</v>
      </c>
      <c r="J44" t="n">
        <v>-0.501240160750563</v>
      </c>
      <c r="K44" t="n">
        <v>0.882127526764119</v>
      </c>
      <c r="L44" t="n">
        <v>0.107636114756846</v>
      </c>
      <c r="M44" t="n">
        <v>1.503335283042</v>
      </c>
      <c r="N44" t="n">
        <v>0.915810927103753</v>
      </c>
      <c r="O44" t="n">
        <v>0.812908927746932</v>
      </c>
      <c r="P44" t="n">
        <v>1.92457038571477</v>
      </c>
      <c r="Q44" t="n">
        <v>-0.915180963315914</v>
      </c>
      <c r="R44" t="n">
        <v>1.02443125607306</v>
      </c>
      <c r="S44" t="n">
        <v>-1.1002019394149</v>
      </c>
      <c r="T44" t="n">
        <v>-6.06324132797651</v>
      </c>
      <c r="U44" t="n">
        <v>4.06536355391814</v>
      </c>
      <c r="V44" t="n">
        <v>-0.322012017163473</v>
      </c>
      <c r="W44" t="n">
        <v>0.227238794582652</v>
      </c>
      <c r="X44" t="n">
        <v>3.26036698369736</v>
      </c>
      <c r="Y44" t="n">
        <v>-0.302042605109325</v>
      </c>
      <c r="Z44" t="n">
        <v>0.810460700684504</v>
      </c>
      <c r="AA44" t="n">
        <v>-0.346496933595596</v>
      </c>
      <c r="AB44" t="n">
        <v>1.48004046094919</v>
      </c>
      <c r="AC44" t="n">
        <v>0.739220620667204</v>
      </c>
      <c r="AD44" t="n">
        <v>-0.161582900571879</v>
      </c>
      <c r="AE44" t="n">
        <v>-2.06353740016356</v>
      </c>
      <c r="AF44"/>
    </row>
    <row r="45">
      <c r="A45" t="s">
        <v>194</v>
      </c>
      <c r="B45" t="s">
        <v>283</v>
      </c>
      <c r="C45" t="s">
        <v>195</v>
      </c>
      <c r="D45" t="s">
        <v>284</v>
      </c>
      <c r="E45" t="s">
        <v>51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283</v>
      </c>
      <c r="C46" t="s">
        <v>197</v>
      </c>
      <c r="D46" t="s">
        <v>284</v>
      </c>
      <c r="E46" t="s">
        <v>51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283</v>
      </c>
      <c r="C47" t="s">
        <v>199</v>
      </c>
      <c r="D47" t="s">
        <v>284</v>
      </c>
      <c r="E47" t="s">
        <v>51</v>
      </c>
      <c r="F47" t="n">
        <v>-1.5537160187163</v>
      </c>
      <c r="G47" t="n">
        <v>2.94201081790649</v>
      </c>
      <c r="H47" t="n">
        <v>1.63075435902854</v>
      </c>
      <c r="I47" t="n">
        <v>-0.113014363012004</v>
      </c>
      <c r="J47" t="n">
        <v>0.622419382061429</v>
      </c>
      <c r="K47" t="n">
        <v>0.300574175917184</v>
      </c>
      <c r="L47" t="n">
        <v>0.776827017557279</v>
      </c>
      <c r="M47" t="n">
        <v>-2.32443739213032</v>
      </c>
      <c r="N47" t="n">
        <v>-1.55966240044152</v>
      </c>
      <c r="O47" t="n">
        <v>-1.6250053536438</v>
      </c>
      <c r="P47" t="n">
        <v>1.12240468725016</v>
      </c>
      <c r="Q47" t="n">
        <v>2.18434668106325</v>
      </c>
      <c r="R47" t="n">
        <v>2.67547588392394</v>
      </c>
      <c r="S47" t="n">
        <v>3.67288968448658</v>
      </c>
      <c r="T47" t="n">
        <v>-0.388845177123386</v>
      </c>
      <c r="U47" t="n">
        <v>0.786278194273813</v>
      </c>
      <c r="V47" t="n">
        <v>2.85854939198965</v>
      </c>
      <c r="W47" t="n">
        <v>1.10440431911688</v>
      </c>
      <c r="X47" t="n">
        <v>2.00857606972529</v>
      </c>
      <c r="Y47" t="n">
        <v>1.36830207330998</v>
      </c>
      <c r="Z47" t="n">
        <v>1.57930911582545</v>
      </c>
      <c r="AA47" t="n">
        <v>1.52207335946406</v>
      </c>
      <c r="AB47" t="n">
        <v>0.950181167113767</v>
      </c>
      <c r="AC47" t="n">
        <v>3.80516667372625</v>
      </c>
      <c r="AD47" t="n">
        <v>-0.405552912065537</v>
      </c>
      <c r="AE47" t="n">
        <v>2.77790160301949</v>
      </c>
      <c r="AF47"/>
    </row>
    <row r="48">
      <c r="A48" t="s">
        <v>200</v>
      </c>
      <c r="B48" t="s">
        <v>283</v>
      </c>
      <c r="C48" t="s">
        <v>201</v>
      </c>
      <c r="D48" t="s">
        <v>284</v>
      </c>
      <c r="E48" t="s">
        <v>51</v>
      </c>
      <c r="F48" t="n">
        <v>-0.388713288849379</v>
      </c>
      <c r="G48" t="n">
        <v>1.15512977198607</v>
      </c>
      <c r="H48" t="n">
        <v>-0.577667839001108</v>
      </c>
      <c r="I48" t="n">
        <v>-1.50162703292384</v>
      </c>
      <c r="J48" t="n">
        <v>0.59713937936884</v>
      </c>
      <c r="K48" t="n">
        <v>-2.3723442101537</v>
      </c>
      <c r="L48" t="n">
        <v>0.908676006733055</v>
      </c>
      <c r="M48" t="n">
        <v>-1.86486435489809</v>
      </c>
      <c r="N48" t="n">
        <v>-2.79817757661288</v>
      </c>
      <c r="O48" t="n">
        <v>-3.05380122196814</v>
      </c>
      <c r="P48" t="n">
        <v>0.0590049336809909</v>
      </c>
      <c r="Q48" t="n">
        <v>-0.510168155999791</v>
      </c>
      <c r="R48" t="n">
        <v>3.13395230150565</v>
      </c>
      <c r="S48" t="n">
        <v>1.10743161850389</v>
      </c>
      <c r="T48" t="n">
        <v>-1.21070194791886</v>
      </c>
      <c r="U48" t="n">
        <v>-0.817053399113193</v>
      </c>
      <c r="V48" t="n">
        <v>0.739532692398862</v>
      </c>
      <c r="W48" t="n">
        <v>1.07176027737434</v>
      </c>
      <c r="X48" t="n">
        <v>0.996960609622643</v>
      </c>
      <c r="Y48" t="n">
        <v>-0.231118410962379</v>
      </c>
      <c r="Z48" t="n">
        <v>1.50409674250191</v>
      </c>
      <c r="AA48" t="n">
        <v>1.31515235714125</v>
      </c>
      <c r="AB48" t="n">
        <v>-1.59220429019059</v>
      </c>
      <c r="AC48" t="n">
        <v>2.57869749907349</v>
      </c>
      <c r="AD48" t="n">
        <v>1.02911974478835</v>
      </c>
      <c r="AE48" t="n">
        <v>3.73037539600992</v>
      </c>
      <c r="AF48"/>
    </row>
    <row r="49">
      <c r="A49" t="s">
        <v>202</v>
      </c>
      <c r="B49" t="s">
        <v>283</v>
      </c>
      <c r="C49" t="s">
        <v>203</v>
      </c>
      <c r="D49" t="s">
        <v>284</v>
      </c>
      <c r="E49" t="s">
        <v>51</v>
      </c>
      <c r="F49" t="n">
        <v>0.891001254515063</v>
      </c>
      <c r="G49" t="n">
        <v>2.19509111426881</v>
      </c>
      <c r="H49" t="n">
        <v>-1.81555977492127</v>
      </c>
      <c r="I49" t="n">
        <v>-2.66517858849782</v>
      </c>
      <c r="J49" t="n">
        <v>1.1778297052024</v>
      </c>
      <c r="K49" t="n">
        <v>1.2533744753715</v>
      </c>
      <c r="L49" t="n">
        <v>1.89080325358223</v>
      </c>
      <c r="M49" t="n">
        <v>1.54125371820081</v>
      </c>
      <c r="N49" t="n">
        <v>-3.63750131214941</v>
      </c>
      <c r="O49" t="n">
        <v>-4.15632775436883</v>
      </c>
      <c r="P49" t="n">
        <v>-0.143556775646541</v>
      </c>
      <c r="Q49" t="n">
        <v>-0.104220030115671</v>
      </c>
      <c r="R49" t="n">
        <v>3.2830928275883</v>
      </c>
      <c r="S49" t="n">
        <v>0.0087363488602411</v>
      </c>
      <c r="T49" t="n">
        <v>-1.86094173014516</v>
      </c>
      <c r="U49" t="n">
        <v>-1.39466253306309</v>
      </c>
      <c r="V49" t="n">
        <v>2.46763840601444</v>
      </c>
      <c r="W49" t="n">
        <v>1.49815847228063</v>
      </c>
      <c r="X49" t="n">
        <v>1.2604721954858</v>
      </c>
      <c r="Y49" t="n">
        <v>-1.04988541678464</v>
      </c>
      <c r="Z49" t="n">
        <v>-2.15951908644608</v>
      </c>
      <c r="AA49" t="n">
        <v>-0.272720807023085</v>
      </c>
      <c r="AB49" t="n">
        <v>-0.29679377514561</v>
      </c>
      <c r="AC49" t="n">
        <v>1.20672818451226</v>
      </c>
      <c r="AD49" t="n">
        <v>2.90536387528374</v>
      </c>
      <c r="AE49" t="n">
        <v>4.07916524919278</v>
      </c>
      <c r="AF49"/>
    </row>
    <row r="50">
      <c r="A50" t="s">
        <v>204</v>
      </c>
      <c r="B50" t="s">
        <v>283</v>
      </c>
      <c r="C50" t="s">
        <v>205</v>
      </c>
      <c r="D50" t="s">
        <v>284</v>
      </c>
      <c r="E50" t="s">
        <v>51</v>
      </c>
      <c r="F50" t="n">
        <v>-0.136587632117739</v>
      </c>
      <c r="G50" t="n">
        <v>-2.25491246626047</v>
      </c>
      <c r="H50" t="n">
        <v>-2.33256221080204</v>
      </c>
      <c r="I50" t="n">
        <v>-2.55995292854351</v>
      </c>
      <c r="J50" t="n">
        <v>0.215514666179045</v>
      </c>
      <c r="K50" t="n">
        <v>-7.66669921027198</v>
      </c>
      <c r="L50" t="n">
        <v>0.639569854657669</v>
      </c>
      <c r="M50" t="n">
        <v>-3.58701496250371</v>
      </c>
      <c r="N50" t="n">
        <v>-3.23764621097173</v>
      </c>
      <c r="O50" t="n">
        <v>-3.84809224564125</v>
      </c>
      <c r="P50" t="n">
        <v>-1.1268468585992</v>
      </c>
      <c r="Q50" t="n">
        <v>-3.16094722664653</v>
      </c>
      <c r="R50" t="n">
        <v>3.7088154524075</v>
      </c>
      <c r="S50" t="n">
        <v>-0.368805490249495</v>
      </c>
      <c r="T50" t="n">
        <v>-1.42286598524562</v>
      </c>
      <c r="U50" t="n">
        <v>-1.77448418283469</v>
      </c>
      <c r="V50" t="n">
        <v>-1.71347963595846</v>
      </c>
      <c r="W50" t="n">
        <v>0.889826232399873</v>
      </c>
      <c r="X50" t="n">
        <v>0.354642806420057</v>
      </c>
      <c r="Y50" t="n">
        <v>-0.837892287911094</v>
      </c>
      <c r="Z50" t="n">
        <v>3.26130237275896</v>
      </c>
      <c r="AA50" t="n">
        <v>2.16609309692716</v>
      </c>
      <c r="AB50" t="n">
        <v>-3.68780120875445</v>
      </c>
      <c r="AC50" t="n">
        <v>2.77042140654522</v>
      </c>
      <c r="AD50" t="n">
        <v>1.15122639539205</v>
      </c>
      <c r="AE50" t="n">
        <v>4.37859863316683</v>
      </c>
      <c r="AF50"/>
    </row>
    <row r="51">
      <c r="A51" t="s">
        <v>206</v>
      </c>
      <c r="B51" t="s">
        <v>283</v>
      </c>
      <c r="C51" t="s">
        <v>207</v>
      </c>
      <c r="D51" t="s">
        <v>284</v>
      </c>
      <c r="E51" t="s">
        <v>51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283</v>
      </c>
      <c r="C52" t="s">
        <v>209</v>
      </c>
      <c r="D52" t="s">
        <v>284</v>
      </c>
      <c r="E52" t="s">
        <v>51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283</v>
      </c>
      <c r="C53" t="s">
        <v>211</v>
      </c>
      <c r="D53" t="s">
        <v>284</v>
      </c>
      <c r="E53" t="s">
        <v>51</v>
      </c>
      <c r="F53" t="n">
        <v>-10.3115032253421</v>
      </c>
      <c r="G53" t="n">
        <v>-6.42183448178237</v>
      </c>
      <c r="H53" t="n">
        <v>-3.94582655888797</v>
      </c>
      <c r="I53" t="n">
        <v>-1.74759395402681</v>
      </c>
      <c r="J53" t="n">
        <v>-4.71496186951474</v>
      </c>
      <c r="K53" t="n">
        <v>2.6291302538365</v>
      </c>
      <c r="L53" t="n">
        <v>-7.2845110883657</v>
      </c>
      <c r="M53" t="n">
        <v>3.62775371727893</v>
      </c>
      <c r="N53" t="n">
        <v>-4.02720896940852</v>
      </c>
      <c r="O53" t="n">
        <v>-5.16491544799998</v>
      </c>
      <c r="P53" t="n">
        <v>3.4889917040916</v>
      </c>
      <c r="Q53" t="n">
        <v>-0.36225348860689</v>
      </c>
      <c r="R53" t="n">
        <v>-0.599047058940491</v>
      </c>
      <c r="S53" t="n">
        <v>-3.32392512725984</v>
      </c>
      <c r="T53" t="n">
        <v>-1.72117345665138</v>
      </c>
      <c r="U53" t="n">
        <v>-2.27198917621705</v>
      </c>
      <c r="V53" t="n">
        <v>1.0962151802068</v>
      </c>
      <c r="W53" t="n">
        <v>7.10435484320885</v>
      </c>
      <c r="X53" t="n">
        <v>6.26477785131664</v>
      </c>
      <c r="Y53" t="n">
        <v>0.727494377214406</v>
      </c>
      <c r="Z53" t="n">
        <v>-0.739984493331606</v>
      </c>
      <c r="AA53" t="n">
        <v>-7.57927808625317</v>
      </c>
      <c r="AB53" t="n">
        <v>-3.25093251148753</v>
      </c>
      <c r="AC53" t="n">
        <v>-1.72861704583203</v>
      </c>
      <c r="AD53" t="n">
        <v>-2.8471369435131</v>
      </c>
      <c r="AE53" t="n">
        <v>-17.1507117256474</v>
      </c>
      <c r="AF53"/>
    </row>
    <row r="54">
      <c r="A54" t="s">
        <v>212</v>
      </c>
      <c r="B54" t="s">
        <v>283</v>
      </c>
      <c r="C54" t="s">
        <v>213</v>
      </c>
      <c r="D54" t="s">
        <v>284</v>
      </c>
      <c r="E54" t="s">
        <v>51</v>
      </c>
      <c r="F54" t="n">
        <v>-6.95070774777085</v>
      </c>
      <c r="G54" t="n">
        <v>-0.326525983091033</v>
      </c>
      <c r="H54" t="n">
        <v>0.58345130012773</v>
      </c>
      <c r="I54" t="n">
        <v>1.84255139408986</v>
      </c>
      <c r="J54" t="n">
        <v>0.265159429616573</v>
      </c>
      <c r="K54" t="n">
        <v>2.34100901131748</v>
      </c>
      <c r="L54" t="n">
        <v>-4.61520691905628</v>
      </c>
      <c r="M54" t="n">
        <v>3.28602734627567</v>
      </c>
      <c r="N54" t="n">
        <v>0.0407945404531245</v>
      </c>
      <c r="O54" t="n">
        <v>-4.17697595569834</v>
      </c>
      <c r="P54" t="n">
        <v>1.15324296394207</v>
      </c>
      <c r="Q54" t="n">
        <v>-3.68344630650913</v>
      </c>
      <c r="R54" t="n">
        <v>3.63799971368866</v>
      </c>
      <c r="S54" t="n">
        <v>-2.4585983768883</v>
      </c>
      <c r="T54" t="n">
        <v>-3.56960394800004</v>
      </c>
      <c r="U54" t="n">
        <v>-3.07326808195244</v>
      </c>
      <c r="V54" t="n">
        <v>1.71923533759552</v>
      </c>
      <c r="W54" t="n">
        <v>0.0119443500588818</v>
      </c>
      <c r="X54" t="n">
        <v>0.658700010883935</v>
      </c>
      <c r="Y54" t="n">
        <v>-0.664697384502702</v>
      </c>
      <c r="Z54" t="n">
        <v>-0.882581439897272</v>
      </c>
      <c r="AA54" t="n">
        <v>-3.53656154503897</v>
      </c>
      <c r="AB54" t="n">
        <v>-1.05433894328729</v>
      </c>
      <c r="AC54" t="n">
        <v>-1.92259808161017</v>
      </c>
      <c r="AD54" t="n">
        <v>0.275824908668965</v>
      </c>
      <c r="AE54" t="n">
        <v>-11.3046494551763</v>
      </c>
      <c r="AF54"/>
    </row>
    <row r="55">
      <c r="A55" t="s">
        <v>214</v>
      </c>
      <c r="B55" t="s">
        <v>283</v>
      </c>
      <c r="C55" t="s">
        <v>215</v>
      </c>
      <c r="D55" t="s">
        <v>284</v>
      </c>
      <c r="E55" t="s">
        <v>51</v>
      </c>
      <c r="F55" t="n">
        <v>-4.74876719201691</v>
      </c>
      <c r="G55" t="n">
        <v>3.72956248346297</v>
      </c>
      <c r="H55" t="n">
        <v>3.82430867423338</v>
      </c>
      <c r="I55" t="n">
        <v>4.38296825082937</v>
      </c>
      <c r="J55" t="n">
        <v>3.40582556399536</v>
      </c>
      <c r="K55" t="n">
        <v>2.24203720911798</v>
      </c>
      <c r="L55" t="n">
        <v>-2.98600727080478</v>
      </c>
      <c r="M55" t="n">
        <v>3.00724086514655</v>
      </c>
      <c r="N55" t="n">
        <v>2.36240489781033</v>
      </c>
      <c r="O55" t="n">
        <v>-3.67908042704776</v>
      </c>
      <c r="P55" t="n">
        <v>-0.195894711024605</v>
      </c>
      <c r="Q55" t="n">
        <v>-5.42792483914026</v>
      </c>
      <c r="R55" t="n">
        <v>5.89528234644543</v>
      </c>
      <c r="S55" t="n">
        <v>-2.07298862523985</v>
      </c>
      <c r="T55" t="n">
        <v>-4.46459281960456</v>
      </c>
      <c r="U55" t="n">
        <v>-3.45736123570373</v>
      </c>
      <c r="V55" t="n">
        <v>2.13128442658815</v>
      </c>
      <c r="W55" t="n">
        <v>-3.85454537751826</v>
      </c>
      <c r="X55" t="n">
        <v>-2.68938506363595</v>
      </c>
      <c r="Y55" t="n">
        <v>-1.53430108542153</v>
      </c>
      <c r="Z55" t="n">
        <v>-1.11236188451607</v>
      </c>
      <c r="AA55" t="n">
        <v>-1.19950420271518</v>
      </c>
      <c r="AB55" t="n">
        <v>0.184696267161441</v>
      </c>
      <c r="AC55" t="n">
        <v>-2.05094096823643</v>
      </c>
      <c r="AD55" t="n">
        <v>2.15533607226336</v>
      </c>
      <c r="AE55" t="n">
        <v>-7.98549584161904</v>
      </c>
      <c r="AF55"/>
    </row>
    <row r="56">
      <c r="A56" t="s">
        <v>216</v>
      </c>
      <c r="B56" t="s">
        <v>283</v>
      </c>
      <c r="C56" t="s">
        <v>217</v>
      </c>
      <c r="D56" t="s">
        <v>284</v>
      </c>
      <c r="E56" t="s">
        <v>51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283</v>
      </c>
      <c r="C57" t="s">
        <v>219</v>
      </c>
      <c r="D57" t="s">
        <v>284</v>
      </c>
      <c r="E57" t="s">
        <v>51</v>
      </c>
      <c r="F57" t="n">
        <v>-0.0595236802200294</v>
      </c>
      <c r="G57" t="n">
        <v>1.30860871392741</v>
      </c>
      <c r="H57" t="n">
        <v>0.33230935766984</v>
      </c>
      <c r="I57" t="n">
        <v>-1.53393598972928</v>
      </c>
      <c r="J57" t="n">
        <v>-0.417541184832477</v>
      </c>
      <c r="K57" t="n">
        <v>0.382383381887827</v>
      </c>
      <c r="L57" t="n">
        <v>0.244739128055122</v>
      </c>
      <c r="M57" t="n">
        <v>0.903487777297611</v>
      </c>
      <c r="N57" t="n">
        <v>0.340102808998279</v>
      </c>
      <c r="O57" t="n">
        <v>0.143790550033859</v>
      </c>
      <c r="P57" t="n">
        <v>1.52708885687957</v>
      </c>
      <c r="Q57" t="n">
        <v>-0.671143765560083</v>
      </c>
      <c r="R57" t="n">
        <v>1.17336902945613</v>
      </c>
      <c r="S57" t="n">
        <v>-0.487876332971506</v>
      </c>
      <c r="T57" t="n">
        <v>-4.37040876804361</v>
      </c>
      <c r="U57" t="n">
        <v>3.0379862132486</v>
      </c>
      <c r="V57" t="n">
        <v>0.144312739747542</v>
      </c>
      <c r="W57" t="n">
        <v>0.322039321531553</v>
      </c>
      <c r="X57" t="n">
        <v>2.68565561956337</v>
      </c>
      <c r="Y57" t="n">
        <v>-0.117694762089153</v>
      </c>
      <c r="Z57" t="n">
        <v>0.75654012230795</v>
      </c>
      <c r="AA57" t="n">
        <v>-0.0344559820619423</v>
      </c>
      <c r="AB57" t="n">
        <v>0.642729952060459</v>
      </c>
      <c r="AC57" t="n">
        <v>0.987472569821102</v>
      </c>
      <c r="AD57" t="n">
        <v>0.25031905989342</v>
      </c>
      <c r="AE57" t="n">
        <v>-0.430804792780712</v>
      </c>
      <c r="AF57"/>
    </row>
    <row r="58">
      <c r="A58" t="s">
        <v>220</v>
      </c>
      <c r="B58" t="s">
        <v>283</v>
      </c>
      <c r="C58" t="s">
        <v>221</v>
      </c>
      <c r="D58" t="s">
        <v>284</v>
      </c>
      <c r="E58" t="s">
        <v>51</v>
      </c>
      <c r="F58" t="n">
        <v>-0.0364832795736876</v>
      </c>
      <c r="G58" t="n">
        <v>1.38489492065557</v>
      </c>
      <c r="H58" t="n">
        <v>0.396844950663877</v>
      </c>
      <c r="I58" t="n">
        <v>-1.46551526876662</v>
      </c>
      <c r="J58" t="n">
        <v>-0.380532132988376</v>
      </c>
      <c r="K58" t="n">
        <v>0.431855961250101</v>
      </c>
      <c r="L58" t="n">
        <v>0.278996957366341</v>
      </c>
      <c r="M58" t="n">
        <v>0.927535531969635</v>
      </c>
      <c r="N58" t="n">
        <v>0.35480598436289</v>
      </c>
      <c r="O58" t="n">
        <v>0.144287836064954</v>
      </c>
      <c r="P58" t="n">
        <v>1.57712159304745</v>
      </c>
      <c r="Q58" t="n">
        <v>-0.676885839210335</v>
      </c>
      <c r="R58" t="n">
        <v>1.16238681269814</v>
      </c>
      <c r="S58" t="n">
        <v>-0.573060307923511</v>
      </c>
      <c r="T58" t="n">
        <v>-4.43311337560896</v>
      </c>
      <c r="U58" t="n">
        <v>3.00727876730006</v>
      </c>
      <c r="V58" t="n">
        <v>0.109647812627741</v>
      </c>
      <c r="W58" t="n">
        <v>0.326699431378832</v>
      </c>
      <c r="X58" t="n">
        <v>2.77746709285296</v>
      </c>
      <c r="Y58" t="n">
        <v>-0.0912050449333051</v>
      </c>
      <c r="Z58" t="n">
        <v>0.787343225983438</v>
      </c>
      <c r="AA58" t="n">
        <v>-0.10794536734752</v>
      </c>
      <c r="AB58" t="n">
        <v>0.675133613869533</v>
      </c>
      <c r="AC58" t="n">
        <v>0.984452644079762</v>
      </c>
      <c r="AD58" t="n">
        <v>0.209277877548899</v>
      </c>
      <c r="AE58" t="n">
        <v>-0.478123418460769</v>
      </c>
      <c r="AF58"/>
    </row>
    <row r="59">
      <c r="A59" t="s">
        <v>222</v>
      </c>
      <c r="B59" t="s">
        <v>283</v>
      </c>
      <c r="C59" t="s">
        <v>223</v>
      </c>
      <c r="D59" t="s">
        <v>284</v>
      </c>
      <c r="E59" t="s">
        <v>51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283</v>
      </c>
      <c r="C2" t="s">
        <v>108</v>
      </c>
      <c r="D2" t="s">
        <v>284</v>
      </c>
      <c r="E2" t="s">
        <v>54</v>
      </c>
      <c r="F2" t="n">
        <v>-6.76853903179211</v>
      </c>
      <c r="G2" t="n">
        <v>3.57835527372323</v>
      </c>
      <c r="H2" t="n">
        <v>-2.09302150112851</v>
      </c>
      <c r="I2" t="n">
        <v>-1.57067176266405</v>
      </c>
      <c r="J2" t="n">
        <v>-1.94121286159206</v>
      </c>
      <c r="K2" t="n">
        <v>3.66078780040979</v>
      </c>
      <c r="L2" t="n">
        <v>-9.30601225980023</v>
      </c>
      <c r="M2" t="n">
        <v>7.65661712848846</v>
      </c>
      <c r="N2" t="n">
        <v>-12.4265004027128</v>
      </c>
      <c r="O2" t="n">
        <v>-8.2095293336204</v>
      </c>
      <c r="P2" t="n">
        <v>-2.03265141049105</v>
      </c>
      <c r="Q2" t="n">
        <v>-6.19554427336144</v>
      </c>
      <c r="R2" t="n">
        <v>0.290172993339155</v>
      </c>
      <c r="S2" t="n">
        <v>3.56744804151177</v>
      </c>
      <c r="T2" t="n">
        <v>-9.80399792591164</v>
      </c>
      <c r="U2" t="n">
        <v>-5.64013489917379</v>
      </c>
      <c r="V2" t="n">
        <v>1.74086807040403</v>
      </c>
      <c r="W2" t="n">
        <v>-1.76467201924915</v>
      </c>
      <c r="X2" t="n">
        <v>-2.4822470587953</v>
      </c>
      <c r="Y2" t="n">
        <v>-7.38409032647116</v>
      </c>
      <c r="Z2" t="n">
        <v>-7.06580683793252</v>
      </c>
      <c r="AA2" t="n">
        <v>-11.8906747643312</v>
      </c>
      <c r="AB2" t="n">
        <v>-2.78243214524743</v>
      </c>
      <c r="AC2" t="n">
        <v>-13.3574223644578</v>
      </c>
      <c r="AD2" t="n">
        <v>0.851354844544616</v>
      </c>
      <c r="AE2" t="n">
        <v>-4.86077024693365</v>
      </c>
      <c r="AF2" t="n">
        <v>6.48304737270102</v>
      </c>
    </row>
    <row r="3">
      <c r="A3" t="s">
        <v>110</v>
      </c>
      <c r="B3" t="s">
        <v>283</v>
      </c>
      <c r="C3" t="s">
        <v>111</v>
      </c>
      <c r="D3" t="s">
        <v>284</v>
      </c>
      <c r="E3" t="s">
        <v>54</v>
      </c>
      <c r="F3" t="n">
        <v>-4.76742644727945</v>
      </c>
      <c r="G3" t="n">
        <v>6.42545345749372</v>
      </c>
      <c r="H3" t="n">
        <v>-16.1445653720964</v>
      </c>
      <c r="I3" t="n">
        <v>5.56307443339978</v>
      </c>
      <c r="J3" t="n">
        <v>-0.129029362859789</v>
      </c>
      <c r="K3" t="n">
        <v>12.0822808962004</v>
      </c>
      <c r="L3" t="n">
        <v>6.91163329441604</v>
      </c>
      <c r="M3" t="n">
        <v>7.70483341950889</v>
      </c>
      <c r="N3" t="n">
        <v>0.0496361247598998</v>
      </c>
      <c r="O3" t="n">
        <v>2.08828971709547</v>
      </c>
      <c r="P3" t="n">
        <v>3.39176402667292</v>
      </c>
      <c r="Q3" t="n">
        <v>-3.84235704704388</v>
      </c>
      <c r="R3" t="n">
        <v>-9.33082370613239</v>
      </c>
      <c r="S3" t="n">
        <v>9.61446262232108</v>
      </c>
      <c r="T3" t="n">
        <v>-77.7355377571945</v>
      </c>
      <c r="U3" t="n">
        <v>6.9007719756959</v>
      </c>
      <c r="V3" t="n">
        <v>18.3091036583274</v>
      </c>
      <c r="W3" t="n">
        <v>-7.79953818724799</v>
      </c>
      <c r="X3" t="n">
        <v>12.5586733432384</v>
      </c>
      <c r="Y3" t="n">
        <v>-22.7145510148505</v>
      </c>
      <c r="Z3" t="n">
        <v>-7.0333166630947</v>
      </c>
      <c r="AA3" t="n">
        <v>12.5786194716632</v>
      </c>
      <c r="AB3" t="n">
        <v>-12.5167785660164</v>
      </c>
      <c r="AC3" t="n">
        <v>19.1301390654678</v>
      </c>
      <c r="AD3" t="n">
        <v>-5.14544072558163</v>
      </c>
      <c r="AE3" t="n">
        <v>-5.2248807637012</v>
      </c>
      <c r="AF3" t="n">
        <v>-6.74636926132148</v>
      </c>
    </row>
    <row r="4">
      <c r="A4" t="s">
        <v>112</v>
      </c>
      <c r="B4" t="s">
        <v>283</v>
      </c>
      <c r="C4" t="s">
        <v>113</v>
      </c>
      <c r="D4" t="s">
        <v>284</v>
      </c>
      <c r="E4" t="s">
        <v>54</v>
      </c>
      <c r="F4" t="n">
        <v>7.0367091298781</v>
      </c>
      <c r="G4" t="n">
        <v>4.25065298588869</v>
      </c>
      <c r="H4" t="n">
        <v>2.52166996586354</v>
      </c>
      <c r="I4" t="n">
        <v>0.00273229036444889</v>
      </c>
      <c r="J4" t="n">
        <v>1.81466905267058</v>
      </c>
      <c r="K4" t="n">
        <v>6.37621180060854</v>
      </c>
      <c r="L4" t="n">
        <v>-3.01744790134286</v>
      </c>
      <c r="M4" t="n">
        <v>3.18967307689384</v>
      </c>
      <c r="N4" t="n">
        <v>7.40024762422706</v>
      </c>
      <c r="O4" t="n">
        <v>7.52617803783728</v>
      </c>
      <c r="P4" t="n">
        <v>5.11705978090866</v>
      </c>
      <c r="Q4" t="n">
        <v>1.49293606618777</v>
      </c>
      <c r="R4" t="n">
        <v>3.97745436144668</v>
      </c>
      <c r="S4" t="n">
        <v>1.13206079619843</v>
      </c>
      <c r="T4" t="n">
        <v>-13.4568448327904</v>
      </c>
      <c r="U4" t="n">
        <v>16.9059238728195</v>
      </c>
      <c r="V4" t="n">
        <v>-2.39682148062599</v>
      </c>
      <c r="W4" t="n">
        <v>3.22778426962103</v>
      </c>
      <c r="X4" t="n">
        <v>1.61100216823051</v>
      </c>
      <c r="Y4" t="n">
        <v>2.11056166556851</v>
      </c>
      <c r="Z4" t="n">
        <v>3.27144798950094</v>
      </c>
      <c r="AA4" t="n">
        <v>-0.632324470029388</v>
      </c>
      <c r="AB4" t="n">
        <v>3.24893494466139</v>
      </c>
      <c r="AC4" t="n">
        <v>1.79943188880927</v>
      </c>
      <c r="AD4" t="n">
        <v>-2.2355771106735</v>
      </c>
      <c r="AE4" t="n">
        <v>-4.56477913827129</v>
      </c>
      <c r="AF4" t="n">
        <v>8.2506177356116</v>
      </c>
    </row>
    <row r="5">
      <c r="A5" t="s">
        <v>114</v>
      </c>
      <c r="B5" t="s">
        <v>283</v>
      </c>
      <c r="C5" t="s">
        <v>115</v>
      </c>
      <c r="D5" t="s">
        <v>284</v>
      </c>
      <c r="E5" t="s">
        <v>54</v>
      </c>
      <c r="F5" t="n">
        <v>5.50937560952605</v>
      </c>
      <c r="G5" t="n">
        <v>0.715051762662355</v>
      </c>
      <c r="H5" t="n">
        <v>-0.613783370769738</v>
      </c>
      <c r="I5" t="n">
        <v>2.08962705900095</v>
      </c>
      <c r="J5" t="n">
        <v>-0.616991565918035</v>
      </c>
      <c r="K5" t="n">
        <v>-1.03483032208889</v>
      </c>
      <c r="L5" t="n">
        <v>-0.901094985503548</v>
      </c>
      <c r="M5" t="n">
        <v>-0.62560672121279</v>
      </c>
      <c r="N5" t="n">
        <v>3.00919075892452</v>
      </c>
      <c r="O5" t="n">
        <v>2.07233049396702</v>
      </c>
      <c r="P5" t="n">
        <v>-1.9202647663672</v>
      </c>
      <c r="Q5" t="n">
        <v>-0.803981614965998</v>
      </c>
      <c r="R5" t="n">
        <v>1.94099123764033</v>
      </c>
      <c r="S5" t="n">
        <v>-5.29439381732875</v>
      </c>
      <c r="T5" t="n">
        <v>-6.91891912184683</v>
      </c>
      <c r="U5" t="n">
        <v>4.71784012271304</v>
      </c>
      <c r="V5" t="n">
        <v>-1.3257394331557</v>
      </c>
      <c r="W5" t="n">
        <v>-1.52849729807052</v>
      </c>
      <c r="X5" t="n">
        <v>0.906851794648489</v>
      </c>
      <c r="Y5" t="n">
        <v>-0.0825709438325717</v>
      </c>
      <c r="Z5" t="n">
        <v>5.26065565915346</v>
      </c>
      <c r="AA5" t="n">
        <v>0.763858231192849</v>
      </c>
      <c r="AB5" t="n">
        <v>1.16993237543337</v>
      </c>
      <c r="AC5" t="n">
        <v>-1.50615817942477</v>
      </c>
      <c r="AD5" t="n">
        <v>-0.414000459351094</v>
      </c>
      <c r="AE5" t="n">
        <v>-6.22617053841861</v>
      </c>
      <c r="AF5" t="n">
        <v>4.05722837185891</v>
      </c>
    </row>
    <row r="6">
      <c r="A6" t="s">
        <v>116</v>
      </c>
      <c r="B6" t="s">
        <v>283</v>
      </c>
      <c r="C6" t="s">
        <v>117</v>
      </c>
      <c r="D6" t="s">
        <v>284</v>
      </c>
      <c r="E6" t="s">
        <v>54</v>
      </c>
      <c r="F6" t="n">
        <v>2.96084923233639</v>
      </c>
      <c r="G6" t="n">
        <v>-2.41786479174309</v>
      </c>
      <c r="H6" t="n">
        <v>-2.55577186313651</v>
      </c>
      <c r="I6" t="n">
        <v>1.30567341642713</v>
      </c>
      <c r="J6" t="n">
        <v>-8.88046381653194</v>
      </c>
      <c r="K6" t="n">
        <v>0.549748739156897</v>
      </c>
      <c r="L6" t="n">
        <v>-6.88591666350789</v>
      </c>
      <c r="M6" t="n">
        <v>-1.35009140564559</v>
      </c>
      <c r="N6" t="n">
        <v>2.3184226911269</v>
      </c>
      <c r="O6" t="n">
        <v>2.51526615690914</v>
      </c>
      <c r="P6" t="n">
        <v>-4.70959322172639</v>
      </c>
      <c r="Q6" t="n">
        <v>-1.44219061838395</v>
      </c>
      <c r="R6" t="n">
        <v>4.75559281419944</v>
      </c>
      <c r="S6" t="n">
        <v>0.522180120145066</v>
      </c>
      <c r="T6" t="n">
        <v>-18.6938497955984</v>
      </c>
      <c r="U6" t="n">
        <v>1.7165183205698</v>
      </c>
      <c r="V6" t="n">
        <v>6.78516319243396</v>
      </c>
      <c r="W6" t="n">
        <v>0.823097359959846</v>
      </c>
      <c r="X6" t="n">
        <v>0.634449669812831</v>
      </c>
      <c r="Y6" t="n">
        <v>4.27240310856405</v>
      </c>
      <c r="Z6" t="n">
        <v>14.4799650057594</v>
      </c>
      <c r="AA6" t="n">
        <v>-17.5580373844852</v>
      </c>
      <c r="AB6" t="n">
        <v>0.362972659818084</v>
      </c>
      <c r="AC6" t="n">
        <v>9.25356257797159</v>
      </c>
      <c r="AD6" t="n">
        <v>1.70503103447697</v>
      </c>
      <c r="AE6" t="n">
        <v>0.596334412515631</v>
      </c>
      <c r="AF6" t="n">
        <v>-1.19887658500417</v>
      </c>
    </row>
    <row r="7">
      <c r="A7" t="s">
        <v>118</v>
      </c>
      <c r="B7" t="s">
        <v>283</v>
      </c>
      <c r="C7" t="s">
        <v>119</v>
      </c>
      <c r="D7" t="s">
        <v>284</v>
      </c>
      <c r="E7" t="s">
        <v>54</v>
      </c>
      <c r="F7" t="n">
        <v>5.98269162952665</v>
      </c>
      <c r="G7" t="n">
        <v>0.962371429185893</v>
      </c>
      <c r="H7" t="n">
        <v>-0.861774337104748</v>
      </c>
      <c r="I7" t="n">
        <v>1.90249418692208</v>
      </c>
      <c r="J7" t="n">
        <v>-4.06637642570935</v>
      </c>
      <c r="K7" t="n">
        <v>4.00665136509399</v>
      </c>
      <c r="L7" t="n">
        <v>-3.36420413711682</v>
      </c>
      <c r="M7" t="n">
        <v>-2.19672579620127</v>
      </c>
      <c r="N7" t="n">
        <v>0.865129044169777</v>
      </c>
      <c r="O7" t="n">
        <v>3.81464994977332</v>
      </c>
      <c r="P7" t="n">
        <v>6.32677904790828</v>
      </c>
      <c r="Q7" t="n">
        <v>-4.0607469635539</v>
      </c>
      <c r="R7" t="n">
        <v>-0.316577967584308</v>
      </c>
      <c r="S7" t="n">
        <v>0.46045041104108</v>
      </c>
      <c r="T7" t="n">
        <v>-8.07381464986356</v>
      </c>
      <c r="U7" t="n">
        <v>10.1628388257625</v>
      </c>
      <c r="V7" t="n">
        <v>-3.17735165383652</v>
      </c>
      <c r="W7" t="n">
        <v>-2.00801400311601</v>
      </c>
      <c r="X7" t="n">
        <v>8.12940332385441</v>
      </c>
      <c r="Y7" t="n">
        <v>2.07869769200748</v>
      </c>
      <c r="Z7" t="n">
        <v>10.5463326400583</v>
      </c>
      <c r="AA7" t="n">
        <v>-2.77457103211383</v>
      </c>
      <c r="AB7" t="n">
        <v>1.97283180185881</v>
      </c>
      <c r="AC7" t="n">
        <v>-0.213652093417771</v>
      </c>
      <c r="AD7" t="n">
        <v>-0.703456528326285</v>
      </c>
      <c r="AE7" t="n">
        <v>-9.25165351415469</v>
      </c>
      <c r="AF7" t="n">
        <v>1.41301307364294</v>
      </c>
    </row>
    <row r="8">
      <c r="A8" t="s">
        <v>120</v>
      </c>
      <c r="B8" t="s">
        <v>283</v>
      </c>
      <c r="C8" t="s">
        <v>121</v>
      </c>
      <c r="D8" t="s">
        <v>284</v>
      </c>
      <c r="E8" t="s">
        <v>54</v>
      </c>
      <c r="F8" t="n">
        <v>-1.61339916911452</v>
      </c>
      <c r="G8" t="n">
        <v>14.7539570485865</v>
      </c>
      <c r="H8" t="n">
        <v>3.09725327878159</v>
      </c>
      <c r="I8" t="n">
        <v>-12.9280079971696</v>
      </c>
      <c r="J8" t="n">
        <v>-4.37953163600646</v>
      </c>
      <c r="K8" t="n">
        <v>4.58237903805205</v>
      </c>
      <c r="L8" t="n">
        <v>-6.27290180905984</v>
      </c>
      <c r="M8" t="n">
        <v>-6.79898166317265</v>
      </c>
      <c r="N8" t="n">
        <v>-9.3892502490613</v>
      </c>
      <c r="O8" t="n">
        <v>-2.45571093581081</v>
      </c>
      <c r="P8" t="n">
        <v>-0.321095299931784</v>
      </c>
      <c r="Q8" t="n">
        <v>3.44543116221665</v>
      </c>
      <c r="R8" t="n">
        <v>-6.5697352351318</v>
      </c>
      <c r="S8" t="n">
        <v>-0.123690540980803</v>
      </c>
      <c r="T8" t="n">
        <v>3.36798830327147</v>
      </c>
      <c r="U8" t="n">
        <v>5.1938394066557</v>
      </c>
      <c r="V8" t="n">
        <v>-12.9624852721442</v>
      </c>
      <c r="W8" t="n">
        <v>11.7895937760394</v>
      </c>
      <c r="X8" t="n">
        <v>28.0382340921822</v>
      </c>
      <c r="Y8" t="n">
        <v>-15.7273880123549</v>
      </c>
      <c r="Z8" t="n">
        <v>-16.9954547122606</v>
      </c>
      <c r="AA8" t="n">
        <v>-0.0589688269581501</v>
      </c>
      <c r="AB8" t="n">
        <v>0.38284824381094</v>
      </c>
      <c r="AC8" t="n">
        <v>-1.32002683583927</v>
      </c>
      <c r="AD8" t="n">
        <v>-5.61305389047071</v>
      </c>
      <c r="AE8" t="n">
        <v>-9.96260054838576</v>
      </c>
      <c r="AF8" t="n">
        <v>8.65436996031033</v>
      </c>
    </row>
    <row r="9">
      <c r="A9" t="s">
        <v>122</v>
      </c>
      <c r="B9" t="s">
        <v>283</v>
      </c>
      <c r="C9" t="s">
        <v>123</v>
      </c>
      <c r="D9" t="s">
        <v>284</v>
      </c>
      <c r="E9" t="s">
        <v>54</v>
      </c>
      <c r="F9" t="n">
        <v>-0.203745074282402</v>
      </c>
      <c r="G9" t="n">
        <v>4.26328826199551</v>
      </c>
      <c r="H9" t="n">
        <v>2.88169089763581</v>
      </c>
      <c r="I9" t="n">
        <v>-3.42244844773809</v>
      </c>
      <c r="J9" t="n">
        <v>5.95902269123911</v>
      </c>
      <c r="K9" t="n">
        <v>-9.14125527449254</v>
      </c>
      <c r="L9" t="n">
        <v>-1.1864745151426</v>
      </c>
      <c r="M9" t="n">
        <v>3.59692039890938</v>
      </c>
      <c r="N9" t="n">
        <v>2.79499830848682</v>
      </c>
      <c r="O9" t="n">
        <v>-2.9490002618946</v>
      </c>
      <c r="P9" t="n">
        <v>-2.08096446788897</v>
      </c>
      <c r="Q9" t="n">
        <v>-4.63051403237618</v>
      </c>
      <c r="R9" t="n">
        <v>0.498292883657925</v>
      </c>
      <c r="S9" t="n">
        <v>-4.32322545894159</v>
      </c>
      <c r="T9" t="n">
        <v>-4.02363763421221</v>
      </c>
      <c r="U9" t="n">
        <v>12.1254576667242</v>
      </c>
      <c r="V9" t="n">
        <v>-6.49142225733374</v>
      </c>
      <c r="W9" t="n">
        <v>7.82338359736272</v>
      </c>
      <c r="X9" t="n">
        <v>3.62080306354766</v>
      </c>
      <c r="Y9" t="n">
        <v>0.569130236086934</v>
      </c>
      <c r="Z9" t="n">
        <v>11.4938849308395</v>
      </c>
      <c r="AA9" t="n">
        <v>6.09084027785034</v>
      </c>
      <c r="AB9" t="n">
        <v>-4.09921372443005</v>
      </c>
      <c r="AC9" t="n">
        <v>0.259414566209593</v>
      </c>
      <c r="AD9" t="n">
        <v>7.36590001344801</v>
      </c>
      <c r="AE9" t="n">
        <v>-3.19887854408325</v>
      </c>
      <c r="AF9" t="n">
        <v>-6.27227683753464</v>
      </c>
    </row>
    <row r="10">
      <c r="A10" t="s">
        <v>124</v>
      </c>
      <c r="B10" t="s">
        <v>283</v>
      </c>
      <c r="C10" t="s">
        <v>125</v>
      </c>
      <c r="D10" t="s">
        <v>284</v>
      </c>
      <c r="E10" t="s">
        <v>54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283</v>
      </c>
      <c r="C11" t="s">
        <v>127</v>
      </c>
      <c r="D11" t="s">
        <v>284</v>
      </c>
      <c r="E11" t="s">
        <v>54</v>
      </c>
      <c r="F11" t="n">
        <v>11.7079316006596</v>
      </c>
      <c r="G11" t="n">
        <v>3.05113314482117</v>
      </c>
      <c r="H11" t="n">
        <v>2.18386128923047</v>
      </c>
      <c r="I11" t="n">
        <v>5.30664600912232</v>
      </c>
      <c r="J11" t="n">
        <v>3.25665437425524</v>
      </c>
      <c r="K11" t="n">
        <v>12.9338807550377</v>
      </c>
      <c r="L11" t="n">
        <v>-3.06174327586177</v>
      </c>
      <c r="M11" t="n">
        <v>6.34350872841747</v>
      </c>
      <c r="N11" t="n">
        <v>11.6121131612253</v>
      </c>
      <c r="O11" t="n">
        <v>3.57540304157347</v>
      </c>
      <c r="P11" t="n">
        <v>-0.72812298085907</v>
      </c>
      <c r="Q11" t="n">
        <v>7.33823222434165</v>
      </c>
      <c r="R11" t="n">
        <v>5.77834852098267</v>
      </c>
      <c r="S11" t="n">
        <v>8.93374484069795</v>
      </c>
      <c r="T11" t="n">
        <v>1.3732367026174</v>
      </c>
      <c r="U11" t="n">
        <v>13.829795784712</v>
      </c>
      <c r="V11" t="n">
        <v>2.87164946224614</v>
      </c>
      <c r="W11" t="n">
        <v>-3.22503400134888</v>
      </c>
      <c r="X11" t="n">
        <v>2.09857616438942</v>
      </c>
      <c r="Y11" t="n">
        <v>-5.03923129891586</v>
      </c>
      <c r="Z11" t="n">
        <v>5.54133850740293</v>
      </c>
      <c r="AA11" t="n">
        <v>9.57891079741717</v>
      </c>
      <c r="AB11" t="n">
        <v>3.81744237687354</v>
      </c>
      <c r="AC11" t="n">
        <v>7.48241932836144</v>
      </c>
      <c r="AD11" t="n">
        <v>-2.37068128599489</v>
      </c>
      <c r="AE11" t="n">
        <v>10.7848856109234</v>
      </c>
      <c r="AF11" t="n">
        <v>2.82862960800436</v>
      </c>
    </row>
    <row r="12">
      <c r="A12" t="s">
        <v>128</v>
      </c>
      <c r="B12" t="s">
        <v>283</v>
      </c>
      <c r="C12" t="s">
        <v>129</v>
      </c>
      <c r="D12" t="s">
        <v>284</v>
      </c>
      <c r="E12" t="s">
        <v>54</v>
      </c>
      <c r="F12" t="n">
        <v>1.93442486562443</v>
      </c>
      <c r="G12" t="n">
        <v>0.1348855811516</v>
      </c>
      <c r="H12" t="n">
        <v>-1.46200039117428</v>
      </c>
      <c r="I12" t="n">
        <v>-2.87297734412277</v>
      </c>
      <c r="J12" t="n">
        <v>-4.76692564287475</v>
      </c>
      <c r="K12" t="n">
        <v>5.37050185825763</v>
      </c>
      <c r="L12" t="n">
        <v>-4.71271505742603</v>
      </c>
      <c r="M12" t="n">
        <v>0.319393435254334</v>
      </c>
      <c r="N12" t="n">
        <v>6.069245000241</v>
      </c>
      <c r="O12" t="n">
        <v>10.8430460558095</v>
      </c>
      <c r="P12" t="n">
        <v>1.23448235848969</v>
      </c>
      <c r="Q12" t="n">
        <v>-2.70671341000774</v>
      </c>
      <c r="R12" t="n">
        <v>5.27464548132368</v>
      </c>
      <c r="S12" t="n">
        <v>-1.29313977077601</v>
      </c>
      <c r="T12" t="n">
        <v>-25.6785857176769</v>
      </c>
      <c r="U12" t="n">
        <v>15.8297983570177</v>
      </c>
      <c r="V12" t="n">
        <v>2.64810336685724</v>
      </c>
      <c r="W12" t="n">
        <v>-1.69911291263407</v>
      </c>
      <c r="X12" t="n">
        <v>5.9976349907032</v>
      </c>
      <c r="Y12" t="n">
        <v>2.38813238239022</v>
      </c>
      <c r="Z12" t="n">
        <v>4.14635442735278</v>
      </c>
      <c r="AA12" t="n">
        <v>-3.34775548859358</v>
      </c>
      <c r="AB12" t="n">
        <v>7.63837172817095</v>
      </c>
      <c r="AC12" t="n">
        <v>1.80331930261257</v>
      </c>
      <c r="AD12" t="n">
        <v>-3.95117017382081</v>
      </c>
      <c r="AE12" t="n">
        <v>-2.09488682984418</v>
      </c>
      <c r="AF12" t="n">
        <v>7.95178821954128</v>
      </c>
    </row>
    <row r="13">
      <c r="A13" t="s">
        <v>130</v>
      </c>
      <c r="B13" t="s">
        <v>283</v>
      </c>
      <c r="C13" t="s">
        <v>131</v>
      </c>
      <c r="D13" t="s">
        <v>284</v>
      </c>
      <c r="E13" t="s">
        <v>54</v>
      </c>
      <c r="F13" t="n">
        <v>6.25850550412004</v>
      </c>
      <c r="G13" t="n">
        <v>2.59957768815102</v>
      </c>
      <c r="H13" t="n">
        <v>2.21091335811128</v>
      </c>
      <c r="I13" t="n">
        <v>-4.94960730531062</v>
      </c>
      <c r="J13" t="n">
        <v>2.91304936969734</v>
      </c>
      <c r="K13" t="n">
        <v>6.8667704184902</v>
      </c>
      <c r="L13" t="n">
        <v>-3.60469070711833</v>
      </c>
      <c r="M13" t="n">
        <v>-3.75114732594497</v>
      </c>
      <c r="N13" t="n">
        <v>5.32276392930253</v>
      </c>
      <c r="O13" t="n">
        <v>5.27859912106763</v>
      </c>
      <c r="P13" t="n">
        <v>6.54495684591918</v>
      </c>
      <c r="Q13" t="n">
        <v>0.808635737585561</v>
      </c>
      <c r="R13" t="n">
        <v>1.854711766482</v>
      </c>
      <c r="S13" t="n">
        <v>-2.12054306778544</v>
      </c>
      <c r="T13" t="n">
        <v>-19.3678553975921</v>
      </c>
      <c r="U13" t="n">
        <v>26.0794621736851</v>
      </c>
      <c r="V13" t="n">
        <v>-15.1201679454152</v>
      </c>
      <c r="W13" t="n">
        <v>6.62325227555751</v>
      </c>
      <c r="X13" t="n">
        <v>4.43245505589687</v>
      </c>
      <c r="Y13" t="n">
        <v>0.953894424186252</v>
      </c>
      <c r="Z13" t="n">
        <v>1.08953893586286</v>
      </c>
      <c r="AA13" t="n">
        <v>-1.42649663630063</v>
      </c>
      <c r="AB13" t="n">
        <v>-0.310536745668522</v>
      </c>
      <c r="AC13" t="n">
        <v>-5.0520112932416</v>
      </c>
      <c r="AD13" t="n">
        <v>-5.60977318780598</v>
      </c>
      <c r="AE13" t="n">
        <v>-10.1290614176673</v>
      </c>
      <c r="AF13" t="n">
        <v>12.0405217667495</v>
      </c>
    </row>
    <row r="14">
      <c r="A14" t="s">
        <v>132</v>
      </c>
      <c r="B14" t="s">
        <v>283</v>
      </c>
      <c r="C14" t="s">
        <v>133</v>
      </c>
      <c r="D14" t="s">
        <v>284</v>
      </c>
      <c r="E14" t="s">
        <v>54</v>
      </c>
      <c r="F14" t="n">
        <v>17.010649507025</v>
      </c>
      <c r="G14" t="n">
        <v>17.6182188446779</v>
      </c>
      <c r="H14" t="n">
        <v>10.793141120998</v>
      </c>
      <c r="I14" t="n">
        <v>2.74760266333001</v>
      </c>
      <c r="J14" t="n">
        <v>8.36720987001023</v>
      </c>
      <c r="K14" t="n">
        <v>17.2337241796186</v>
      </c>
      <c r="L14" t="n">
        <v>-4.72616983513188</v>
      </c>
      <c r="M14" t="n">
        <v>16.5443367076305</v>
      </c>
      <c r="N14" t="n">
        <v>25.0539039327331</v>
      </c>
      <c r="O14" t="n">
        <v>19.8887588773532</v>
      </c>
      <c r="P14" t="n">
        <v>14.3816406842928</v>
      </c>
      <c r="Q14" t="n">
        <v>9.27345434969826</v>
      </c>
      <c r="R14" t="n">
        <v>10.7713974679582</v>
      </c>
      <c r="S14" t="n">
        <v>7.3877395707953</v>
      </c>
      <c r="T14" t="n">
        <v>-4.76597007608515</v>
      </c>
      <c r="U14" t="n">
        <v>25.9916237219331</v>
      </c>
      <c r="V14" t="n">
        <v>1.89354714634664</v>
      </c>
      <c r="W14" t="n">
        <v>6.97208945312298</v>
      </c>
      <c r="X14" t="n">
        <v>3.83198375429625</v>
      </c>
      <c r="Y14" t="n">
        <v>10.5951484662681</v>
      </c>
      <c r="Z14" t="n">
        <v>6.77652244603006</v>
      </c>
      <c r="AA14" t="n">
        <v>0.987800973516784</v>
      </c>
      <c r="AB14" t="n">
        <v>-2.41686050985823</v>
      </c>
      <c r="AC14" t="n">
        <v>8.15596701261825</v>
      </c>
      <c r="AD14" t="n">
        <v>-4.67480255028541</v>
      </c>
      <c r="AE14" t="n">
        <v>1.61057045612463</v>
      </c>
      <c r="AF14" t="n">
        <v>13.6054981072361</v>
      </c>
    </row>
    <row r="15">
      <c r="A15" t="s">
        <v>134</v>
      </c>
      <c r="B15" t="s">
        <v>283</v>
      </c>
      <c r="C15" t="s">
        <v>135</v>
      </c>
      <c r="D15" t="s">
        <v>284</v>
      </c>
      <c r="E15" t="s">
        <v>54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283</v>
      </c>
      <c r="C16" t="s">
        <v>137</v>
      </c>
      <c r="D16" t="s">
        <v>284</v>
      </c>
      <c r="E16" t="s">
        <v>54</v>
      </c>
      <c r="F16" t="n">
        <v>10.8371110856723</v>
      </c>
      <c r="G16" t="n">
        <v>-0.414307734538788</v>
      </c>
      <c r="H16" t="n">
        <v>1.57270310575672</v>
      </c>
      <c r="I16" t="n">
        <v>1.08118002816191</v>
      </c>
      <c r="J16" t="n">
        <v>-2.42137915642022</v>
      </c>
      <c r="K16" t="n">
        <v>7.6279806884834</v>
      </c>
      <c r="L16" t="n">
        <v>-5.38403704053732</v>
      </c>
      <c r="M16" t="n">
        <v>0.63725139470403</v>
      </c>
      <c r="N16" t="n">
        <v>16.0457977285917</v>
      </c>
      <c r="O16" t="n">
        <v>9.65116791155971</v>
      </c>
      <c r="P16" t="n">
        <v>3.68490488508772</v>
      </c>
      <c r="Q16" t="n">
        <v>5.13290362339891</v>
      </c>
      <c r="R16" t="n">
        <v>7.11959486829006</v>
      </c>
      <c r="S16" t="n">
        <v>-0.29301397855388</v>
      </c>
      <c r="T16" t="n">
        <v>-14.362088078466</v>
      </c>
      <c r="U16" t="n">
        <v>17.814106886753</v>
      </c>
      <c r="V16" t="n">
        <v>3.36914752398432</v>
      </c>
      <c r="W16" t="n">
        <v>4.44204912319126</v>
      </c>
      <c r="X16" t="n">
        <v>0.92499455821411</v>
      </c>
      <c r="Y16" t="n">
        <v>11.1586492483164</v>
      </c>
      <c r="Z16" t="n">
        <v>-0.359341638732147</v>
      </c>
      <c r="AA16" t="n">
        <v>1.8573888152952</v>
      </c>
      <c r="AB16" t="n">
        <v>12.9727617130143</v>
      </c>
      <c r="AC16" t="n">
        <v>6.7001048727489</v>
      </c>
      <c r="AD16" t="n">
        <v>-4.07364247375046</v>
      </c>
      <c r="AE16" t="n">
        <v>-6.78127623314513</v>
      </c>
      <c r="AF16" t="n">
        <v>4.4485791523595</v>
      </c>
    </row>
    <row r="17">
      <c r="A17" t="s">
        <v>138</v>
      </c>
      <c r="B17" t="s">
        <v>283</v>
      </c>
      <c r="C17" t="s">
        <v>139</v>
      </c>
      <c r="D17" t="s">
        <v>284</v>
      </c>
      <c r="E17" t="s">
        <v>54</v>
      </c>
      <c r="F17" t="n">
        <v>8.06630836305864</v>
      </c>
      <c r="G17" t="n">
        <v>3.49024666985933</v>
      </c>
      <c r="H17" t="n">
        <v>2.44718755900415</v>
      </c>
      <c r="I17" t="n">
        <v>-4.07381723912223</v>
      </c>
      <c r="J17" t="n">
        <v>-1.33805988862967</v>
      </c>
      <c r="K17" t="n">
        <v>6.34631773104264</v>
      </c>
      <c r="L17" t="n">
        <v>-4.23498490740108</v>
      </c>
      <c r="M17" t="n">
        <v>-5.9785453292438</v>
      </c>
      <c r="N17" t="n">
        <v>11.6445165817714</v>
      </c>
      <c r="O17" t="n">
        <v>9.8341178084759</v>
      </c>
      <c r="P17" t="n">
        <v>5.6542410088726</v>
      </c>
      <c r="Q17" t="n">
        <v>4.42720522260505</v>
      </c>
      <c r="R17" t="n">
        <v>3.13176520945859</v>
      </c>
      <c r="S17" t="n">
        <v>1.74404318045216</v>
      </c>
      <c r="T17" t="n">
        <v>-27.6234372742111</v>
      </c>
      <c r="U17" t="n">
        <v>16.9959427270827</v>
      </c>
      <c r="V17" t="n">
        <v>11.0647014113999</v>
      </c>
      <c r="W17" t="n">
        <v>-1.03996793104564</v>
      </c>
      <c r="X17" t="n">
        <v>-3.96607251880869</v>
      </c>
      <c r="Y17" t="n">
        <v>2.4827826779406</v>
      </c>
      <c r="Z17" t="n">
        <v>5.56302809085398</v>
      </c>
      <c r="AA17" t="n">
        <v>-4.44310515839774</v>
      </c>
      <c r="AB17" t="n">
        <v>7.7368882392884</v>
      </c>
      <c r="AC17" t="n">
        <v>4.68858017098324</v>
      </c>
      <c r="AD17" t="n">
        <v>-4.27509604596388</v>
      </c>
      <c r="AE17" t="n">
        <v>-9.72099709876968</v>
      </c>
      <c r="AF17" t="n">
        <v>13.8293766244928</v>
      </c>
    </row>
    <row r="18">
      <c r="A18" t="s">
        <v>140</v>
      </c>
      <c r="B18" t="s">
        <v>283</v>
      </c>
      <c r="C18" t="s">
        <v>141</v>
      </c>
      <c r="D18" t="s">
        <v>284</v>
      </c>
      <c r="E18" t="s">
        <v>54</v>
      </c>
      <c r="F18" t="n">
        <v>8.03823781272968</v>
      </c>
      <c r="G18" t="n">
        <v>-2.81626996027384</v>
      </c>
      <c r="H18" t="n">
        <v>-4.32767870062083</v>
      </c>
      <c r="I18" t="n">
        <v>6.37911615257885</v>
      </c>
      <c r="J18" t="n">
        <v>6.38127582412427</v>
      </c>
      <c r="K18" t="n">
        <v>5.62738502412472</v>
      </c>
      <c r="L18" t="n">
        <v>-0.284105818448666</v>
      </c>
      <c r="M18" t="n">
        <v>10.9619974681289</v>
      </c>
      <c r="N18" t="n">
        <v>-1.13919949315857</v>
      </c>
      <c r="O18" t="n">
        <v>6.80300125960294</v>
      </c>
      <c r="P18" t="n">
        <v>8.50890587353987</v>
      </c>
      <c r="Q18" t="n">
        <v>-2.54573292478106</v>
      </c>
      <c r="R18" t="n">
        <v>5.05132267842612</v>
      </c>
      <c r="S18" t="n">
        <v>4.19852796412226</v>
      </c>
      <c r="T18" t="n">
        <v>-19.5143084443863</v>
      </c>
      <c r="U18" t="n">
        <v>21.208727018692</v>
      </c>
      <c r="V18" t="n">
        <v>-12.7630835856593</v>
      </c>
      <c r="W18" t="n">
        <v>8.97396477950725</v>
      </c>
      <c r="X18" t="n">
        <v>-15.4740152132515</v>
      </c>
      <c r="Y18" t="n">
        <v>0.212728789229821</v>
      </c>
      <c r="Z18" t="n">
        <v>-2.04838222532775</v>
      </c>
      <c r="AA18" t="n">
        <v>-2.5049983205589</v>
      </c>
      <c r="AB18" t="n">
        <v>4.50696493222171</v>
      </c>
      <c r="AC18" t="n">
        <v>-0.122887399247951</v>
      </c>
      <c r="AD18" t="n">
        <v>-2.45589449401109</v>
      </c>
      <c r="AE18" t="n">
        <v>-6.91254787400073</v>
      </c>
      <c r="AF18" t="n">
        <v>5.91021995720009</v>
      </c>
    </row>
    <row r="19">
      <c r="A19" t="s">
        <v>142</v>
      </c>
      <c r="B19" t="s">
        <v>283</v>
      </c>
      <c r="C19" t="s">
        <v>143</v>
      </c>
      <c r="D19" t="s">
        <v>284</v>
      </c>
      <c r="E19" t="s">
        <v>54</v>
      </c>
      <c r="F19" t="n">
        <v>-1.72719075330114</v>
      </c>
      <c r="G19" t="n">
        <v>7.58754463960827</v>
      </c>
      <c r="H19" t="n">
        <v>13.4837149060576</v>
      </c>
      <c r="I19" t="n">
        <v>3.35738519399431</v>
      </c>
      <c r="J19" t="n">
        <v>9.89278987108122</v>
      </c>
      <c r="K19" t="n">
        <v>9.82275921470155</v>
      </c>
      <c r="L19" t="n">
        <v>-1.62503398512825</v>
      </c>
      <c r="M19" t="n">
        <v>9.74534994289353</v>
      </c>
      <c r="N19" t="n">
        <v>4.34619649961636</v>
      </c>
      <c r="O19" t="n">
        <v>6.2798671921124</v>
      </c>
      <c r="P19" t="n">
        <v>6.08602906651203</v>
      </c>
      <c r="Q19" t="n">
        <v>-5.676399656185</v>
      </c>
      <c r="R19" t="n">
        <v>0.366831255860234</v>
      </c>
      <c r="S19" t="n">
        <v>-0.523623489967484</v>
      </c>
      <c r="T19" t="n">
        <v>-25.0622545440317</v>
      </c>
      <c r="U19" t="n">
        <v>10.4823495792511</v>
      </c>
      <c r="V19" t="n">
        <v>2.97273422842039</v>
      </c>
      <c r="W19" t="n">
        <v>-1.38670129039458</v>
      </c>
      <c r="X19" t="n">
        <v>7.66169507995951</v>
      </c>
      <c r="Y19" t="n">
        <v>6.21965521949086</v>
      </c>
      <c r="Z19" t="n">
        <v>0.972659807017529</v>
      </c>
      <c r="AA19" t="n">
        <v>-10.4788611862059</v>
      </c>
      <c r="AB19" t="n">
        <v>10.4598268991451</v>
      </c>
      <c r="AC19" t="n">
        <v>7.22449054046255</v>
      </c>
      <c r="AD19" t="n">
        <v>2.42752776157946</v>
      </c>
      <c r="AE19" t="n">
        <v>0.526201356935019</v>
      </c>
      <c r="AF19" t="n">
        <v>23.7257295783754</v>
      </c>
    </row>
    <row r="20">
      <c r="A20" t="s">
        <v>144</v>
      </c>
      <c r="B20" t="s">
        <v>283</v>
      </c>
      <c r="C20" t="s">
        <v>145</v>
      </c>
      <c r="D20" t="s">
        <v>284</v>
      </c>
      <c r="E20" t="s">
        <v>54</v>
      </c>
      <c r="F20" t="n">
        <v>-2.56951723362526</v>
      </c>
      <c r="G20" t="n">
        <v>19.010032519731</v>
      </c>
      <c r="H20" t="n">
        <v>9.78180694640542</v>
      </c>
      <c r="I20" t="n">
        <v>1.68132411553454</v>
      </c>
      <c r="J20" t="n">
        <v>1.86426257908288</v>
      </c>
      <c r="K20" t="n">
        <v>8.73902957594783</v>
      </c>
      <c r="L20" t="n">
        <v>6.23685539699128</v>
      </c>
      <c r="M20" t="n">
        <v>0.294478180974345</v>
      </c>
      <c r="N20" t="n">
        <v>6.33289582854353</v>
      </c>
      <c r="O20" t="n">
        <v>7.5771344152896</v>
      </c>
      <c r="P20" t="n">
        <v>-2.52405395929554</v>
      </c>
      <c r="Q20" t="n">
        <v>-2.65826662088138</v>
      </c>
      <c r="R20" t="n">
        <v>2.55022174043802</v>
      </c>
      <c r="S20" t="n">
        <v>8.62737773805335</v>
      </c>
      <c r="T20" t="n">
        <v>-49.1946711959729</v>
      </c>
      <c r="U20" t="n">
        <v>17.029350867282</v>
      </c>
      <c r="V20" t="n">
        <v>-16.6511715148584</v>
      </c>
      <c r="W20" t="n">
        <v>-35.8494526684435</v>
      </c>
      <c r="X20" t="n">
        <v>22.9226446686441</v>
      </c>
      <c r="Y20" t="n">
        <v>13.3065163135217</v>
      </c>
      <c r="Z20" t="n">
        <v>-6.7890486166398</v>
      </c>
      <c r="AA20" t="n">
        <v>-4.82979346241059</v>
      </c>
      <c r="AB20" t="n">
        <v>18.1569559362311</v>
      </c>
      <c r="AC20" t="n">
        <v>1.0885996655265</v>
      </c>
      <c r="AD20" t="n">
        <v>-1.43837405134679</v>
      </c>
      <c r="AE20" t="n">
        <v>-20.5349519872669</v>
      </c>
      <c r="AF20" t="n">
        <v>-9.79956531230375</v>
      </c>
    </row>
    <row r="21">
      <c r="A21" t="s">
        <v>146</v>
      </c>
      <c r="B21" t="s">
        <v>283</v>
      </c>
      <c r="C21" t="s">
        <v>147</v>
      </c>
      <c r="D21" t="s">
        <v>284</v>
      </c>
      <c r="E21" t="s">
        <v>54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283</v>
      </c>
      <c r="C22" t="s">
        <v>149</v>
      </c>
      <c r="D22" t="s">
        <v>284</v>
      </c>
      <c r="E22" t="s">
        <v>54</v>
      </c>
      <c r="F22" t="n">
        <v>-2.59492264084607</v>
      </c>
      <c r="G22" t="n">
        <v>6.69066887294356</v>
      </c>
      <c r="H22" t="n">
        <v>-1.24533501190776</v>
      </c>
      <c r="I22" t="n">
        <v>-2.80180281446771</v>
      </c>
      <c r="J22" t="n">
        <v>0.539785536949111</v>
      </c>
      <c r="K22" t="n">
        <v>-0.903637634345422</v>
      </c>
      <c r="L22" t="n">
        <v>0.154567896605506</v>
      </c>
      <c r="M22" t="n">
        <v>-1.85353392114838</v>
      </c>
      <c r="N22" t="n">
        <v>0.166255450506902</v>
      </c>
      <c r="O22" t="n">
        <v>-0.527764379747708</v>
      </c>
      <c r="P22" t="n">
        <v>-7.66610848793459</v>
      </c>
      <c r="Q22" t="n">
        <v>-2.6121166970432</v>
      </c>
      <c r="R22" t="n">
        <v>3.65599576211739</v>
      </c>
      <c r="S22" t="n">
        <v>-2.52340379002138</v>
      </c>
      <c r="T22" t="n">
        <v>-7.88046131690603</v>
      </c>
      <c r="U22" t="n">
        <v>-4.88587572040924</v>
      </c>
      <c r="V22" t="n">
        <v>3.71598247702885</v>
      </c>
      <c r="W22" t="n">
        <v>1.94598675405757</v>
      </c>
      <c r="X22" t="n">
        <v>2.07397026260718</v>
      </c>
      <c r="Y22" t="n">
        <v>3.5329837552073</v>
      </c>
      <c r="Z22" t="n">
        <v>-1.03632804111093</v>
      </c>
      <c r="AA22" t="n">
        <v>-1.02418522403589</v>
      </c>
      <c r="AB22" t="n">
        <v>6.58130527611078</v>
      </c>
      <c r="AC22" t="n">
        <v>1.67070907866194</v>
      </c>
      <c r="AD22" t="n">
        <v>0.843179875860045</v>
      </c>
      <c r="AE22" t="n">
        <v>-4.10525561719126</v>
      </c>
      <c r="AF22" t="n">
        <v>1.08669096254381</v>
      </c>
    </row>
    <row r="23">
      <c r="A23" t="s">
        <v>150</v>
      </c>
      <c r="B23" t="s">
        <v>283</v>
      </c>
      <c r="C23" t="s">
        <v>151</v>
      </c>
      <c r="D23" t="s">
        <v>284</v>
      </c>
      <c r="E23" t="s">
        <v>54</v>
      </c>
      <c r="F23" t="n">
        <v>-3.9397147128442</v>
      </c>
      <c r="G23" t="n">
        <v>1.66577001035382</v>
      </c>
      <c r="H23" t="n">
        <v>-5.01364032293257</v>
      </c>
      <c r="I23" t="n">
        <v>-5.9688088392738</v>
      </c>
      <c r="J23" t="n">
        <v>-0.620205903296522</v>
      </c>
      <c r="K23" t="n">
        <v>-3.67659401992082</v>
      </c>
      <c r="L23" t="n">
        <v>-0.424830492475259</v>
      </c>
      <c r="M23" t="n">
        <v>-2.27337968745349</v>
      </c>
      <c r="N23" t="n">
        <v>-2.10353641417349</v>
      </c>
      <c r="O23" t="n">
        <v>0.696936027347128</v>
      </c>
      <c r="P23" t="n">
        <v>-0.254859678268637</v>
      </c>
      <c r="Q23" t="n">
        <v>0.0302335282988508</v>
      </c>
      <c r="R23" t="n">
        <v>-6.19507920280231</v>
      </c>
      <c r="S23" t="n">
        <v>-4.69166571758368</v>
      </c>
      <c r="T23" t="n">
        <v>2.30712827365132</v>
      </c>
      <c r="U23" t="n">
        <v>-1.56706634971986</v>
      </c>
      <c r="V23" t="n">
        <v>0.416684587414373</v>
      </c>
      <c r="W23" t="n">
        <v>-0.713711050266852</v>
      </c>
      <c r="X23" t="n">
        <v>8.50822421405901</v>
      </c>
      <c r="Y23" t="n">
        <v>0.568195631814739</v>
      </c>
      <c r="Z23" t="n">
        <v>4.16319386706707</v>
      </c>
      <c r="AA23" t="n">
        <v>5.29224595033568</v>
      </c>
      <c r="AB23" t="n">
        <v>1.10399432250627</v>
      </c>
      <c r="AC23" t="n">
        <v>-2.41713468530396</v>
      </c>
      <c r="AD23" t="n">
        <v>-0.536138473440673</v>
      </c>
      <c r="AE23" t="n">
        <v>1.29785735081569</v>
      </c>
      <c r="AF23" t="n">
        <v>-0.980744729637095</v>
      </c>
    </row>
    <row r="24">
      <c r="A24" t="s">
        <v>152</v>
      </c>
      <c r="B24" t="s">
        <v>283</v>
      </c>
      <c r="C24" t="s">
        <v>153</v>
      </c>
      <c r="D24" t="s">
        <v>284</v>
      </c>
      <c r="E24" t="s">
        <v>54</v>
      </c>
      <c r="F24" t="n">
        <v>4.8410937354781</v>
      </c>
      <c r="G24" t="n">
        <v>0.872659066262571</v>
      </c>
      <c r="H24" t="n">
        <v>1.29753392308452</v>
      </c>
      <c r="I24" t="n">
        <v>-3.0441125317406</v>
      </c>
      <c r="J24" t="n">
        <v>0.863230842751506</v>
      </c>
      <c r="K24" t="n">
        <v>-1.74279178245733</v>
      </c>
      <c r="L24" t="n">
        <v>1.80322327203761</v>
      </c>
      <c r="M24" t="n">
        <v>3.07586758057994</v>
      </c>
      <c r="N24" t="n">
        <v>0.0842472696710672</v>
      </c>
      <c r="O24" t="n">
        <v>4.1219557804002</v>
      </c>
      <c r="P24" t="n">
        <v>0.768879479166884</v>
      </c>
      <c r="Q24" t="n">
        <v>-5.08613450163153</v>
      </c>
      <c r="R24" t="n">
        <v>-4.13037655622297</v>
      </c>
      <c r="S24" t="n">
        <v>-2.19992822936064</v>
      </c>
      <c r="T24" t="n">
        <v>-4.75769014547183</v>
      </c>
      <c r="U24" t="n">
        <v>1.01011485647895</v>
      </c>
      <c r="V24" t="n">
        <v>1.03860689359578</v>
      </c>
      <c r="W24" t="n">
        <v>4.06022082832429</v>
      </c>
      <c r="X24" t="n">
        <v>0.650877302968667</v>
      </c>
      <c r="Y24" t="n">
        <v>-4.07550643645997</v>
      </c>
      <c r="Z24" t="n">
        <v>0.258168329028408</v>
      </c>
      <c r="AA24" t="n">
        <v>-2.12569297133989</v>
      </c>
      <c r="AB24" t="n">
        <v>1.81212121239511</v>
      </c>
      <c r="AC24" t="n">
        <v>-3.31781484771909</v>
      </c>
      <c r="AD24" t="n">
        <v>-2.8668823116206</v>
      </c>
      <c r="AE24" t="n">
        <v>-4.5653262879199</v>
      </c>
      <c r="AF24" t="n">
        <v>5.22278645033829</v>
      </c>
    </row>
    <row r="25">
      <c r="A25" t="s">
        <v>154</v>
      </c>
      <c r="B25" t="s">
        <v>283</v>
      </c>
      <c r="C25" t="s">
        <v>155</v>
      </c>
      <c r="D25" t="s">
        <v>284</v>
      </c>
      <c r="E25" t="s">
        <v>54</v>
      </c>
      <c r="F25" t="n">
        <v>3.94938137335341</v>
      </c>
      <c r="G25" t="n">
        <v>8.42684100414459</v>
      </c>
      <c r="H25" t="n">
        <v>2.17640946512692</v>
      </c>
      <c r="I25" t="n">
        <v>-0.627516077102541</v>
      </c>
      <c r="J25" t="n">
        <v>9.43278427519871</v>
      </c>
      <c r="K25" t="n">
        <v>8.62122644555079</v>
      </c>
      <c r="L25" t="n">
        <v>-12.4167180132249</v>
      </c>
      <c r="M25" t="n">
        <v>-2.04734166996428</v>
      </c>
      <c r="N25" t="n">
        <v>-2.73993847767979</v>
      </c>
      <c r="O25" t="n">
        <v>1.6199644704006</v>
      </c>
      <c r="P25" t="n">
        <v>-20.4524167548039</v>
      </c>
      <c r="Q25" t="n">
        <v>-12.7452038191731</v>
      </c>
      <c r="R25" t="n">
        <v>-10.5722174652517</v>
      </c>
      <c r="S25" t="n">
        <v>-15.7534635853098</v>
      </c>
      <c r="T25" t="n">
        <v>-27.4119513853725</v>
      </c>
      <c r="U25" t="n">
        <v>-7.09452331440996</v>
      </c>
      <c r="V25" t="n">
        <v>-26.1735841099721</v>
      </c>
      <c r="W25" t="n">
        <v>10.2665646564597</v>
      </c>
      <c r="X25" t="n">
        <v>6.62978394288309</v>
      </c>
      <c r="Y25" t="n">
        <v>12.7717120879108</v>
      </c>
      <c r="Z25" t="n">
        <v>7.81313575825884</v>
      </c>
      <c r="AA25" t="n">
        <v>0.225124630891926</v>
      </c>
      <c r="AB25" t="n">
        <v>7.05120745006802</v>
      </c>
      <c r="AC25" t="n">
        <v>-1.41329179710556</v>
      </c>
      <c r="AD25" t="n">
        <v>-2.15559968064074</v>
      </c>
      <c r="AE25" t="n">
        <v>-2.42983657312372</v>
      </c>
      <c r="AF25" t="n">
        <v>-3.13893342615401</v>
      </c>
    </row>
    <row r="26">
      <c r="A26" t="s">
        <v>156</v>
      </c>
      <c r="B26" t="s">
        <v>283</v>
      </c>
      <c r="C26" t="s">
        <v>157</v>
      </c>
      <c r="D26" t="s">
        <v>284</v>
      </c>
      <c r="E26" t="s">
        <v>54</v>
      </c>
      <c r="F26" t="n">
        <v>5.75754164347178</v>
      </c>
      <c r="G26" t="n">
        <v>2.32214571180691</v>
      </c>
      <c r="H26" t="n">
        <v>6.25281436591827</v>
      </c>
      <c r="I26" t="n">
        <v>1.35612302332841</v>
      </c>
      <c r="J26" t="n">
        <v>3.36608428920151</v>
      </c>
      <c r="K26" t="n">
        <v>0.130838106482756</v>
      </c>
      <c r="L26" t="n">
        <v>5.06502730822245</v>
      </c>
      <c r="M26" t="n">
        <v>4.98440148639983</v>
      </c>
      <c r="N26" t="n">
        <v>1.11315316012952</v>
      </c>
      <c r="O26" t="n">
        <v>9.33386408684278</v>
      </c>
      <c r="P26" t="n">
        <v>6.83747025400336</v>
      </c>
      <c r="Q26" t="n">
        <v>-4.02254824158739</v>
      </c>
      <c r="R26" t="n">
        <v>-7.11832926761318</v>
      </c>
      <c r="S26" t="n">
        <v>-2.92887993730027</v>
      </c>
      <c r="T26" t="n">
        <v>-9.39161556427184</v>
      </c>
      <c r="U26" t="n">
        <v>2.96670956421288</v>
      </c>
      <c r="V26" t="n">
        <v>3.06286379043925</v>
      </c>
      <c r="W26" t="n">
        <v>1.00608182218132</v>
      </c>
      <c r="X26" t="n">
        <v>-2.45059356332558</v>
      </c>
      <c r="Y26" t="n">
        <v>-10.4754906006486</v>
      </c>
      <c r="Z26" t="n">
        <v>-2.86485742354134</v>
      </c>
      <c r="AA26" t="n">
        <v>-1.75006404135836</v>
      </c>
      <c r="AB26" t="n">
        <v>4.20589039778889</v>
      </c>
      <c r="AC26" t="n">
        <v>-3.11726843423248</v>
      </c>
      <c r="AD26" t="n">
        <v>-5.39690567910895</v>
      </c>
      <c r="AE26" t="n">
        <v>-5.35329459861451</v>
      </c>
      <c r="AF26" t="n">
        <v>9.81645875384416</v>
      </c>
    </row>
    <row r="27">
      <c r="A27" t="s">
        <v>158</v>
      </c>
      <c r="B27" t="s">
        <v>283</v>
      </c>
      <c r="C27" t="s">
        <v>159</v>
      </c>
      <c r="D27" t="s">
        <v>284</v>
      </c>
      <c r="E27" t="s">
        <v>54</v>
      </c>
      <c r="F27" t="n">
        <v>3.94707733623196</v>
      </c>
      <c r="G27" t="n">
        <v>-1.64138636292321</v>
      </c>
      <c r="H27" t="n">
        <v>-5.44298672246963</v>
      </c>
      <c r="I27" t="n">
        <v>-8.61967476393826</v>
      </c>
      <c r="J27" t="n">
        <v>-2.26555537077147</v>
      </c>
      <c r="K27" t="n">
        <v>-2.97953286839725</v>
      </c>
      <c r="L27" t="n">
        <v>2.68483998573093</v>
      </c>
      <c r="M27" t="n">
        <v>3.7893630677905</v>
      </c>
      <c r="N27" t="n">
        <v>0.562002586769772</v>
      </c>
      <c r="O27" t="n">
        <v>-2.04548867047638</v>
      </c>
      <c r="P27" t="n">
        <v>-6.81660218850766</v>
      </c>
      <c r="Q27" t="n">
        <v>-5.0488555635841</v>
      </c>
      <c r="R27" t="n">
        <v>1.63514430916898</v>
      </c>
      <c r="S27" t="n">
        <v>-0.117952708149005</v>
      </c>
      <c r="T27" t="n">
        <v>5.83716633548938</v>
      </c>
      <c r="U27" t="n">
        <v>0.0834619057878072</v>
      </c>
      <c r="V27" t="n">
        <v>-0.442131452150285</v>
      </c>
      <c r="W27" t="n">
        <v>9.3596974460576</v>
      </c>
      <c r="X27" t="n">
        <v>5.34543289998304</v>
      </c>
      <c r="Y27" t="n">
        <v>2.64639978633756</v>
      </c>
      <c r="Z27" t="n">
        <v>2.98764811209917</v>
      </c>
      <c r="AA27" t="n">
        <v>-2.85828613582844</v>
      </c>
      <c r="AB27" t="n">
        <v>-1.4078363623236</v>
      </c>
      <c r="AC27" t="n">
        <v>-4.33704286085241</v>
      </c>
      <c r="AD27" t="n">
        <v>0.658094655600117</v>
      </c>
      <c r="AE27" t="n">
        <v>-3.77857321816677</v>
      </c>
      <c r="AF27" t="n">
        <v>1.4811643069514</v>
      </c>
    </row>
    <row r="28">
      <c r="A28" t="s">
        <v>160</v>
      </c>
      <c r="B28" t="s">
        <v>283</v>
      </c>
      <c r="C28" t="s">
        <v>161</v>
      </c>
      <c r="D28" t="s">
        <v>284</v>
      </c>
      <c r="E28" t="s">
        <v>54</v>
      </c>
      <c r="F28" t="n">
        <v>1.54105425231616</v>
      </c>
      <c r="G28" t="n">
        <v>-6.99353576390607</v>
      </c>
      <c r="H28" t="n">
        <v>-0.401076859445837</v>
      </c>
      <c r="I28" t="n">
        <v>-3.13719626010123</v>
      </c>
      <c r="J28" t="n">
        <v>-1.76375137505111</v>
      </c>
      <c r="K28" t="n">
        <v>0.365068797544765</v>
      </c>
      <c r="L28" t="n">
        <v>2.4453374988969</v>
      </c>
      <c r="M28" t="n">
        <v>1.65770399366778</v>
      </c>
      <c r="N28" t="n">
        <v>3.26288362447382</v>
      </c>
      <c r="O28" t="n">
        <v>4.42379899712773</v>
      </c>
      <c r="P28" t="n">
        <v>3.7913785348179</v>
      </c>
      <c r="Q28" t="n">
        <v>2.6270966306102</v>
      </c>
      <c r="R28" t="n">
        <v>3.25498853396642</v>
      </c>
      <c r="S28" t="n">
        <v>-0.795515766138166</v>
      </c>
      <c r="T28" t="n">
        <v>-14.9798336265777</v>
      </c>
      <c r="U28" t="n">
        <v>2.48752400631744</v>
      </c>
      <c r="V28" t="n">
        <v>-0.230007176599578</v>
      </c>
      <c r="W28" t="n">
        <v>5.72120206475439</v>
      </c>
      <c r="X28" t="n">
        <v>-1.83323184912929</v>
      </c>
      <c r="Y28" t="n">
        <v>2.23970025812097</v>
      </c>
      <c r="Z28" t="n">
        <v>-1.62635855638005</v>
      </c>
      <c r="AA28" t="n">
        <v>-0.426994651418333</v>
      </c>
      <c r="AB28" t="n">
        <v>2.81877040361565</v>
      </c>
      <c r="AC28" t="n">
        <v>-2.50843157034986</v>
      </c>
      <c r="AD28" t="n">
        <v>-1.22695715590542</v>
      </c>
      <c r="AE28" t="n">
        <v>-32.2208585466887</v>
      </c>
      <c r="AF28" t="n">
        <v>1.07548022617614</v>
      </c>
    </row>
    <row r="29">
      <c r="A29" t="s">
        <v>162</v>
      </c>
      <c r="B29" t="s">
        <v>283</v>
      </c>
      <c r="C29" t="s">
        <v>163</v>
      </c>
      <c r="D29" t="s">
        <v>284</v>
      </c>
      <c r="E29" t="s">
        <v>54</v>
      </c>
      <c r="F29" t="n">
        <v>-0.628218521358903</v>
      </c>
      <c r="G29" t="n">
        <v>-8.98218622848006</v>
      </c>
      <c r="H29" t="n">
        <v>-1.02029699803321</v>
      </c>
      <c r="I29" t="n">
        <v>-3.53528839941593</v>
      </c>
      <c r="J29" t="n">
        <v>-0.461297505005298</v>
      </c>
      <c r="K29" t="n">
        <v>2.29391207874858</v>
      </c>
      <c r="L29" t="n">
        <v>4.58671624858251</v>
      </c>
      <c r="M29" t="n">
        <v>2.33571441453311</v>
      </c>
      <c r="N29" t="n">
        <v>3.37444558210933</v>
      </c>
      <c r="O29" t="n">
        <v>2.84553425887619</v>
      </c>
      <c r="P29" t="n">
        <v>4.63060920991154</v>
      </c>
      <c r="Q29" t="n">
        <v>3.10860636435404</v>
      </c>
      <c r="R29" t="n">
        <v>3.30465348768651</v>
      </c>
      <c r="S29" t="n">
        <v>0.0145812998281869</v>
      </c>
      <c r="T29" t="n">
        <v>-12.6336799811591</v>
      </c>
      <c r="U29" t="n">
        <v>1.59175452465039</v>
      </c>
      <c r="V29" t="n">
        <v>-0.633128490227008</v>
      </c>
      <c r="W29" t="n">
        <v>5.94315375559233</v>
      </c>
      <c r="X29" t="n">
        <v>-1.94933738146688</v>
      </c>
      <c r="Y29" t="n">
        <v>3.21005964934873</v>
      </c>
      <c r="Z29" t="n">
        <v>-2.12445606487233</v>
      </c>
      <c r="AA29" t="n">
        <v>-1.21664453103154</v>
      </c>
      <c r="AB29" t="n">
        <v>3.27185789948192</v>
      </c>
      <c r="AC29" t="n">
        <v>0.0148761776463502</v>
      </c>
      <c r="AD29" t="n">
        <v>-0.112701089317113</v>
      </c>
      <c r="AE29" t="n">
        <v>-31.2307469571312</v>
      </c>
      <c r="AF29" t="n">
        <v>5.77612725566023</v>
      </c>
    </row>
    <row r="30">
      <c r="A30" t="s">
        <v>164</v>
      </c>
      <c r="B30" t="s">
        <v>283</v>
      </c>
      <c r="C30" t="s">
        <v>165</v>
      </c>
      <c r="D30" t="s">
        <v>284</v>
      </c>
      <c r="E30" t="s">
        <v>54</v>
      </c>
      <c r="F30" t="n">
        <v>13.0100515436862</v>
      </c>
      <c r="G30" t="n">
        <v>-23.7033120120094</v>
      </c>
      <c r="H30" t="n">
        <v>15.103910653553</v>
      </c>
      <c r="I30" t="n">
        <v>13.1670874490446</v>
      </c>
      <c r="J30" t="n">
        <v>-1.27894984809647</v>
      </c>
      <c r="K30" t="n">
        <v>-6.93801797947877</v>
      </c>
      <c r="L30" t="n">
        <v>-1.81462895346982</v>
      </c>
      <c r="M30" t="n">
        <v>2.23891532470564</v>
      </c>
      <c r="N30" t="n">
        <v>12.3722324794027</v>
      </c>
      <c r="O30" t="n">
        <v>11.7550294226495</v>
      </c>
      <c r="P30" t="n">
        <v>-6.20562584367477</v>
      </c>
      <c r="Q30" t="n">
        <v>0.234984412087869</v>
      </c>
      <c r="R30" t="n">
        <v>10.1864339618416</v>
      </c>
      <c r="S30" t="n">
        <v>3.63582745185873</v>
      </c>
      <c r="T30" t="n">
        <v>-17.3661500815902</v>
      </c>
      <c r="U30" t="n">
        <v>7.52361621413549</v>
      </c>
      <c r="V30" t="n">
        <v>-1.95184421075183</v>
      </c>
      <c r="W30" t="n">
        <v>-9.72247885775133</v>
      </c>
      <c r="X30" t="n">
        <v>-28.0574129952914</v>
      </c>
      <c r="Y30" t="n">
        <v>-5.34121921031101</v>
      </c>
      <c r="Z30" t="n">
        <v>1.10051462131615</v>
      </c>
      <c r="AA30" t="n">
        <v>19.4393120354233</v>
      </c>
      <c r="AB30" t="n">
        <v>-3.87026259326468</v>
      </c>
      <c r="AC30" t="n">
        <v>-31.4877380731616</v>
      </c>
      <c r="AD30" t="n">
        <v>-9.43946205267387</v>
      </c>
      <c r="AE30" t="n">
        <v>3.82159149209169</v>
      </c>
      <c r="AF30" t="n">
        <v>-6.20390224649796</v>
      </c>
    </row>
    <row r="31">
      <c r="A31" t="s">
        <v>166</v>
      </c>
      <c r="B31" t="s">
        <v>283</v>
      </c>
      <c r="C31" t="s">
        <v>167</v>
      </c>
      <c r="D31" t="s">
        <v>284</v>
      </c>
      <c r="E31" t="s">
        <v>54</v>
      </c>
      <c r="F31" t="n">
        <v>10.6162361112664</v>
      </c>
      <c r="G31" t="n">
        <v>7.90727580612263</v>
      </c>
      <c r="H31" t="n">
        <v>9.29375191448187</v>
      </c>
      <c r="I31" t="n">
        <v>0.779725076088766</v>
      </c>
      <c r="J31" t="n">
        <v>5.94348095051132</v>
      </c>
      <c r="K31" t="n">
        <v>5.60041114280452</v>
      </c>
      <c r="L31" t="n">
        <v>-12.0891855069068</v>
      </c>
      <c r="M31" t="n">
        <v>-3.91517839743507</v>
      </c>
      <c r="N31" t="n">
        <v>-9.21790918042333</v>
      </c>
      <c r="O31" t="n">
        <v>6.57364348237355</v>
      </c>
      <c r="P31" t="n">
        <v>-0.186264719631168</v>
      </c>
      <c r="Q31" t="n">
        <v>7.15255472707437</v>
      </c>
      <c r="R31" t="n">
        <v>-5.50494202824474</v>
      </c>
      <c r="S31" t="n">
        <v>-21.2686388742769</v>
      </c>
      <c r="T31" t="n">
        <v>-50.5361466167775</v>
      </c>
      <c r="U31" t="n">
        <v>9.83230698006707</v>
      </c>
      <c r="V31" t="n">
        <v>-2.03012357042418</v>
      </c>
      <c r="W31" t="n">
        <v>-2.33694645715659</v>
      </c>
      <c r="X31" t="n">
        <v>24.5393787356147</v>
      </c>
      <c r="Y31" t="n">
        <v>5.69563836980418</v>
      </c>
      <c r="Z31" t="n">
        <v>-4.61536989739049</v>
      </c>
      <c r="AA31" t="n">
        <v>-2.46127338422379</v>
      </c>
      <c r="AB31" t="n">
        <v>0.674961010092545</v>
      </c>
      <c r="AC31" t="n">
        <v>-9.24874468677181</v>
      </c>
      <c r="AD31" t="n">
        <v>-5.48869856759477</v>
      </c>
      <c r="AE31" t="n">
        <v>-153.105211380421</v>
      </c>
      <c r="AF31" t="n">
        <v>-203.110029281925</v>
      </c>
    </row>
    <row r="32">
      <c r="A32" t="s">
        <v>168</v>
      </c>
      <c r="B32" t="s">
        <v>283</v>
      </c>
      <c r="C32" t="s">
        <v>169</v>
      </c>
      <c r="D32" t="s">
        <v>284</v>
      </c>
      <c r="E32" t="s">
        <v>54</v>
      </c>
      <c r="F32" t="n">
        <v>0.554183568620914</v>
      </c>
      <c r="G32" t="n">
        <v>14.1753403705772</v>
      </c>
      <c r="H32" t="n">
        <v>-12.8383485528781</v>
      </c>
      <c r="I32" t="n">
        <v>-21.1253042081854</v>
      </c>
      <c r="J32" t="n">
        <v>-19.2298435749072</v>
      </c>
      <c r="K32" t="n">
        <v>-21.9258881915124</v>
      </c>
      <c r="L32" t="n">
        <v>4.27053267583055</v>
      </c>
      <c r="M32" t="n">
        <v>9.06915753378765</v>
      </c>
      <c r="N32" t="n">
        <v>7.30075511087733</v>
      </c>
      <c r="O32" t="n">
        <v>29.3688139728864</v>
      </c>
      <c r="P32" t="n">
        <v>15.8533231870797</v>
      </c>
      <c r="Q32" t="n">
        <v>0.730338432961908</v>
      </c>
      <c r="R32" t="n">
        <v>-0.99244331252919</v>
      </c>
      <c r="S32" t="n">
        <v>9.89728037376238</v>
      </c>
      <c r="T32" t="n">
        <v>-20.4870434219876</v>
      </c>
      <c r="U32" t="n">
        <v>16.1672492912748</v>
      </c>
      <c r="V32" t="n">
        <v>2.19770137599937</v>
      </c>
      <c r="W32" t="n">
        <v>29.9779512940594</v>
      </c>
      <c r="X32" t="n">
        <v>4.91863310033196</v>
      </c>
      <c r="Y32" t="n">
        <v>6.65609159478979</v>
      </c>
      <c r="Z32" t="n">
        <v>8.00989737108893</v>
      </c>
      <c r="AA32" t="n">
        <v>-7.86116691369703</v>
      </c>
      <c r="AB32" t="n">
        <v>5.5931766302054</v>
      </c>
      <c r="AC32" t="n">
        <v>-3.50798931918401</v>
      </c>
      <c r="AD32" t="n">
        <v>-7.16387599822355</v>
      </c>
      <c r="AE32" t="n">
        <v>-51.9627294968828</v>
      </c>
      <c r="AF32" t="n">
        <v>-12.1599586727825</v>
      </c>
    </row>
    <row r="33">
      <c r="A33" t="s">
        <v>170</v>
      </c>
      <c r="B33" t="s">
        <v>283</v>
      </c>
      <c r="C33" t="s">
        <v>171</v>
      </c>
      <c r="D33" t="s">
        <v>284</v>
      </c>
      <c r="E33" t="s">
        <v>54</v>
      </c>
      <c r="F33" t="n">
        <v>2.47612899736804</v>
      </c>
      <c r="G33" t="n">
        <v>0.69686310511301</v>
      </c>
      <c r="H33" t="n">
        <v>-2.93778154320865</v>
      </c>
      <c r="I33" t="n">
        <v>-1.93039369029506</v>
      </c>
      <c r="J33" t="n">
        <v>-3.76795197033477</v>
      </c>
      <c r="K33" t="n">
        <v>-1.74981876235432</v>
      </c>
      <c r="L33" t="n">
        <v>0.378770913274451</v>
      </c>
      <c r="M33" t="n">
        <v>-3.61232082613778</v>
      </c>
      <c r="N33" t="n">
        <v>-0.274883000080095</v>
      </c>
      <c r="O33" t="n">
        <v>-0.588558113974536</v>
      </c>
      <c r="P33" t="n">
        <v>1.94251903223019</v>
      </c>
      <c r="Q33" t="n">
        <v>-1.53632282459224</v>
      </c>
      <c r="R33" t="n">
        <v>0.857936010294225</v>
      </c>
      <c r="S33" t="n">
        <v>-7.00365722225467</v>
      </c>
      <c r="T33" t="n">
        <v>-4.57885967345995</v>
      </c>
      <c r="U33" t="n">
        <v>-9.87001291593881</v>
      </c>
      <c r="V33" t="n">
        <v>3.98552927120441</v>
      </c>
      <c r="W33" t="n">
        <v>0.583598005684394</v>
      </c>
      <c r="X33" t="n">
        <v>-2.07315433579129</v>
      </c>
      <c r="Y33" t="n">
        <v>-3.36900472141544</v>
      </c>
      <c r="Z33" t="n">
        <v>-1.9157040047153</v>
      </c>
      <c r="AA33" t="n">
        <v>-1.7375195861467</v>
      </c>
      <c r="AB33" t="n">
        <v>1.16113530102826</v>
      </c>
      <c r="AC33" t="n">
        <v>0.954406004033537</v>
      </c>
      <c r="AD33" t="n">
        <v>3.41853332841904</v>
      </c>
      <c r="AE33" t="n">
        <v>-0.349285699584456</v>
      </c>
      <c r="AF33" t="n">
        <v>0.333082982997013</v>
      </c>
    </row>
    <row r="34">
      <c r="A34" t="s">
        <v>172</v>
      </c>
      <c r="B34" t="s">
        <v>283</v>
      </c>
      <c r="C34" t="s">
        <v>173</v>
      </c>
      <c r="D34" t="s">
        <v>284</v>
      </c>
      <c r="E34" t="s">
        <v>54</v>
      </c>
      <c r="F34" t="n">
        <v>-2.25856346006257</v>
      </c>
      <c r="G34" t="n">
        <v>-1.13901170422466</v>
      </c>
      <c r="H34" t="n">
        <v>-1.58744227486398</v>
      </c>
      <c r="I34" t="n">
        <v>-2.28174718623713</v>
      </c>
      <c r="J34" t="n">
        <v>-4.00514165861079</v>
      </c>
      <c r="K34" t="n">
        <v>-5.0303157638762</v>
      </c>
      <c r="L34" t="n">
        <v>-3.93972347754694</v>
      </c>
      <c r="M34" t="n">
        <v>-1.77195055689978</v>
      </c>
      <c r="N34" t="n">
        <v>-2.28805238434528</v>
      </c>
      <c r="O34" t="n">
        <v>-1.86461292025886</v>
      </c>
      <c r="P34" t="n">
        <v>-6.19853037366891</v>
      </c>
      <c r="Q34" t="n">
        <v>-1.66221249465526</v>
      </c>
      <c r="R34" t="n">
        <v>-1.38327736416954</v>
      </c>
      <c r="S34" t="n">
        <v>-5.14033834571919</v>
      </c>
      <c r="T34" t="n">
        <v>-11.1259709704576</v>
      </c>
      <c r="U34" t="n">
        <v>-2.74258350088345</v>
      </c>
      <c r="V34" t="n">
        <v>1.55725452100892</v>
      </c>
      <c r="W34" t="n">
        <v>-4.18094619533207</v>
      </c>
      <c r="X34" t="n">
        <v>3.56313348720168</v>
      </c>
      <c r="Y34" t="n">
        <v>0.0537708602749376</v>
      </c>
      <c r="Z34" t="n">
        <v>-4.36259450668022</v>
      </c>
      <c r="AA34" t="n">
        <v>1.95012175099034</v>
      </c>
      <c r="AB34" t="n">
        <v>1.56555352007306</v>
      </c>
      <c r="AC34" t="n">
        <v>-4.89537074797415</v>
      </c>
      <c r="AD34" t="n">
        <v>-7.72871571242923</v>
      </c>
      <c r="AE34" t="n">
        <v>-37.3672524729342</v>
      </c>
      <c r="AF34" t="n">
        <v>-5.32079245319554</v>
      </c>
    </row>
    <row r="35">
      <c r="A35" t="s">
        <v>174</v>
      </c>
      <c r="B35" t="s">
        <v>283</v>
      </c>
      <c r="C35" t="s">
        <v>175</v>
      </c>
      <c r="D35" t="s">
        <v>284</v>
      </c>
      <c r="E35" t="s">
        <v>54</v>
      </c>
      <c r="F35" t="n">
        <v>9.49189467910614</v>
      </c>
      <c r="G35" t="n">
        <v>15.7252422787405</v>
      </c>
      <c r="H35" t="n">
        <v>11.6328495568586</v>
      </c>
      <c r="I35" t="n">
        <v>8.28831457926569</v>
      </c>
      <c r="J35" t="n">
        <v>4.34652882698465</v>
      </c>
      <c r="K35" t="n">
        <v>0.107318439985349</v>
      </c>
      <c r="L35" t="n">
        <v>5.54220922397057</v>
      </c>
      <c r="M35" t="n">
        <v>5.48273278007372</v>
      </c>
      <c r="N35" t="n">
        <v>1.43817726488056</v>
      </c>
      <c r="O35" t="n">
        <v>-2.0423481220261</v>
      </c>
      <c r="P35" t="n">
        <v>-2.89210001656564</v>
      </c>
      <c r="Q35" t="n">
        <v>-2.14565565901079</v>
      </c>
      <c r="R35" t="n">
        <v>1.09975401152553</v>
      </c>
      <c r="S35" t="n">
        <v>-0.833576478242826</v>
      </c>
      <c r="T35" t="n">
        <v>-2.00433150335524</v>
      </c>
      <c r="U35" t="n">
        <v>-2.26117997074624</v>
      </c>
      <c r="V35" t="n">
        <v>0.196823712128236</v>
      </c>
      <c r="W35" t="n">
        <v>7.34514546454239</v>
      </c>
      <c r="X35" t="n">
        <v>2.13208142404806</v>
      </c>
      <c r="Y35" t="n">
        <v>-0.059128490379301</v>
      </c>
      <c r="Z35" t="n">
        <v>2.85334214665429</v>
      </c>
      <c r="AA35" t="n">
        <v>-2.27644473708963</v>
      </c>
      <c r="AB35" t="n">
        <v>-0.715152217882675</v>
      </c>
      <c r="AC35" t="n">
        <v>-1.226679489635</v>
      </c>
      <c r="AD35" t="n">
        <v>-0.859749239004337</v>
      </c>
      <c r="AE35" t="n">
        <v>-0.925509485064957</v>
      </c>
      <c r="AF35" t="n">
        <v>1.40265977711795</v>
      </c>
    </row>
    <row r="36">
      <c r="A36" t="s">
        <v>176</v>
      </c>
      <c r="B36" t="s">
        <v>283</v>
      </c>
      <c r="C36" t="s">
        <v>177</v>
      </c>
      <c r="D36" t="s">
        <v>284</v>
      </c>
      <c r="E36" t="s">
        <v>54</v>
      </c>
      <c r="F36" t="n">
        <v>8.12249018669622</v>
      </c>
      <c r="G36" t="n">
        <v>6.26401113127706</v>
      </c>
      <c r="H36" t="n">
        <v>-1.61973905789736</v>
      </c>
      <c r="I36" t="n">
        <v>2.29099452706834</v>
      </c>
      <c r="J36" t="n">
        <v>-2.69126185606456</v>
      </c>
      <c r="K36" t="n">
        <v>1.80714579173138</v>
      </c>
      <c r="L36" t="n">
        <v>-0.608101226159619</v>
      </c>
      <c r="M36" t="n">
        <v>2.73482152861089</v>
      </c>
      <c r="N36" t="n">
        <v>2.5900477244198</v>
      </c>
      <c r="O36" t="n">
        <v>-1.3835546259525</v>
      </c>
      <c r="P36" t="n">
        <v>2.92697697254223</v>
      </c>
      <c r="Q36" t="n">
        <v>-3.65947609983319</v>
      </c>
      <c r="R36" t="n">
        <v>-3.48468753183546</v>
      </c>
      <c r="S36" t="n">
        <v>-8.40633621647182</v>
      </c>
      <c r="T36" t="n">
        <v>-4.59379457161955</v>
      </c>
      <c r="U36" t="n">
        <v>-0.96845059943309</v>
      </c>
      <c r="V36" t="n">
        <v>-6.58188146294734</v>
      </c>
      <c r="W36" t="n">
        <v>9.87354363947048</v>
      </c>
      <c r="X36" t="n">
        <v>6.74353524055515</v>
      </c>
      <c r="Y36" t="n">
        <v>2.98048977488907</v>
      </c>
      <c r="Z36" t="n">
        <v>6.97095038082765</v>
      </c>
      <c r="AA36" t="n">
        <v>-3.65864861266534</v>
      </c>
      <c r="AB36" t="n">
        <v>-5.01108761743208</v>
      </c>
      <c r="AC36" t="n">
        <v>-1.44239552395558</v>
      </c>
      <c r="AD36" t="n">
        <v>-4.36599253563479</v>
      </c>
      <c r="AE36" t="n">
        <v>-2.61493792126544</v>
      </c>
      <c r="AF36" t="n">
        <v>-0.7982568905188</v>
      </c>
    </row>
    <row r="37">
      <c r="A37" t="s">
        <v>178</v>
      </c>
      <c r="B37" t="s">
        <v>283</v>
      </c>
      <c r="C37" t="s">
        <v>179</v>
      </c>
      <c r="D37" t="s">
        <v>284</v>
      </c>
      <c r="E37" t="s">
        <v>54</v>
      </c>
      <c r="F37" t="n">
        <v>11.1948773709551</v>
      </c>
      <c r="G37" t="n">
        <v>12.9760767058134</v>
      </c>
      <c r="H37" t="n">
        <v>26.4630152902153</v>
      </c>
      <c r="I37" t="n">
        <v>15.7440811592327</v>
      </c>
      <c r="J37" t="n">
        <v>4.37726188435121</v>
      </c>
      <c r="K37" t="n">
        <v>-11.8423921858108</v>
      </c>
      <c r="L37" t="n">
        <v>8.23284452189981</v>
      </c>
      <c r="M37" t="n">
        <v>12.0336962936518</v>
      </c>
      <c r="N37" t="n">
        <v>9.31087539142936</v>
      </c>
      <c r="O37" t="n">
        <v>5.03597057559642</v>
      </c>
      <c r="P37" t="n">
        <v>-11.6721225259029</v>
      </c>
      <c r="Q37" t="n">
        <v>-7.79071880009017</v>
      </c>
      <c r="R37" t="n">
        <v>6.32777782351361</v>
      </c>
      <c r="S37" t="n">
        <v>5.13328984296351</v>
      </c>
      <c r="T37" t="n">
        <v>5.36340869513392</v>
      </c>
      <c r="U37" t="n">
        <v>2.54686348734339</v>
      </c>
      <c r="V37" t="n">
        <v>3.89516213873407</v>
      </c>
      <c r="W37" t="n">
        <v>6.08801080509842</v>
      </c>
      <c r="X37" t="n">
        <v>-2.31572639831441</v>
      </c>
      <c r="Y37" t="n">
        <v>4.49356350636645</v>
      </c>
      <c r="Z37" t="n">
        <v>4.51605713222918</v>
      </c>
      <c r="AA37" t="n">
        <v>-7.70278534629387</v>
      </c>
      <c r="AB37" t="n">
        <v>-1.27236970357245</v>
      </c>
      <c r="AC37" t="n">
        <v>-5.30908326193273</v>
      </c>
      <c r="AD37" t="n">
        <v>-2.36539198474439</v>
      </c>
      <c r="AE37" t="n">
        <v>6.04713547016615</v>
      </c>
      <c r="AF37" t="n">
        <v>-3.62835796417897</v>
      </c>
    </row>
    <row r="38">
      <c r="A38" t="s">
        <v>180</v>
      </c>
      <c r="B38" t="s">
        <v>283</v>
      </c>
      <c r="C38" t="s">
        <v>181</v>
      </c>
      <c r="D38" t="s">
        <v>284</v>
      </c>
      <c r="E38" t="s">
        <v>54</v>
      </c>
      <c r="F38" t="n">
        <v>7.25661493940706</v>
      </c>
      <c r="G38" t="n">
        <v>18.0896404245127</v>
      </c>
      <c r="H38" t="n">
        <v>6.49967323443192</v>
      </c>
      <c r="I38" t="n">
        <v>11.7289452739673</v>
      </c>
      <c r="J38" t="n">
        <v>7.47439279178952</v>
      </c>
      <c r="K38" t="n">
        <v>1.80730473938215</v>
      </c>
      <c r="L38" t="n">
        <v>7.18481620182292</v>
      </c>
      <c r="M38" t="n">
        <v>5.74474947281338</v>
      </c>
      <c r="N38" t="n">
        <v>-0.021533711773003</v>
      </c>
      <c r="O38" t="n">
        <v>-1.69195620154845</v>
      </c>
      <c r="P38" t="n">
        <v>-1.21194052592912</v>
      </c>
      <c r="Q38" t="n">
        <v>-0.786636943831276</v>
      </c>
      <c r="R38" t="n">
        <v>0.591400343852477</v>
      </c>
      <c r="S38" t="n">
        <v>-1.611631273488</v>
      </c>
      <c r="T38" t="n">
        <v>-4.40149927171927</v>
      </c>
      <c r="U38" t="n">
        <v>-6.8086437765082</v>
      </c>
      <c r="V38" t="n">
        <v>0.168433357344355</v>
      </c>
      <c r="W38" t="n">
        <v>6.70539742210803</v>
      </c>
      <c r="X38" t="n">
        <v>1.10772494453979</v>
      </c>
      <c r="Y38" t="n">
        <v>-2.48605376349484</v>
      </c>
      <c r="Z38" t="n">
        <v>0.627323021004855</v>
      </c>
      <c r="AA38" t="n">
        <v>-2.59073128026426</v>
      </c>
      <c r="AB38" t="n">
        <v>1.08418141905382</v>
      </c>
      <c r="AC38" t="n">
        <v>-0.749290582193396</v>
      </c>
      <c r="AD38" t="n">
        <v>1.59141007904555</v>
      </c>
      <c r="AE38" t="n">
        <v>-6.2163523094112</v>
      </c>
      <c r="AF38" t="n">
        <v>4.71926447034843</v>
      </c>
    </row>
    <row r="39">
      <c r="A39" t="s">
        <v>182</v>
      </c>
      <c r="B39" t="s">
        <v>283</v>
      </c>
      <c r="C39" t="s">
        <v>183</v>
      </c>
      <c r="D39" t="s">
        <v>284</v>
      </c>
      <c r="E39" t="s">
        <v>54</v>
      </c>
      <c r="F39" t="n">
        <v>-3.70316574048246</v>
      </c>
      <c r="G39" t="n">
        <v>5.30102142749094</v>
      </c>
      <c r="H39" t="n">
        <v>4.6654115991192</v>
      </c>
      <c r="I39" t="n">
        <v>-5.28126348068359</v>
      </c>
      <c r="J39" t="n">
        <v>2.16948670781285</v>
      </c>
      <c r="K39" t="n">
        <v>2.779138202051</v>
      </c>
      <c r="L39" t="n">
        <v>2.26024332630352</v>
      </c>
      <c r="M39" t="n">
        <v>0.328489619974448</v>
      </c>
      <c r="N39" t="n">
        <v>5.48982328308813</v>
      </c>
      <c r="O39" t="n">
        <v>2.29134865536746</v>
      </c>
      <c r="P39" t="n">
        <v>2.8024428712385</v>
      </c>
      <c r="Q39" t="n">
        <v>0.123457521328696</v>
      </c>
      <c r="R39" t="n">
        <v>2.76665484555512</v>
      </c>
      <c r="S39" t="n">
        <v>-18.3638815179922</v>
      </c>
      <c r="T39" t="n">
        <v>1.11957874969928</v>
      </c>
      <c r="U39" t="n">
        <v>0.0135065481458696</v>
      </c>
      <c r="V39" t="n">
        <v>-0.844327174343462</v>
      </c>
      <c r="W39" t="n">
        <v>3.04549194588404</v>
      </c>
      <c r="X39" t="n">
        <v>11.0876034484304</v>
      </c>
      <c r="Y39" t="n">
        <v>3.58093737647298</v>
      </c>
      <c r="Z39" t="n">
        <v>1.03575505195703</v>
      </c>
      <c r="AA39" t="n">
        <v>-4.82784851735651</v>
      </c>
      <c r="AB39" t="n">
        <v>1.15325512402258</v>
      </c>
      <c r="AC39" t="n">
        <v>-0.754297071002341</v>
      </c>
      <c r="AD39" t="n">
        <v>-2.19763725856197</v>
      </c>
      <c r="AE39" t="n">
        <v>3.42827198517615</v>
      </c>
      <c r="AF39" t="n">
        <v>8.15603957403734</v>
      </c>
    </row>
    <row r="40">
      <c r="A40" t="s">
        <v>184</v>
      </c>
      <c r="B40" t="s">
        <v>283</v>
      </c>
      <c r="C40" t="s">
        <v>185</v>
      </c>
      <c r="D40" t="s">
        <v>284</v>
      </c>
      <c r="E40" t="s">
        <v>54</v>
      </c>
      <c r="F40" t="n">
        <v>-2.39057752326879</v>
      </c>
      <c r="G40" t="n">
        <v>0.595023191150368</v>
      </c>
      <c r="H40" t="n">
        <v>-1.58827797159802</v>
      </c>
      <c r="I40" t="n">
        <v>-5.17857666139072</v>
      </c>
      <c r="J40" t="n">
        <v>1.79757184069604</v>
      </c>
      <c r="K40" t="n">
        <v>0.964259960036706</v>
      </c>
      <c r="L40" t="n">
        <v>0.210508311901947</v>
      </c>
      <c r="M40" t="n">
        <v>-1.35620278619353</v>
      </c>
      <c r="N40" t="n">
        <v>2.35819688195278</v>
      </c>
      <c r="O40" t="n">
        <v>-0.596204531882094</v>
      </c>
      <c r="P40" t="n">
        <v>-1.25956433946683</v>
      </c>
      <c r="Q40" t="n">
        <v>-1.5487994378951</v>
      </c>
      <c r="R40" t="n">
        <v>-6.43131307994462</v>
      </c>
      <c r="S40" t="n">
        <v>-3.79327486265257</v>
      </c>
      <c r="T40" t="n">
        <v>-2.47204354354942</v>
      </c>
      <c r="U40" t="n">
        <v>3.87343733865713</v>
      </c>
      <c r="V40" t="n">
        <v>-0.403460567073921</v>
      </c>
      <c r="W40" t="n">
        <v>-1.33850400762103</v>
      </c>
      <c r="X40" t="n">
        <v>3.61948321877517</v>
      </c>
      <c r="Y40" t="n">
        <v>5.04010055340203</v>
      </c>
      <c r="Z40" t="n">
        <v>-4.32182262200485</v>
      </c>
      <c r="AA40" t="n">
        <v>-6.72603176612334</v>
      </c>
      <c r="AB40" t="n">
        <v>-4.73957120484077</v>
      </c>
      <c r="AC40" t="n">
        <v>-3.30761695189796</v>
      </c>
      <c r="AD40" t="n">
        <v>-0.510519142309107</v>
      </c>
      <c r="AE40" t="n">
        <v>-5.75906682137379</v>
      </c>
      <c r="AF40" t="n">
        <v>-3.26021770907179</v>
      </c>
    </row>
    <row r="41">
      <c r="A41" t="s">
        <v>186</v>
      </c>
      <c r="B41" t="s">
        <v>283</v>
      </c>
      <c r="C41" t="s">
        <v>187</v>
      </c>
      <c r="D41" t="s">
        <v>284</v>
      </c>
      <c r="E41" t="s">
        <v>54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283</v>
      </c>
      <c r="C42" t="s">
        <v>189</v>
      </c>
      <c r="D42" t="s">
        <v>284</v>
      </c>
      <c r="E42" t="s">
        <v>54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283</v>
      </c>
      <c r="C43" t="s">
        <v>191</v>
      </c>
      <c r="D43" t="s">
        <v>284</v>
      </c>
      <c r="E43" t="s">
        <v>54</v>
      </c>
      <c r="F43" t="n">
        <v>-0.503713757427349</v>
      </c>
      <c r="G43" t="n">
        <v>3.03716215487757</v>
      </c>
      <c r="H43" t="n">
        <v>-1.89585396013712</v>
      </c>
      <c r="I43" t="n">
        <v>-0.345989105730915</v>
      </c>
      <c r="J43" t="n">
        <v>-0.306610342083147</v>
      </c>
      <c r="K43" t="n">
        <v>8.80618605920951</v>
      </c>
      <c r="L43" t="n">
        <v>0.0035460453721825</v>
      </c>
      <c r="M43" t="n">
        <v>0.547431654700681</v>
      </c>
      <c r="N43" t="n">
        <v>-0.759277770714029</v>
      </c>
      <c r="O43" t="n">
        <v>-0.970594934727309</v>
      </c>
      <c r="P43" t="n">
        <v>3.92351108030091</v>
      </c>
      <c r="Q43" t="n">
        <v>2.59690353315403</v>
      </c>
      <c r="R43" t="n">
        <v>3.43670300697365</v>
      </c>
      <c r="S43" t="n">
        <v>2.23794872421603</v>
      </c>
      <c r="T43" t="n">
        <v>1.22325353361585</v>
      </c>
      <c r="U43" t="n">
        <v>2.01642007264802</v>
      </c>
      <c r="V43" t="n">
        <v>1.66100520490655</v>
      </c>
      <c r="W43" t="n">
        <v>-9.87397934181153</v>
      </c>
      <c r="X43" t="n">
        <v>1.04034582612922</v>
      </c>
      <c r="Y43" t="n">
        <v>-2.1917341273392</v>
      </c>
      <c r="Z43" t="n">
        <v>-1.21725066164497</v>
      </c>
      <c r="AA43" t="n">
        <v>0.102573228549119</v>
      </c>
      <c r="AB43" t="n">
        <v>-3.6724087527638</v>
      </c>
      <c r="AC43" t="n">
        <v>-3.08821127092038</v>
      </c>
      <c r="AD43" t="n">
        <v>-1.55962812739414</v>
      </c>
      <c r="AE43" t="n">
        <v>-0.702415888309815</v>
      </c>
      <c r="AF43" t="n">
        <v>-0.257924515695684</v>
      </c>
    </row>
    <row r="44">
      <c r="A44" t="s">
        <v>192</v>
      </c>
      <c r="B44" t="s">
        <v>283</v>
      </c>
      <c r="C44" t="s">
        <v>193</v>
      </c>
      <c r="D44" t="s">
        <v>284</v>
      </c>
      <c r="E44" t="s">
        <v>54</v>
      </c>
      <c r="F44" t="n">
        <v>2.27515528242499</v>
      </c>
      <c r="G44" t="n">
        <v>2.53486482310699</v>
      </c>
      <c r="H44" t="n">
        <v>1.22940560138645</v>
      </c>
      <c r="I44" t="n">
        <v>-1.22622360389535</v>
      </c>
      <c r="J44" t="n">
        <v>0.788401715898601</v>
      </c>
      <c r="K44" t="n">
        <v>2.32877635606101</v>
      </c>
      <c r="L44" t="n">
        <v>-0.74460595150434</v>
      </c>
      <c r="M44" t="n">
        <v>1.94182244685344</v>
      </c>
      <c r="N44" t="n">
        <v>2.37700935900556</v>
      </c>
      <c r="O44" t="n">
        <v>2.99731233382303</v>
      </c>
      <c r="P44" t="n">
        <v>2.19584634602974</v>
      </c>
      <c r="Q44" t="n">
        <v>-0.593513399119061</v>
      </c>
      <c r="R44" t="n">
        <v>0.674012079247532</v>
      </c>
      <c r="S44" t="n">
        <v>-1.56300969341885</v>
      </c>
      <c r="T44" t="n">
        <v>-7.60366408379127</v>
      </c>
      <c r="U44" t="n">
        <v>4.98991828328066</v>
      </c>
      <c r="V44" t="n">
        <v>-0.500341690477413</v>
      </c>
      <c r="W44" t="n">
        <v>1.14161984128458</v>
      </c>
      <c r="X44" t="n">
        <v>1.95104276003875</v>
      </c>
      <c r="Y44" t="n">
        <v>-0.189284405204404</v>
      </c>
      <c r="Z44" t="n">
        <v>0.908787836885239</v>
      </c>
      <c r="AA44" t="n">
        <v>-1.10894746690384</v>
      </c>
      <c r="AB44" t="n">
        <v>1.38890883942153</v>
      </c>
      <c r="AC44" t="n">
        <v>-1.69183465881169</v>
      </c>
      <c r="AD44" t="n">
        <v>-2.26493139674204</v>
      </c>
      <c r="AE44" t="n">
        <v>-5.88068546645886</v>
      </c>
      <c r="AF44" t="n">
        <v>4.43333728191568</v>
      </c>
    </row>
    <row r="45">
      <c r="A45" t="s">
        <v>194</v>
      </c>
      <c r="B45" t="s">
        <v>283</v>
      </c>
      <c r="C45" t="s">
        <v>195</v>
      </c>
      <c r="D45" t="s">
        <v>284</v>
      </c>
      <c r="E45" t="s">
        <v>54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283</v>
      </c>
      <c r="C46" t="s">
        <v>197</v>
      </c>
      <c r="D46" t="s">
        <v>284</v>
      </c>
      <c r="E46" t="s">
        <v>54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283</v>
      </c>
      <c r="C47" t="s">
        <v>199</v>
      </c>
      <c r="D47" t="s">
        <v>284</v>
      </c>
      <c r="E47" t="s">
        <v>54</v>
      </c>
      <c r="F47" t="n">
        <v>2.0285512437745</v>
      </c>
      <c r="G47" t="n">
        <v>5.53457590633979</v>
      </c>
      <c r="H47" t="n">
        <v>2.54182091289223</v>
      </c>
      <c r="I47" t="n">
        <v>1.41073026653391</v>
      </c>
      <c r="J47" t="n">
        <v>3.32510145930804</v>
      </c>
      <c r="K47" t="n">
        <v>4.00729638926531</v>
      </c>
      <c r="L47" t="n">
        <v>0.257492579011043</v>
      </c>
      <c r="M47" t="n">
        <v>-2.39118124464603</v>
      </c>
      <c r="N47" t="n">
        <v>-2.04716350312637</v>
      </c>
      <c r="O47" t="n">
        <v>-2.28515557810844</v>
      </c>
      <c r="P47" t="n">
        <v>1.9126179484175</v>
      </c>
      <c r="Q47" t="n">
        <v>5.038532761216</v>
      </c>
      <c r="R47" t="n">
        <v>0.121679437759781</v>
      </c>
      <c r="S47" t="n">
        <v>3.17069498786857</v>
      </c>
      <c r="T47" t="n">
        <v>0.234490410381127</v>
      </c>
      <c r="U47" t="n">
        <v>0.769375421394969</v>
      </c>
      <c r="V47" t="n">
        <v>2.44195895289181</v>
      </c>
      <c r="W47" t="n">
        <v>0.174206390660814</v>
      </c>
      <c r="X47" t="n">
        <v>-0.769964436053172</v>
      </c>
      <c r="Y47" t="n">
        <v>-1.11149110452953</v>
      </c>
      <c r="Z47" t="n">
        <v>3.18257658045162</v>
      </c>
      <c r="AA47" t="n">
        <v>1.01574077072453</v>
      </c>
      <c r="AB47" t="n">
        <v>3.23645044353107</v>
      </c>
      <c r="AC47" t="n">
        <v>0.517401253892658</v>
      </c>
      <c r="AD47" t="n">
        <v>-1.93544993835708</v>
      </c>
      <c r="AE47" t="n">
        <v>0.264150904824589</v>
      </c>
      <c r="AF47" t="n">
        <v>1.60127515523616</v>
      </c>
    </row>
    <row r="48">
      <c r="A48" t="s">
        <v>200</v>
      </c>
      <c r="B48" t="s">
        <v>283</v>
      </c>
      <c r="C48" t="s">
        <v>201</v>
      </c>
      <c r="D48" t="s">
        <v>284</v>
      </c>
      <c r="E48" t="s">
        <v>54</v>
      </c>
      <c r="F48" t="n">
        <v>2.06746892884908</v>
      </c>
      <c r="G48" t="n">
        <v>0.699493045349797</v>
      </c>
      <c r="H48" t="n">
        <v>-1.71363467888703</v>
      </c>
      <c r="I48" t="n">
        <v>-1.2345352040116</v>
      </c>
      <c r="J48" t="n">
        <v>1.01165914187185</v>
      </c>
      <c r="K48" t="n">
        <v>-0.965238984612959</v>
      </c>
      <c r="L48" t="n">
        <v>-0.882075498559232</v>
      </c>
      <c r="M48" t="n">
        <v>-2.88398531811893</v>
      </c>
      <c r="N48" t="n">
        <v>-3.26914926528978</v>
      </c>
      <c r="O48" t="n">
        <v>-3.34610398807271</v>
      </c>
      <c r="P48" t="n">
        <v>-1.20049775342856</v>
      </c>
      <c r="Q48" t="n">
        <v>0.584918394902445</v>
      </c>
      <c r="R48" t="n">
        <v>0.858803088322091</v>
      </c>
      <c r="S48" t="n">
        <v>-0.680598559257106</v>
      </c>
      <c r="T48" t="n">
        <v>-1.50735290853632</v>
      </c>
      <c r="U48" t="n">
        <v>-1.32982187537145</v>
      </c>
      <c r="V48" t="n">
        <v>-0.358502033194341</v>
      </c>
      <c r="W48" t="n">
        <v>1.95189103837166</v>
      </c>
      <c r="X48" t="n">
        <v>-2.47699186135009</v>
      </c>
      <c r="Y48" t="n">
        <v>-2.17751699456841</v>
      </c>
      <c r="Z48" t="n">
        <v>1.09190454396746</v>
      </c>
      <c r="AA48" t="n">
        <v>0.0321820552859009</v>
      </c>
      <c r="AB48" t="n">
        <v>-0.601647975400255</v>
      </c>
      <c r="AC48" t="n">
        <v>0.0837143665776807</v>
      </c>
      <c r="AD48" t="n">
        <v>-0.671291565081589</v>
      </c>
      <c r="AE48" t="n">
        <v>0.158691512283582</v>
      </c>
      <c r="AF48" t="n">
        <v>0.78356387391949</v>
      </c>
    </row>
    <row r="49">
      <c r="A49" t="s">
        <v>202</v>
      </c>
      <c r="B49" t="s">
        <v>283</v>
      </c>
      <c r="C49" t="s">
        <v>203</v>
      </c>
      <c r="D49" t="s">
        <v>284</v>
      </c>
      <c r="E49" t="s">
        <v>54</v>
      </c>
      <c r="F49" t="n">
        <v>2.62195838361432</v>
      </c>
      <c r="G49" t="n">
        <v>1.20592855227297</v>
      </c>
      <c r="H49" t="n">
        <v>-2.24687295646682</v>
      </c>
      <c r="I49" t="n">
        <v>-1.18784430703833</v>
      </c>
      <c r="J49" t="n">
        <v>1.27961452926417</v>
      </c>
      <c r="K49" t="n">
        <v>3.4650667531853</v>
      </c>
      <c r="L49" t="n">
        <v>1.00925064864335</v>
      </c>
      <c r="M49" t="n">
        <v>-0.809005037449317</v>
      </c>
      <c r="N49" t="n">
        <v>-3.50638293898484</v>
      </c>
      <c r="O49" t="n">
        <v>-3.20352201436034</v>
      </c>
      <c r="P49" t="n">
        <v>1.35150168983493</v>
      </c>
      <c r="Q49" t="n">
        <v>2.29173936981582</v>
      </c>
      <c r="R49" t="n">
        <v>0.296051134611552</v>
      </c>
      <c r="S49" t="n">
        <v>-0.990741249417582</v>
      </c>
      <c r="T49" t="n">
        <v>-1.0933651058167</v>
      </c>
      <c r="U49" t="n">
        <v>-1.04909891555884</v>
      </c>
      <c r="V49" t="n">
        <v>1.84183689583541</v>
      </c>
      <c r="W49" t="n">
        <v>2.84417637793712</v>
      </c>
      <c r="X49" t="n">
        <v>-2.17626357378968</v>
      </c>
      <c r="Y49" t="n">
        <v>-1.02052447446539</v>
      </c>
      <c r="Z49" t="n">
        <v>-2.64410065072287</v>
      </c>
      <c r="AA49" t="n">
        <v>-1.02428342432947</v>
      </c>
      <c r="AB49" t="n">
        <v>-0.223569006378987</v>
      </c>
      <c r="AC49" t="n">
        <v>-2.34385010767095</v>
      </c>
      <c r="AD49" t="n">
        <v>-0.151332286483452</v>
      </c>
      <c r="AE49" t="n">
        <v>0.855881276841153</v>
      </c>
      <c r="AF49" t="n">
        <v>-0.774505477441068</v>
      </c>
    </row>
    <row r="50">
      <c r="A50" t="s">
        <v>204</v>
      </c>
      <c r="B50" t="s">
        <v>283</v>
      </c>
      <c r="C50" t="s">
        <v>205</v>
      </c>
      <c r="D50" t="s">
        <v>284</v>
      </c>
      <c r="E50" t="s">
        <v>54</v>
      </c>
      <c r="F50" t="n">
        <v>2.07777799888777</v>
      </c>
      <c r="G50" t="n">
        <v>-3.00420067889071</v>
      </c>
      <c r="H50" t="n">
        <v>-4.16449433003532</v>
      </c>
      <c r="I50" t="n">
        <v>-2.7116331663148</v>
      </c>
      <c r="J50" t="n">
        <v>-0.00682947371348774</v>
      </c>
      <c r="K50" t="n">
        <v>-7.42332200047748</v>
      </c>
      <c r="L50" t="n">
        <v>-1.47759967290835</v>
      </c>
      <c r="M50" t="n">
        <v>-3.93527658191655</v>
      </c>
      <c r="N50" t="n">
        <v>-3.40449243699084</v>
      </c>
      <c r="O50" t="n">
        <v>-3.31971077016515</v>
      </c>
      <c r="P50" t="n">
        <v>-3.04340020149141</v>
      </c>
      <c r="Q50" t="n">
        <v>-1.95881536328084</v>
      </c>
      <c r="R50" t="n">
        <v>1.58347395913463</v>
      </c>
      <c r="S50" t="n">
        <v>-2.41219026938584</v>
      </c>
      <c r="T50" t="n">
        <v>-1.66591758457813</v>
      </c>
      <c r="U50" t="n">
        <v>-1.52038273402582</v>
      </c>
      <c r="V50" t="n">
        <v>-2.55969541063497</v>
      </c>
      <c r="W50" t="n">
        <v>3.30169977237365</v>
      </c>
      <c r="X50" t="n">
        <v>-2.55802677632175</v>
      </c>
      <c r="Y50" t="n">
        <v>-2.93242202060284</v>
      </c>
      <c r="Z50" t="n">
        <v>2.83937626729571</v>
      </c>
      <c r="AA50" t="n">
        <v>0.815267466366265</v>
      </c>
      <c r="AB50" t="n">
        <v>-2.46684253833873</v>
      </c>
      <c r="AC50" t="n">
        <v>0.875397717279469</v>
      </c>
      <c r="AD50" t="n">
        <v>-0.444956170164979</v>
      </c>
      <c r="AE50" t="n">
        <v>-0.541503852794456</v>
      </c>
      <c r="AF50" t="n">
        <v>1.54724014499248</v>
      </c>
    </row>
    <row r="51">
      <c r="A51" t="s">
        <v>206</v>
      </c>
      <c r="B51" t="s">
        <v>283</v>
      </c>
      <c r="C51" t="s">
        <v>207</v>
      </c>
      <c r="D51" t="s">
        <v>284</v>
      </c>
      <c r="E51" t="s">
        <v>54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283</v>
      </c>
      <c r="C52" t="s">
        <v>209</v>
      </c>
      <c r="D52" t="s">
        <v>284</v>
      </c>
      <c r="E52" t="s">
        <v>54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283</v>
      </c>
      <c r="C53" t="s">
        <v>211</v>
      </c>
      <c r="D53" t="s">
        <v>284</v>
      </c>
      <c r="E53" t="s">
        <v>54</v>
      </c>
      <c r="F53" t="n">
        <v>-9.91072662729877</v>
      </c>
      <c r="G53" t="n">
        <v>-7.23808035315656</v>
      </c>
      <c r="H53" t="n">
        <v>-2.25178266299206</v>
      </c>
      <c r="I53" t="n">
        <v>0.758272263022874</v>
      </c>
      <c r="J53" t="n">
        <v>-1.71993301676583</v>
      </c>
      <c r="K53" t="n">
        <v>5.67053597718985</v>
      </c>
      <c r="L53" t="n">
        <v>-6.01136564042726</v>
      </c>
      <c r="M53" t="n">
        <v>3.46433060019766</v>
      </c>
      <c r="N53" t="n">
        <v>-1.06692965444743</v>
      </c>
      <c r="O53" t="n">
        <v>-2.52457903154415</v>
      </c>
      <c r="P53" t="n">
        <v>6.20182378065461</v>
      </c>
      <c r="Q53" t="n">
        <v>3.45348643451917</v>
      </c>
      <c r="R53" t="n">
        <v>-2.1163843794918</v>
      </c>
      <c r="S53" t="n">
        <v>-4.68342315389823</v>
      </c>
      <c r="T53" t="n">
        <v>-7.77710197483383</v>
      </c>
      <c r="U53" t="n">
        <v>-3.86499881455897</v>
      </c>
      <c r="V53" t="n">
        <v>2.23084095195141</v>
      </c>
      <c r="W53" t="n">
        <v>10.4741243588183</v>
      </c>
      <c r="X53" t="n">
        <v>5.36634792762314</v>
      </c>
      <c r="Y53" t="n">
        <v>0.297439789867049</v>
      </c>
      <c r="Z53" t="n">
        <v>-4.16008012520823</v>
      </c>
      <c r="AA53" t="n">
        <v>-11.9345975927404</v>
      </c>
      <c r="AB53" t="n">
        <v>-6.40682483179145</v>
      </c>
      <c r="AC53" t="n">
        <v>-4.67149472510417</v>
      </c>
      <c r="AD53" t="n">
        <v>-5.87862315845875</v>
      </c>
      <c r="AE53" t="n">
        <v>-23.8613152796656</v>
      </c>
      <c r="AF53" t="n">
        <v>6.94722503038179</v>
      </c>
    </row>
    <row r="54">
      <c r="A54" t="s">
        <v>212</v>
      </c>
      <c r="B54" t="s">
        <v>283</v>
      </c>
      <c r="C54" t="s">
        <v>213</v>
      </c>
      <c r="D54" t="s">
        <v>284</v>
      </c>
      <c r="E54" t="s">
        <v>54</v>
      </c>
      <c r="F54" t="n">
        <v>-4.75439428842055</v>
      </c>
      <c r="G54" t="n">
        <v>-0.615258605054159</v>
      </c>
      <c r="H54" t="n">
        <v>0.973619184503249</v>
      </c>
      <c r="I54" t="n">
        <v>2.63653444019312</v>
      </c>
      <c r="J54" t="n">
        <v>2.45423465193326</v>
      </c>
      <c r="K54" t="n">
        <v>3.8333646877799</v>
      </c>
      <c r="L54" t="n">
        <v>-6.92057744662087</v>
      </c>
      <c r="M54" t="n">
        <v>3.21071568438125</v>
      </c>
      <c r="N54" t="n">
        <v>2.33823466731007</v>
      </c>
      <c r="O54" t="n">
        <v>-1.87275267631133</v>
      </c>
      <c r="P54" t="n">
        <v>0.187799088377361</v>
      </c>
      <c r="Q54" t="n">
        <v>-2.55449315636174</v>
      </c>
      <c r="R54" t="n">
        <v>0.26931216851942</v>
      </c>
      <c r="S54" t="n">
        <v>-3.31166929356854</v>
      </c>
      <c r="T54" t="n">
        <v>-6.307857860563</v>
      </c>
      <c r="U54" t="n">
        <v>-3.80227576460932</v>
      </c>
      <c r="V54" t="n">
        <v>0.941455939096514</v>
      </c>
      <c r="W54" t="n">
        <v>3.46311776451866</v>
      </c>
      <c r="X54" t="n">
        <v>-1.06696127606423</v>
      </c>
      <c r="Y54" t="n">
        <v>-1.37495072805027</v>
      </c>
      <c r="Z54" t="n">
        <v>-2.32939267837349</v>
      </c>
      <c r="AA54" t="n">
        <v>-6.458583248188</v>
      </c>
      <c r="AB54" t="n">
        <v>-1.44451960049956</v>
      </c>
      <c r="AC54" t="n">
        <v>-4.91388040261977</v>
      </c>
      <c r="AD54" t="n">
        <v>-3.07540296036581</v>
      </c>
      <c r="AE54" t="n">
        <v>-17.0065528245063</v>
      </c>
      <c r="AF54" t="n">
        <v>2.80343566864918</v>
      </c>
    </row>
    <row r="55">
      <c r="A55" t="s">
        <v>214</v>
      </c>
      <c r="B55" t="s">
        <v>283</v>
      </c>
      <c r="C55" t="s">
        <v>215</v>
      </c>
      <c r="D55" t="s">
        <v>284</v>
      </c>
      <c r="E55" t="s">
        <v>54</v>
      </c>
      <c r="F55" t="n">
        <v>-2.15914270212902</v>
      </c>
      <c r="G55" t="n">
        <v>3.2860293720665</v>
      </c>
      <c r="H55" t="n">
        <v>3.45602485103491</v>
      </c>
      <c r="I55" t="n">
        <v>4.56717286474841</v>
      </c>
      <c r="J55" t="n">
        <v>5.00813217228942</v>
      </c>
      <c r="K55" t="n">
        <v>3.30542543736208</v>
      </c>
      <c r="L55" t="n">
        <v>-6.63806349870804</v>
      </c>
      <c r="M55" t="n">
        <v>2.77744220612473</v>
      </c>
      <c r="N55" t="n">
        <v>4.20758425025483</v>
      </c>
      <c r="O55" t="n">
        <v>-1.46553924280663</v>
      </c>
      <c r="P55" t="n">
        <v>-2.1243912562749</v>
      </c>
      <c r="Q55" t="n">
        <v>-4.80954006165533</v>
      </c>
      <c r="R55" t="n">
        <v>1.71645858303933</v>
      </c>
      <c r="S55" t="n">
        <v>-2.94791369474492</v>
      </c>
      <c r="T55" t="n">
        <v>-6.2593928190644</v>
      </c>
      <c r="U55" t="n">
        <v>-3.617574629396</v>
      </c>
      <c r="V55" t="n">
        <v>0.816416182289359</v>
      </c>
      <c r="W55" t="n">
        <v>-0.356565365100714</v>
      </c>
      <c r="X55" t="n">
        <v>-4.65247253276129</v>
      </c>
      <c r="Y55" t="n">
        <v>-2.40787626526142</v>
      </c>
      <c r="Z55" t="n">
        <v>-1.97724870117106</v>
      </c>
      <c r="AA55" t="n">
        <v>-3.80036489582434</v>
      </c>
      <c r="AB55" t="n">
        <v>0.968051219728672</v>
      </c>
      <c r="AC55" t="n">
        <v>-5.04010719038011</v>
      </c>
      <c r="AD55" t="n">
        <v>-1.21267472125535</v>
      </c>
      <c r="AE55" t="n">
        <v>-13.2242539532511</v>
      </c>
      <c r="AF55" t="n">
        <v>0.880339316573497</v>
      </c>
    </row>
    <row r="56">
      <c r="A56" t="s">
        <v>216</v>
      </c>
      <c r="B56" t="s">
        <v>283</v>
      </c>
      <c r="C56" t="s">
        <v>217</v>
      </c>
      <c r="D56" t="s">
        <v>284</v>
      </c>
      <c r="E56" t="s">
        <v>54</v>
      </c>
      <c r="F56" t="n">
        <v>-0.399131463299263</v>
      </c>
      <c r="G56" t="n">
        <v>-7.79708788130655</v>
      </c>
      <c r="H56" t="n">
        <v>-8.55192703552756</v>
      </c>
      <c r="I56" t="n">
        <v>-11.6781785097539</v>
      </c>
      <c r="J56" t="n">
        <v>-3.90624998628049</v>
      </c>
      <c r="K56" t="n">
        <v>-4.69597811641886</v>
      </c>
      <c r="L56" t="n">
        <v>-6.49575409288339</v>
      </c>
      <c r="M56" t="n">
        <v>1.0078276728267</v>
      </c>
      <c r="N56" t="n">
        <v>2.29799988256243</v>
      </c>
      <c r="O56" t="n">
        <v>8.36883286583685</v>
      </c>
      <c r="P56" t="n">
        <v>-16.9251220496308</v>
      </c>
      <c r="Q56" t="n">
        <v>0.678937425490922</v>
      </c>
      <c r="R56" t="n">
        <v>5.10386320862803</v>
      </c>
      <c r="S56" t="n">
        <v>20.1794848778526</v>
      </c>
      <c r="T56" t="n">
        <v>7.75243612039755</v>
      </c>
      <c r="U56" t="n">
        <v>7.97790462042851</v>
      </c>
      <c r="V56" t="n">
        <v>5.70099647084081</v>
      </c>
      <c r="W56" t="n">
        <v>0.969135535492782</v>
      </c>
      <c r="X56" t="n">
        <v>-28.3644812686184</v>
      </c>
      <c r="Y56" t="n">
        <v>-11.0683064695856</v>
      </c>
      <c r="Z56" t="n">
        <v>0.421453395828841</v>
      </c>
      <c r="AA56" t="n">
        <v>26.7946736625003</v>
      </c>
      <c r="AB56" t="n">
        <v>-7.33982244312106</v>
      </c>
      <c r="AC56" t="n">
        <v>-0.287010456031922</v>
      </c>
      <c r="AD56" t="n">
        <v>9.81722017769471</v>
      </c>
      <c r="AE56" t="n">
        <v>8.12966597473146</v>
      </c>
      <c r="AF56" t="n">
        <v>-6.21930708140219</v>
      </c>
    </row>
    <row r="57">
      <c r="A57" t="s">
        <v>218</v>
      </c>
      <c r="B57" t="s">
        <v>283</v>
      </c>
      <c r="C57" t="s">
        <v>219</v>
      </c>
      <c r="D57" t="s">
        <v>284</v>
      </c>
      <c r="E57" t="s">
        <v>54</v>
      </c>
      <c r="F57" t="n">
        <v>2.03398203421621</v>
      </c>
      <c r="G57" t="n">
        <v>1.9932133993418</v>
      </c>
      <c r="H57" t="n">
        <v>0.616304286437241</v>
      </c>
      <c r="I57" t="n">
        <v>-1.33239689539444</v>
      </c>
      <c r="J57" t="n">
        <v>0.886107377581169</v>
      </c>
      <c r="K57" t="n">
        <v>1.8129149188777</v>
      </c>
      <c r="L57" t="n">
        <v>-0.611485559777591</v>
      </c>
      <c r="M57" t="n">
        <v>1.20610050004295</v>
      </c>
      <c r="N57" t="n">
        <v>1.41408182662204</v>
      </c>
      <c r="O57" t="n">
        <v>1.79697145036712</v>
      </c>
      <c r="P57" t="n">
        <v>1.47313420159065</v>
      </c>
      <c r="Q57" t="n">
        <v>-0.323719929639665</v>
      </c>
      <c r="R57" t="n">
        <v>0.438135004742435</v>
      </c>
      <c r="S57" t="n">
        <v>-1.212599237655</v>
      </c>
      <c r="T57" t="n">
        <v>-5.63816194974578</v>
      </c>
      <c r="U57" t="n">
        <v>3.55074655424623</v>
      </c>
      <c r="V57" t="n">
        <v>-0.332868541793374</v>
      </c>
      <c r="W57" t="n">
        <v>1.16274790427653</v>
      </c>
      <c r="X57" t="n">
        <v>0.944466447651848</v>
      </c>
      <c r="Y57" t="n">
        <v>-0.453501109142351</v>
      </c>
      <c r="Z57" t="n">
        <v>0.701681841636059</v>
      </c>
      <c r="AA57" t="n">
        <v>-0.99230726378039</v>
      </c>
      <c r="AB57" t="n">
        <v>0.721030569197723</v>
      </c>
      <c r="AC57" t="n">
        <v>-1.45163801340864</v>
      </c>
      <c r="AD57" t="n">
        <v>-1.78407820609863</v>
      </c>
      <c r="AE57" t="n">
        <v>-4.2456019095944</v>
      </c>
      <c r="AF57" t="n">
        <v>3.00856515753836</v>
      </c>
    </row>
    <row r="58">
      <c r="A58" t="s">
        <v>220</v>
      </c>
      <c r="B58" t="s">
        <v>283</v>
      </c>
      <c r="C58" t="s">
        <v>221</v>
      </c>
      <c r="D58" t="s">
        <v>284</v>
      </c>
      <c r="E58" t="s">
        <v>54</v>
      </c>
      <c r="F58" t="n">
        <v>2.05686505943383</v>
      </c>
      <c r="G58" t="n">
        <v>2.06965222814297</v>
      </c>
      <c r="H58" t="n">
        <v>0.680858482342117</v>
      </c>
      <c r="I58" t="n">
        <v>-1.26420765401995</v>
      </c>
      <c r="J58" t="n">
        <v>0.923013056533506</v>
      </c>
      <c r="K58" t="n">
        <v>1.86182686792478</v>
      </c>
      <c r="L58" t="n">
        <v>-0.577590365920599</v>
      </c>
      <c r="M58" t="n">
        <v>1.2297747946711</v>
      </c>
      <c r="N58" t="n">
        <v>1.42847065429663</v>
      </c>
      <c r="O58" t="n">
        <v>1.79707480341129</v>
      </c>
      <c r="P58" t="n">
        <v>1.52340181606689</v>
      </c>
      <c r="Q58" t="n">
        <v>-0.32929934314545</v>
      </c>
      <c r="R58" t="n">
        <v>0.427457403533182</v>
      </c>
      <c r="S58" t="n">
        <v>-1.29745351659452</v>
      </c>
      <c r="T58" t="n">
        <v>-5.70077281646029</v>
      </c>
      <c r="U58" t="n">
        <v>3.5204032438628</v>
      </c>
      <c r="V58" t="n">
        <v>-0.367213356001983</v>
      </c>
      <c r="W58" t="n">
        <v>1.1672609094898</v>
      </c>
      <c r="X58" t="n">
        <v>1.03679161047481</v>
      </c>
      <c r="Y58" t="n">
        <v>-0.426596446479621</v>
      </c>
      <c r="Z58" t="n">
        <v>0.731708630097572</v>
      </c>
      <c r="AA58" t="n">
        <v>-1.0666998947503</v>
      </c>
      <c r="AB58" t="n">
        <v>0.753218165779401</v>
      </c>
      <c r="AC58" t="n">
        <v>-1.45472434444471</v>
      </c>
      <c r="AD58" t="n">
        <v>-1.82513090792895</v>
      </c>
      <c r="AE58" t="n">
        <v>-4.29262402177102</v>
      </c>
      <c r="AF58" t="n">
        <v>3.04137409832634</v>
      </c>
    </row>
    <row r="59">
      <c r="A59" t="s">
        <v>222</v>
      </c>
      <c r="B59" t="s">
        <v>283</v>
      </c>
      <c r="C59" t="s">
        <v>223</v>
      </c>
      <c r="D59" t="s">
        <v>284</v>
      </c>
      <c r="E59" t="s">
        <v>54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283</v>
      </c>
      <c r="C2" t="s">
        <v>108</v>
      </c>
      <c r="D2" t="s">
        <v>284</v>
      </c>
      <c r="E2" t="s">
        <v>56</v>
      </c>
      <c r="F2" t="n">
        <v>-0.0799668515398786</v>
      </c>
      <c r="G2" t="n">
        <v>-0.0312955080586569</v>
      </c>
      <c r="H2" t="n">
        <v>0.225954994062839</v>
      </c>
      <c r="I2" t="n">
        <v>-0.332652960458818</v>
      </c>
      <c r="J2" t="n">
        <v>-0.0796737501148039</v>
      </c>
      <c r="K2" t="n">
        <v>0.177383190078052</v>
      </c>
      <c r="L2" t="n">
        <v>-0.551526427196094</v>
      </c>
      <c r="M2" t="n">
        <v>0.584662240292155</v>
      </c>
      <c r="N2" t="n">
        <v>-0.0508986826228506</v>
      </c>
      <c r="O2" t="n">
        <v>0.0859881910083659</v>
      </c>
      <c r="P2" t="n">
        <v>0.0192809938402612</v>
      </c>
      <c r="Q2" t="n">
        <v>0.874495299206779</v>
      </c>
      <c r="R2" t="n">
        <v>0.186395595337898</v>
      </c>
      <c r="S2" t="n">
        <v>0.351405742425831</v>
      </c>
      <c r="T2" t="n">
        <v>0.0877699156045731</v>
      </c>
      <c r="U2" t="n">
        <v>0.602570487077069</v>
      </c>
      <c r="V2" t="n">
        <v>0.73267689945921</v>
      </c>
      <c r="W2" t="n">
        <v>0.33058710754196</v>
      </c>
      <c r="X2" t="n">
        <v>0.0723030314807074</v>
      </c>
      <c r="Y2" t="n">
        <v>0.242794330089439</v>
      </c>
      <c r="Z2" t="n">
        <v>0.0913259745600163</v>
      </c>
      <c r="AA2" t="n">
        <v>0.914801632064178</v>
      </c>
      <c r="AB2" t="n">
        <v>0.210634413007753</v>
      </c>
      <c r="AC2" t="n">
        <v>0.37257619397949</v>
      </c>
      <c r="AD2" t="n">
        <v>0.132082599192676</v>
      </c>
      <c r="AE2" t="n">
        <v>0.305818080313687</v>
      </c>
      <c r="AF2"/>
    </row>
    <row r="3">
      <c r="A3" t="s">
        <v>110</v>
      </c>
      <c r="B3" t="s">
        <v>283</v>
      </c>
      <c r="C3" t="s">
        <v>111</v>
      </c>
      <c r="D3" t="s">
        <v>284</v>
      </c>
      <c r="E3" t="s">
        <v>56</v>
      </c>
      <c r="F3" t="n">
        <v>0.105759866928409</v>
      </c>
      <c r="G3" t="n">
        <v>-0.116631550629362</v>
      </c>
      <c r="H3" t="n">
        <v>0.843575376692927</v>
      </c>
      <c r="I3" t="n">
        <v>0.355194319499418</v>
      </c>
      <c r="J3" t="n">
        <v>0.684831393961504</v>
      </c>
      <c r="K3" t="n">
        <v>0.130765838560893</v>
      </c>
      <c r="L3" t="n">
        <v>0.33892605843929</v>
      </c>
      <c r="M3" t="n">
        <v>0.588786403612525</v>
      </c>
      <c r="N3" t="n">
        <v>0.405060062880774</v>
      </c>
      <c r="O3" t="n">
        <v>0.3559279278387</v>
      </c>
      <c r="P3" t="n">
        <v>0.168840579760816</v>
      </c>
      <c r="Q3" t="n">
        <v>0.173428024689307</v>
      </c>
      <c r="R3" t="n">
        <v>0.511506273815049</v>
      </c>
      <c r="S3" t="n">
        <v>-0.711585919054021</v>
      </c>
      <c r="T3" t="n">
        <v>2.48969885477825</v>
      </c>
      <c r="U3" t="n">
        <v>-0.387320886269551</v>
      </c>
      <c r="V3" t="n">
        <v>0.459870284338936</v>
      </c>
      <c r="W3" t="n">
        <v>0.313900247158621</v>
      </c>
      <c r="X3" t="n">
        <v>-0.0612213543995513</v>
      </c>
      <c r="Y3" t="n">
        <v>0.2099524400951</v>
      </c>
      <c r="Z3" t="n">
        <v>-0.51307022863753</v>
      </c>
      <c r="AA3" t="n">
        <v>1.1698081738984</v>
      </c>
      <c r="AB3" t="n">
        <v>-0.407111668188061</v>
      </c>
      <c r="AC3" t="n">
        <v>0.658924643285299</v>
      </c>
      <c r="AD3" t="n">
        <v>0.16590598447391</v>
      </c>
      <c r="AE3" t="n">
        <v>-1.49889815711668</v>
      </c>
      <c r="AF3"/>
    </row>
    <row r="4">
      <c r="A4" t="s">
        <v>112</v>
      </c>
      <c r="B4" t="s">
        <v>283</v>
      </c>
      <c r="C4" t="s">
        <v>113</v>
      </c>
      <c r="D4" t="s">
        <v>284</v>
      </c>
      <c r="E4" t="s">
        <v>56</v>
      </c>
      <c r="F4" t="n">
        <v>0.450512786576138</v>
      </c>
      <c r="G4" t="n">
        <v>0.321926875994444</v>
      </c>
      <c r="H4" t="n">
        <v>0.471649964666556</v>
      </c>
      <c r="I4" t="n">
        <v>0.7643535477001</v>
      </c>
      <c r="J4" t="n">
        <v>0.486311581927865</v>
      </c>
      <c r="K4" t="n">
        <v>0.317136657845629</v>
      </c>
      <c r="L4" t="n">
        <v>0.634486905212956</v>
      </c>
      <c r="M4" t="n">
        <v>0.557901656681456</v>
      </c>
      <c r="N4" t="n">
        <v>0.516547331969058</v>
      </c>
      <c r="O4" t="n">
        <v>0.545414388759846</v>
      </c>
      <c r="P4" t="n">
        <v>0.613002152121276</v>
      </c>
      <c r="Q4" t="n">
        <v>0.318571331215967</v>
      </c>
      <c r="R4" t="n">
        <v>0.68256546705202</v>
      </c>
      <c r="S4" t="n">
        <v>0.375269779260971</v>
      </c>
      <c r="T4" t="n">
        <v>0.439606240808431</v>
      </c>
      <c r="U4" t="n">
        <v>0.188398887820369</v>
      </c>
      <c r="V4" t="n">
        <v>0.150500377942814</v>
      </c>
      <c r="W4" t="n">
        <v>0.618282011489258</v>
      </c>
      <c r="X4" t="n">
        <v>0.118926754851782</v>
      </c>
      <c r="Y4" t="n">
        <v>-0.0337833918733306</v>
      </c>
      <c r="Z4" t="n">
        <v>0.397477048432042</v>
      </c>
      <c r="AA4" t="n">
        <v>0.17275429440489</v>
      </c>
      <c r="AB4" t="n">
        <v>0.199058234005765</v>
      </c>
      <c r="AC4" t="n">
        <v>0.00573727222041231</v>
      </c>
      <c r="AD4" t="n">
        <v>0.0386272253067324</v>
      </c>
      <c r="AE4" t="n">
        <v>-0.272779526998459</v>
      </c>
      <c r="AF4"/>
    </row>
    <row r="5">
      <c r="A5" t="s">
        <v>114</v>
      </c>
      <c r="B5" t="s">
        <v>283</v>
      </c>
      <c r="C5" t="s">
        <v>115</v>
      </c>
      <c r="D5" t="s">
        <v>284</v>
      </c>
      <c r="E5" t="s">
        <v>56</v>
      </c>
      <c r="F5" t="n">
        <v>0.487042234590518</v>
      </c>
      <c r="G5" t="n">
        <v>0.0569693759644491</v>
      </c>
      <c r="H5" t="n">
        <v>0.257320240235125</v>
      </c>
      <c r="I5" t="n">
        <v>0.741878543714797</v>
      </c>
      <c r="J5" t="n">
        <v>0.093913368651779</v>
      </c>
      <c r="K5" t="n">
        <v>-0.0557272911936552</v>
      </c>
      <c r="L5" t="n">
        <v>0.592553402761057</v>
      </c>
      <c r="M5" t="n">
        <v>0.417788864229333</v>
      </c>
      <c r="N5" t="n">
        <v>0.483869316924879</v>
      </c>
      <c r="O5" t="n">
        <v>0.432872773443669</v>
      </c>
      <c r="P5" t="n">
        <v>0.41017857705596</v>
      </c>
      <c r="Q5" t="n">
        <v>0.264531495817842</v>
      </c>
      <c r="R5" t="n">
        <v>0.781628292712011</v>
      </c>
      <c r="S5" t="n">
        <v>0.00699311500814334</v>
      </c>
      <c r="T5" t="n">
        <v>0.277186352119212</v>
      </c>
      <c r="U5" t="n">
        <v>0.0624576276495891</v>
      </c>
      <c r="V5" t="n">
        <v>0.187656356038189</v>
      </c>
      <c r="W5" t="n">
        <v>0.834852217048474</v>
      </c>
      <c r="X5" t="n">
        <v>0.104253072388447</v>
      </c>
      <c r="Y5" t="n">
        <v>0.039351039690565</v>
      </c>
      <c r="Z5" t="n">
        <v>0.321154700996044</v>
      </c>
      <c r="AA5" t="n">
        <v>0.169897315154824</v>
      </c>
      <c r="AB5" t="n">
        <v>0.356491385814624</v>
      </c>
      <c r="AC5" t="n">
        <v>-0.357728798594045</v>
      </c>
      <c r="AD5" t="n">
        <v>0.429416977720889</v>
      </c>
      <c r="AE5" t="n">
        <v>-0.574581180425611</v>
      </c>
      <c r="AF5"/>
    </row>
    <row r="6">
      <c r="A6" t="s">
        <v>116</v>
      </c>
      <c r="B6" t="s">
        <v>283</v>
      </c>
      <c r="C6" t="s">
        <v>117</v>
      </c>
      <c r="D6" t="s">
        <v>284</v>
      </c>
      <c r="E6" t="s">
        <v>56</v>
      </c>
      <c r="F6" t="n">
        <v>0.132094773629738</v>
      </c>
      <c r="G6" t="n">
        <v>0.473353773695918</v>
      </c>
      <c r="H6" t="n">
        <v>0.448650058220144</v>
      </c>
      <c r="I6" t="n">
        <v>0.625027968050582</v>
      </c>
      <c r="J6" t="n">
        <v>0.0677592209425561</v>
      </c>
      <c r="K6" t="n">
        <v>0.209140718898158</v>
      </c>
      <c r="L6" t="n">
        <v>0.881041610004638</v>
      </c>
      <c r="M6" t="n">
        <v>0.542538699099451</v>
      </c>
      <c r="N6" t="n">
        <v>0.412886807595191</v>
      </c>
      <c r="O6" t="n">
        <v>1.08168507394917</v>
      </c>
      <c r="P6" t="n">
        <v>0.489740519774305</v>
      </c>
      <c r="Q6" t="n">
        <v>-0.0541442522705941</v>
      </c>
      <c r="R6" t="n">
        <v>0.321715724998981</v>
      </c>
      <c r="S6" t="n">
        <v>0.909565865758727</v>
      </c>
      <c r="T6" t="n">
        <v>1.19546970940667</v>
      </c>
      <c r="U6" t="n">
        <v>0.511054890303216</v>
      </c>
      <c r="V6" t="n">
        <v>-0.569266646689151</v>
      </c>
      <c r="W6" t="n">
        <v>1.11429549495344</v>
      </c>
      <c r="X6" t="n">
        <v>0.31457993712998</v>
      </c>
      <c r="Y6" t="n">
        <v>-0.330379319956257</v>
      </c>
      <c r="Z6" t="n">
        <v>-0.30908737750861</v>
      </c>
      <c r="AA6" t="n">
        <v>0.7127983052957</v>
      </c>
      <c r="AB6" t="n">
        <v>-0.00293293656837785</v>
      </c>
      <c r="AC6" t="n">
        <v>0.221030266303278</v>
      </c>
      <c r="AD6" t="n">
        <v>0.210114119923149</v>
      </c>
      <c r="AE6" t="n">
        <v>-0.473426388271968</v>
      </c>
      <c r="AF6"/>
    </row>
    <row r="7">
      <c r="A7" t="s">
        <v>118</v>
      </c>
      <c r="B7" t="s">
        <v>283</v>
      </c>
      <c r="C7" t="s">
        <v>119</v>
      </c>
      <c r="D7" t="s">
        <v>284</v>
      </c>
      <c r="E7" t="s">
        <v>56</v>
      </c>
      <c r="F7" t="n">
        <v>0.544949514313146</v>
      </c>
      <c r="G7" t="n">
        <v>0.50360726345756</v>
      </c>
      <c r="H7" t="n">
        <v>0.183008222754729</v>
      </c>
      <c r="I7" t="n">
        <v>0.816066754392482</v>
      </c>
      <c r="J7" t="n">
        <v>1.00439288864204</v>
      </c>
      <c r="K7" t="n">
        <v>0.623573740624377</v>
      </c>
      <c r="L7" t="n">
        <v>0.47158828286282</v>
      </c>
      <c r="M7" t="n">
        <v>0.129893027236239</v>
      </c>
      <c r="N7" t="n">
        <v>0.953874980208372</v>
      </c>
      <c r="O7" t="n">
        <v>0.453155352870673</v>
      </c>
      <c r="P7" t="n">
        <v>0.687365262122846</v>
      </c>
      <c r="Q7" t="n">
        <v>-0.0739852834995094</v>
      </c>
      <c r="R7" t="n">
        <v>1.52090124183988</v>
      </c>
      <c r="S7" t="n">
        <v>0.641745417926355</v>
      </c>
      <c r="T7" t="n">
        <v>0.077359362088009</v>
      </c>
      <c r="U7" t="n">
        <v>0.390492696343987</v>
      </c>
      <c r="V7" t="n">
        <v>-0.160630450758392</v>
      </c>
      <c r="W7" t="n">
        <v>0.881095725449601</v>
      </c>
      <c r="X7" t="n">
        <v>0.230548398087322</v>
      </c>
      <c r="Y7" t="n">
        <v>-0.0364205147811302</v>
      </c>
      <c r="Z7" t="n">
        <v>0.737090853063124</v>
      </c>
      <c r="AA7" t="n">
        <v>-0.393918656341147</v>
      </c>
      <c r="AB7" t="n">
        <v>0.192882448351813</v>
      </c>
      <c r="AC7" t="n">
        <v>-0.3119728795477</v>
      </c>
      <c r="AD7" t="n">
        <v>0.125579535895857</v>
      </c>
      <c r="AE7" t="n">
        <v>-0.478498298093271</v>
      </c>
      <c r="AF7"/>
    </row>
    <row r="8">
      <c r="A8" t="s">
        <v>120</v>
      </c>
      <c r="B8" t="s">
        <v>283</v>
      </c>
      <c r="C8" t="s">
        <v>121</v>
      </c>
      <c r="D8" t="s">
        <v>284</v>
      </c>
      <c r="E8" t="s">
        <v>56</v>
      </c>
      <c r="F8" t="n">
        <v>0.1587200065182</v>
      </c>
      <c r="G8" t="n">
        <v>0.0179267266051072</v>
      </c>
      <c r="H8" t="n">
        <v>0.116180501524239</v>
      </c>
      <c r="I8" t="n">
        <v>0.10308915169566</v>
      </c>
      <c r="J8" t="n">
        <v>0.182612038223103</v>
      </c>
      <c r="K8" t="n">
        <v>0.238001807581291</v>
      </c>
      <c r="L8" t="n">
        <v>0.683278388836662</v>
      </c>
      <c r="M8" t="n">
        <v>0.752172414387162</v>
      </c>
      <c r="N8" t="n">
        <v>0.834315898221668</v>
      </c>
      <c r="O8" t="n">
        <v>0.485610733527265</v>
      </c>
      <c r="P8" t="n">
        <v>0.269232496488456</v>
      </c>
      <c r="Q8" t="n">
        <v>0.0580755364254537</v>
      </c>
      <c r="R8" t="n">
        <v>0.244717379905928</v>
      </c>
      <c r="S8" t="n">
        <v>-1.07780207159009</v>
      </c>
      <c r="T8" t="n">
        <v>-0.248005594429823</v>
      </c>
      <c r="U8" t="n">
        <v>1.15186764905433</v>
      </c>
      <c r="V8" t="n">
        <v>-0.0942737833010573</v>
      </c>
      <c r="W8" t="n">
        <v>0.875966501370232</v>
      </c>
      <c r="X8" t="n">
        <v>-1.2194931653605</v>
      </c>
      <c r="Y8" t="n">
        <v>0.0397507136374851</v>
      </c>
      <c r="Z8" t="n">
        <v>-0.554398421260078</v>
      </c>
      <c r="AA8" t="n">
        <v>1.97807201940473</v>
      </c>
      <c r="AB8" t="n">
        <v>-0.939162182397331</v>
      </c>
      <c r="AC8" t="n">
        <v>-0.570103788422962</v>
      </c>
      <c r="AD8" t="n">
        <v>0.194291378682936</v>
      </c>
      <c r="AE8" t="n">
        <v>-1.15459324615976</v>
      </c>
      <c r="AF8"/>
    </row>
    <row r="9">
      <c r="A9" t="s">
        <v>122</v>
      </c>
      <c r="B9" t="s">
        <v>283</v>
      </c>
      <c r="C9" t="s">
        <v>123</v>
      </c>
      <c r="D9" t="s">
        <v>284</v>
      </c>
      <c r="E9" t="s">
        <v>56</v>
      </c>
      <c r="F9" t="n">
        <v>-0.00335419822296081</v>
      </c>
      <c r="G9" t="n">
        <v>0.0919680703330624</v>
      </c>
      <c r="H9" t="n">
        <v>0.370718007573055</v>
      </c>
      <c r="I9" t="n">
        <v>0.469873815369665</v>
      </c>
      <c r="J9" t="n">
        <v>0.432016512166605</v>
      </c>
      <c r="K9" t="n">
        <v>0.0492049757543631</v>
      </c>
      <c r="L9" t="n">
        <v>0.462554789034707</v>
      </c>
      <c r="M9" t="n">
        <v>0.343268760619279</v>
      </c>
      <c r="N9" t="n">
        <v>0.265256338756811</v>
      </c>
      <c r="O9" t="n">
        <v>0.764960507554822</v>
      </c>
      <c r="P9" t="n">
        <v>0.0358382716579285</v>
      </c>
      <c r="Q9" t="n">
        <v>0.0066579956580853</v>
      </c>
      <c r="R9" t="n">
        <v>0.719168384720125</v>
      </c>
      <c r="S9" t="n">
        <v>-0.343996730260863</v>
      </c>
      <c r="T9" t="n">
        <v>-0.151010439398401</v>
      </c>
      <c r="U9" t="n">
        <v>0.587888543754486</v>
      </c>
      <c r="V9" t="n">
        <v>-0.202891136394236</v>
      </c>
      <c r="W9" t="n">
        <v>1.57429883536445</v>
      </c>
      <c r="X9" t="n">
        <v>-1.15163364229677</v>
      </c>
      <c r="Y9" t="n">
        <v>-0.306153791998496</v>
      </c>
      <c r="Z9" t="n">
        <v>-0.131010443538985</v>
      </c>
      <c r="AA9" t="n">
        <v>1.25389672226467</v>
      </c>
      <c r="AB9" t="n">
        <v>-0.391116306480407</v>
      </c>
      <c r="AC9" t="n">
        <v>-0.606795993798354</v>
      </c>
      <c r="AD9" t="n">
        <v>-0.0900452678555991</v>
      </c>
      <c r="AE9" t="n">
        <v>0.0735016567572907</v>
      </c>
      <c r="AF9"/>
    </row>
    <row r="10">
      <c r="A10" t="s">
        <v>124</v>
      </c>
      <c r="B10" t="s">
        <v>283</v>
      </c>
      <c r="C10" t="s">
        <v>125</v>
      </c>
      <c r="D10" t="s">
        <v>284</v>
      </c>
      <c r="E10" t="s">
        <v>56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283</v>
      </c>
      <c r="C11" t="s">
        <v>127</v>
      </c>
      <c r="D11" t="s">
        <v>284</v>
      </c>
      <c r="E11" t="s">
        <v>56</v>
      </c>
      <c r="F11" t="n">
        <v>0.00384215629715318</v>
      </c>
      <c r="G11" t="n">
        <v>0.265976044849461</v>
      </c>
      <c r="H11" t="n">
        <v>0.531377922119355</v>
      </c>
      <c r="I11" t="n">
        <v>0.6087186546266</v>
      </c>
      <c r="J11" t="n">
        <v>0.57308671586879</v>
      </c>
      <c r="K11" t="n">
        <v>0.179660467521062</v>
      </c>
      <c r="L11" t="n">
        <v>0.315176223872775</v>
      </c>
      <c r="M11" t="n">
        <v>0.347631067653606</v>
      </c>
      <c r="N11" t="n">
        <v>0.0146960197172132</v>
      </c>
      <c r="O11" t="n">
        <v>0.531168266056825</v>
      </c>
      <c r="P11" t="n">
        <v>0.0499888780541856</v>
      </c>
      <c r="Q11" t="n">
        <v>0.0407309173824192</v>
      </c>
      <c r="R11" t="n">
        <v>0.700966903100327</v>
      </c>
      <c r="S11" t="n">
        <v>-0.177627106408953</v>
      </c>
      <c r="T11" t="n">
        <v>-0.232243126407794</v>
      </c>
      <c r="U11" t="n">
        <v>0.594613443205375</v>
      </c>
      <c r="V11" t="n">
        <v>-0.197653343034196</v>
      </c>
      <c r="W11" t="n">
        <v>1.36531316040618</v>
      </c>
      <c r="X11" t="n">
        <v>-0.917760349750569</v>
      </c>
      <c r="Y11" t="n">
        <v>-0.16529140582065</v>
      </c>
      <c r="Z11" t="n">
        <v>-0.201435404771723</v>
      </c>
      <c r="AA11" t="n">
        <v>1.10247818616199</v>
      </c>
      <c r="AB11" t="n">
        <v>-0.157700551139049</v>
      </c>
      <c r="AC11" t="n">
        <v>-0.356556260687861</v>
      </c>
      <c r="AD11" t="n">
        <v>0.00237443048994922</v>
      </c>
      <c r="AE11" t="n">
        <v>0.13138867151757</v>
      </c>
      <c r="AF11"/>
    </row>
    <row r="12">
      <c r="A12" t="s">
        <v>128</v>
      </c>
      <c r="B12" t="s">
        <v>283</v>
      </c>
      <c r="C12" t="s">
        <v>129</v>
      </c>
      <c r="D12" t="s">
        <v>284</v>
      </c>
      <c r="E12" t="s">
        <v>56</v>
      </c>
      <c r="F12" t="n">
        <v>0.291440848339822</v>
      </c>
      <c r="G12" t="n">
        <v>0.404914747192469</v>
      </c>
      <c r="H12" t="n">
        <v>0.350133668578878</v>
      </c>
      <c r="I12" t="n">
        <v>0.518418707968379</v>
      </c>
      <c r="J12" t="n">
        <v>0.293504037497423</v>
      </c>
      <c r="K12" t="n">
        <v>0.0316537648328895</v>
      </c>
      <c r="L12" t="n">
        <v>0.535166315588849</v>
      </c>
      <c r="M12" t="n">
        <v>0.797755673129705</v>
      </c>
      <c r="N12" t="n">
        <v>0.421433679931677</v>
      </c>
      <c r="O12" t="n">
        <v>0.163837457661628</v>
      </c>
      <c r="P12" t="n">
        <v>0.34565433993654</v>
      </c>
      <c r="Q12" t="n">
        <v>0.254981091498766</v>
      </c>
      <c r="R12" t="n">
        <v>0.708256521776244</v>
      </c>
      <c r="S12" t="n">
        <v>0.279499296335345</v>
      </c>
      <c r="T12" t="n">
        <v>0.521816716826508</v>
      </c>
      <c r="U12" t="n">
        <v>0.211551135059178</v>
      </c>
      <c r="V12" t="n">
        <v>0.243772853588211</v>
      </c>
      <c r="W12" t="n">
        <v>0.460973014066631</v>
      </c>
      <c r="X12" t="n">
        <v>0.482133308548928</v>
      </c>
      <c r="Y12" t="n">
        <v>0.215144641027131</v>
      </c>
      <c r="Z12" t="n">
        <v>0.074103240988693</v>
      </c>
      <c r="AA12" t="n">
        <v>-0.0406976503987558</v>
      </c>
      <c r="AB12" t="n">
        <v>0.281326096368719</v>
      </c>
      <c r="AC12" t="n">
        <v>0.125865729220647</v>
      </c>
      <c r="AD12" t="n">
        <v>-0.11836625906457</v>
      </c>
      <c r="AE12" t="n">
        <v>-0.45297198587713</v>
      </c>
      <c r="AF12"/>
    </row>
    <row r="13">
      <c r="A13" t="s">
        <v>130</v>
      </c>
      <c r="B13" t="s">
        <v>283</v>
      </c>
      <c r="C13" t="s">
        <v>131</v>
      </c>
      <c r="D13" t="s">
        <v>284</v>
      </c>
      <c r="E13" t="s">
        <v>56</v>
      </c>
      <c r="F13" t="n">
        <v>0.47826383523664</v>
      </c>
      <c r="G13" t="n">
        <v>-0.0399128368809996</v>
      </c>
      <c r="H13" t="n">
        <v>0.173042096546261</v>
      </c>
      <c r="I13" t="n">
        <v>0.478771957182936</v>
      </c>
      <c r="J13" t="n">
        <v>0.495146614581881</v>
      </c>
      <c r="K13" t="n">
        <v>0.0501801789226127</v>
      </c>
      <c r="L13" t="n">
        <v>0.445924273985202</v>
      </c>
      <c r="M13" t="n">
        <v>0.651034968429101</v>
      </c>
      <c r="N13" t="n">
        <v>0.438472736464818</v>
      </c>
      <c r="O13" t="n">
        <v>0.311303016204598</v>
      </c>
      <c r="P13" t="n">
        <v>0.49805134126193</v>
      </c>
      <c r="Q13" t="n">
        <v>-0.00386092809491299</v>
      </c>
      <c r="R13" t="n">
        <v>0.639667179795511</v>
      </c>
      <c r="S13" t="n">
        <v>-0.0524661082236781</v>
      </c>
      <c r="T13" t="n">
        <v>0.765753312544663</v>
      </c>
      <c r="U13" t="n">
        <v>0.313564305891513</v>
      </c>
      <c r="V13" t="n">
        <v>-0.121257331259953</v>
      </c>
      <c r="W13" t="n">
        <v>0.509529722121956</v>
      </c>
      <c r="X13" t="n">
        <v>0.0869305946063607</v>
      </c>
      <c r="Y13" t="n">
        <v>0.0634710408920749</v>
      </c>
      <c r="Z13" t="n">
        <v>0.15736321782123</v>
      </c>
      <c r="AA13" t="n">
        <v>0.43553719521607</v>
      </c>
      <c r="AB13" t="n">
        <v>-0.0148499355761064</v>
      </c>
      <c r="AC13" t="n">
        <v>-0.0279029092332308</v>
      </c>
      <c r="AD13" t="n">
        <v>0.17699813353663</v>
      </c>
      <c r="AE13" t="n">
        <v>-0.511818505983355</v>
      </c>
      <c r="AF13"/>
    </row>
    <row r="14">
      <c r="A14" t="s">
        <v>132</v>
      </c>
      <c r="B14" t="s">
        <v>283</v>
      </c>
      <c r="C14" t="s">
        <v>133</v>
      </c>
      <c r="D14" t="s">
        <v>284</v>
      </c>
      <c r="E14" t="s">
        <v>56</v>
      </c>
      <c r="F14" t="n">
        <v>0.196907034236651</v>
      </c>
      <c r="G14" t="n">
        <v>0.502556673978298</v>
      </c>
      <c r="H14" t="n">
        <v>0.464544953973123</v>
      </c>
      <c r="I14" t="n">
        <v>0.944289778229022</v>
      </c>
      <c r="J14" t="n">
        <v>0.672973614628872</v>
      </c>
      <c r="K14" t="n">
        <v>0.304907488240575</v>
      </c>
      <c r="L14" t="n">
        <v>0.83810830187838</v>
      </c>
      <c r="M14" t="n">
        <v>0.523660166574947</v>
      </c>
      <c r="N14" t="n">
        <v>0.420089712072365</v>
      </c>
      <c r="O14" t="n">
        <v>0.935034186781817</v>
      </c>
      <c r="P14" t="n">
        <v>0.969122699604517</v>
      </c>
      <c r="Q14" t="n">
        <v>0.469213528659167</v>
      </c>
      <c r="R14" t="n">
        <v>0.815451484014204</v>
      </c>
      <c r="S14" t="n">
        <v>0.321051080432382</v>
      </c>
      <c r="T14" t="n">
        <v>1.13554812651916</v>
      </c>
      <c r="U14" t="n">
        <v>-0.173697539898605</v>
      </c>
      <c r="V14" t="n">
        <v>0.553979993231523</v>
      </c>
      <c r="W14" t="n">
        <v>0.645605457235283</v>
      </c>
      <c r="X14" t="n">
        <v>0.619632858656928</v>
      </c>
      <c r="Y14" t="n">
        <v>-0.25788966812532</v>
      </c>
      <c r="Z14" t="n">
        <v>0.377233204575264</v>
      </c>
      <c r="AA14" t="n">
        <v>0.0978197373957343</v>
      </c>
      <c r="AB14" t="n">
        <v>0.25564633897245</v>
      </c>
      <c r="AC14" t="n">
        <v>0.126406232811249</v>
      </c>
      <c r="AD14" t="n">
        <v>-0.0814035851893315</v>
      </c>
      <c r="AE14" t="n">
        <v>-0.396447247437085</v>
      </c>
      <c r="AF14"/>
    </row>
    <row r="15">
      <c r="A15" t="s">
        <v>134</v>
      </c>
      <c r="B15" t="s">
        <v>283</v>
      </c>
      <c r="C15" t="s">
        <v>135</v>
      </c>
      <c r="D15" t="s">
        <v>284</v>
      </c>
      <c r="E15" t="s">
        <v>56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283</v>
      </c>
      <c r="C16" t="s">
        <v>137</v>
      </c>
      <c r="D16" t="s">
        <v>284</v>
      </c>
      <c r="E16" t="s">
        <v>56</v>
      </c>
      <c r="F16" t="n">
        <v>0.218756905075426</v>
      </c>
      <c r="G16" t="n">
        <v>0.438600105639235</v>
      </c>
      <c r="H16" t="n">
        <v>0.613396450939245</v>
      </c>
      <c r="I16" t="n">
        <v>0.82218638174989</v>
      </c>
      <c r="J16" t="n">
        <v>0.869812625007428</v>
      </c>
      <c r="K16" t="n">
        <v>0.334316081784443</v>
      </c>
      <c r="L16" t="n">
        <v>0.689493476309878</v>
      </c>
      <c r="M16" t="n">
        <v>0.598084561728593</v>
      </c>
      <c r="N16" t="n">
        <v>0.0364531813678238</v>
      </c>
      <c r="O16" t="n">
        <v>0.456065675770664</v>
      </c>
      <c r="P16" t="n">
        <v>0.634072529807169</v>
      </c>
      <c r="Q16" t="n">
        <v>1.97195352283702</v>
      </c>
      <c r="R16" t="n">
        <v>-1.42237178431015</v>
      </c>
      <c r="S16" t="n">
        <v>1.11463373886464</v>
      </c>
      <c r="T16" t="n">
        <v>0.933526818019363</v>
      </c>
      <c r="U16" t="n">
        <v>-0.255593082930495</v>
      </c>
      <c r="V16" t="n">
        <v>0.117967193595081</v>
      </c>
      <c r="W16" t="n">
        <v>0.0718381011567164</v>
      </c>
      <c r="X16" t="n">
        <v>0.215531559145872</v>
      </c>
      <c r="Y16" t="n">
        <v>0.0328706523459382</v>
      </c>
      <c r="Z16" t="n">
        <v>0.584050271713279</v>
      </c>
      <c r="AA16" t="n">
        <v>0.038804282420294</v>
      </c>
      <c r="AB16" t="n">
        <v>0.194154612712682</v>
      </c>
      <c r="AC16" t="n">
        <v>0.487238199369544</v>
      </c>
      <c r="AD16" t="n">
        <v>-0.0235446734927795</v>
      </c>
      <c r="AE16" t="n">
        <v>-0.0589347089312061</v>
      </c>
      <c r="AF16"/>
    </row>
    <row r="17">
      <c r="A17" t="s">
        <v>138</v>
      </c>
      <c r="B17" t="s">
        <v>283</v>
      </c>
      <c r="C17" t="s">
        <v>139</v>
      </c>
      <c r="D17" t="s">
        <v>284</v>
      </c>
      <c r="E17" t="s">
        <v>56</v>
      </c>
      <c r="F17" t="n">
        <v>0.577178485632301</v>
      </c>
      <c r="G17" t="n">
        <v>0.020509359145952</v>
      </c>
      <c r="H17" t="n">
        <v>0.379651766973565</v>
      </c>
      <c r="I17" t="n">
        <v>0.703672352702741</v>
      </c>
      <c r="J17" t="n">
        <v>0.282054283162004</v>
      </c>
      <c r="K17" t="n">
        <v>0.25345887334775</v>
      </c>
      <c r="L17" t="n">
        <v>0.707475268479332</v>
      </c>
      <c r="M17" t="n">
        <v>0.48672023278277</v>
      </c>
      <c r="N17" t="n">
        <v>0.435072268725939</v>
      </c>
      <c r="O17" t="n">
        <v>0.589382222587085</v>
      </c>
      <c r="P17" t="n">
        <v>0.346716665043677</v>
      </c>
      <c r="Q17" t="n">
        <v>0.0266346858328109</v>
      </c>
      <c r="R17" t="n">
        <v>0.83168515185684</v>
      </c>
      <c r="S17" t="n">
        <v>0.42935274131449</v>
      </c>
      <c r="T17" t="n">
        <v>0.387577355451919</v>
      </c>
      <c r="U17" t="n">
        <v>0.232130538321199</v>
      </c>
      <c r="V17" t="n">
        <v>0.0536956473951257</v>
      </c>
      <c r="W17" t="n">
        <v>0.785698884994149</v>
      </c>
      <c r="X17" t="n">
        <v>-0.171617224647501</v>
      </c>
      <c r="Y17" t="n">
        <v>0.258684030729526</v>
      </c>
      <c r="Z17" t="n">
        <v>0.282860490881638</v>
      </c>
      <c r="AA17" t="n">
        <v>0.212793998502567</v>
      </c>
      <c r="AB17" t="n">
        <v>0.225118100673357</v>
      </c>
      <c r="AC17" t="n">
        <v>0.154908721427105</v>
      </c>
      <c r="AD17" t="n">
        <v>-0.426773298478048</v>
      </c>
      <c r="AE17" t="n">
        <v>-0.32078437918977</v>
      </c>
      <c r="AF17"/>
    </row>
    <row r="18">
      <c r="A18" t="s">
        <v>140</v>
      </c>
      <c r="B18" t="s">
        <v>283</v>
      </c>
      <c r="C18" t="s">
        <v>141</v>
      </c>
      <c r="D18" t="s">
        <v>284</v>
      </c>
      <c r="E18" t="s">
        <v>56</v>
      </c>
      <c r="F18" t="n">
        <v>0.29902400141157</v>
      </c>
      <c r="G18" t="n">
        <v>-0.0583658126271901</v>
      </c>
      <c r="H18" t="n">
        <v>0.252290412634347</v>
      </c>
      <c r="I18" t="n">
        <v>0.903504926083089</v>
      </c>
      <c r="J18" t="n">
        <v>0.356450803274426</v>
      </c>
      <c r="K18" t="n">
        <v>0.0584146232406973</v>
      </c>
      <c r="L18" t="n">
        <v>0.384548665961823</v>
      </c>
      <c r="M18" t="n">
        <v>0.261721110004718</v>
      </c>
      <c r="N18" t="n">
        <v>0.41196469338317</v>
      </c>
      <c r="O18" t="n">
        <v>0.0605076318798873</v>
      </c>
      <c r="P18" t="n">
        <v>0.291937384105108</v>
      </c>
      <c r="Q18" t="n">
        <v>0.186804346900645</v>
      </c>
      <c r="R18" t="n">
        <v>0.298602251993002</v>
      </c>
      <c r="S18" t="n">
        <v>0.304241356403159</v>
      </c>
      <c r="T18" t="n">
        <v>0.556163647315171</v>
      </c>
      <c r="U18" t="n">
        <v>-0.214617552833075</v>
      </c>
      <c r="V18" t="n">
        <v>0.232681715371517</v>
      </c>
      <c r="W18" t="n">
        <v>0.341927206745729</v>
      </c>
      <c r="X18" t="n">
        <v>0.354510375270145</v>
      </c>
      <c r="Y18" t="n">
        <v>-0.28387249739365</v>
      </c>
      <c r="Z18" t="n">
        <v>0.625368898394477</v>
      </c>
      <c r="AA18" t="n">
        <v>-0.0760801839983452</v>
      </c>
      <c r="AB18" t="n">
        <v>0.189880355663323</v>
      </c>
      <c r="AC18" t="n">
        <v>0.0738336710800562</v>
      </c>
      <c r="AD18" t="n">
        <v>0.11878698112681</v>
      </c>
      <c r="AE18" t="n">
        <v>0.316320883484816</v>
      </c>
      <c r="AF18"/>
    </row>
    <row r="19">
      <c r="A19" t="s">
        <v>142</v>
      </c>
      <c r="B19" t="s">
        <v>283</v>
      </c>
      <c r="C19" t="s">
        <v>143</v>
      </c>
      <c r="D19" t="s">
        <v>284</v>
      </c>
      <c r="E19" t="s">
        <v>56</v>
      </c>
      <c r="F19" t="n">
        <v>0.226674152315792</v>
      </c>
      <c r="G19" t="n">
        <v>0.250207097624568</v>
      </c>
      <c r="H19" t="n">
        <v>0.36735799321413</v>
      </c>
      <c r="I19" t="n">
        <v>0.929396175076961</v>
      </c>
      <c r="J19" t="n">
        <v>-0.0410682162754039</v>
      </c>
      <c r="K19" t="n">
        <v>0.296630710126367</v>
      </c>
      <c r="L19" t="n">
        <v>0.63245354663361</v>
      </c>
      <c r="M19" t="n">
        <v>1.7406544320728</v>
      </c>
      <c r="N19" t="n">
        <v>0.196342881043966</v>
      </c>
      <c r="O19" t="n">
        <v>0.191161973895948</v>
      </c>
      <c r="P19" t="n">
        <v>1.38624330061628</v>
      </c>
      <c r="Q19" t="n">
        <v>0.31223075887351</v>
      </c>
      <c r="R19" t="n">
        <v>0.199581900473114</v>
      </c>
      <c r="S19" t="n">
        <v>0.753372141245281</v>
      </c>
      <c r="T19" t="n">
        <v>0.9762809065872</v>
      </c>
      <c r="U19" t="n">
        <v>-0.13700789511337</v>
      </c>
      <c r="V19" t="n">
        <v>0.105433563277501</v>
      </c>
      <c r="W19" t="n">
        <v>1.33590183025911</v>
      </c>
      <c r="X19" t="n">
        <v>-0.225538100034665</v>
      </c>
      <c r="Y19" t="n">
        <v>-0.150751277049394</v>
      </c>
      <c r="Z19" t="n">
        <v>0.632927805310806</v>
      </c>
      <c r="AA19" t="n">
        <v>-0.0602405490221712</v>
      </c>
      <c r="AB19" t="n">
        <v>1.03184471650665</v>
      </c>
      <c r="AC19" t="n">
        <v>0.293644363941466</v>
      </c>
      <c r="AD19" t="n">
        <v>-0.824619338641558</v>
      </c>
      <c r="AE19" t="n">
        <v>-1.03580191372783</v>
      </c>
      <c r="AF19"/>
    </row>
    <row r="20">
      <c r="A20" t="s">
        <v>144</v>
      </c>
      <c r="B20" t="s">
        <v>283</v>
      </c>
      <c r="C20" t="s">
        <v>145</v>
      </c>
      <c r="D20" t="s">
        <v>284</v>
      </c>
      <c r="E20" t="s">
        <v>56</v>
      </c>
      <c r="F20" t="n">
        <v>0.165646538164889</v>
      </c>
      <c r="G20" t="n">
        <v>-0.459353402868807</v>
      </c>
      <c r="H20" t="n">
        <v>0.256176900494647</v>
      </c>
      <c r="I20" t="n">
        <v>0.531138732103747</v>
      </c>
      <c r="J20" t="n">
        <v>-0.173171876265933</v>
      </c>
      <c r="K20" t="n">
        <v>0.0544352716348121</v>
      </c>
      <c r="L20" t="n">
        <v>0.415444116535223</v>
      </c>
      <c r="M20" t="n">
        <v>-0.048467037187707</v>
      </c>
      <c r="N20" t="n">
        <v>0.147358079149759</v>
      </c>
      <c r="O20" t="n">
        <v>0.369750185732498</v>
      </c>
      <c r="P20" t="n">
        <v>0.372392949722879</v>
      </c>
      <c r="Q20" t="n">
        <v>0.220864142709092</v>
      </c>
      <c r="R20" t="n">
        <v>0.379955831643431</v>
      </c>
      <c r="S20" t="n">
        <v>-0.00253692079487332</v>
      </c>
      <c r="T20" t="n">
        <v>-0.0685357646762463</v>
      </c>
      <c r="U20" t="n">
        <v>0.15628653909387</v>
      </c>
      <c r="V20" t="n">
        <v>-0.0380668213059562</v>
      </c>
      <c r="W20" t="n">
        <v>-0.0583713524378558</v>
      </c>
      <c r="X20" t="n">
        <v>-0.0506593226087486</v>
      </c>
      <c r="Y20" t="n">
        <v>0.0312009655193516</v>
      </c>
      <c r="Z20" t="n">
        <v>0.00337572110908113</v>
      </c>
      <c r="AA20" t="n">
        <v>0.0149475062343447</v>
      </c>
      <c r="AB20" t="n">
        <v>0.320514120838035</v>
      </c>
      <c r="AC20" t="n">
        <v>-0.406703971931354</v>
      </c>
      <c r="AD20" t="n">
        <v>0.381877135215138</v>
      </c>
      <c r="AE20" t="n">
        <v>-0.249888533999952</v>
      </c>
      <c r="AF20"/>
    </row>
    <row r="21">
      <c r="A21" t="s">
        <v>146</v>
      </c>
      <c r="B21" t="s">
        <v>283</v>
      </c>
      <c r="C21" t="s">
        <v>147</v>
      </c>
      <c r="D21" t="s">
        <v>284</v>
      </c>
      <c r="E21" t="s">
        <v>56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283</v>
      </c>
      <c r="C22" t="s">
        <v>149</v>
      </c>
      <c r="D22" t="s">
        <v>284</v>
      </c>
      <c r="E22" t="s">
        <v>56</v>
      </c>
      <c r="F22" t="n">
        <v>0.0871519924472493</v>
      </c>
      <c r="G22" t="n">
        <v>-0.188859038085239</v>
      </c>
      <c r="H22" t="n">
        <v>0.111678952842994</v>
      </c>
      <c r="I22" t="n">
        <v>0.25148029862694</v>
      </c>
      <c r="J22" t="n">
        <v>-0.0391991626817092</v>
      </c>
      <c r="K22" t="n">
        <v>0.0100479133028379</v>
      </c>
      <c r="L22" t="n">
        <v>0.484184130798388</v>
      </c>
      <c r="M22" t="n">
        <v>0.00784423629152044</v>
      </c>
      <c r="N22" t="n">
        <v>0.196046740538589</v>
      </c>
      <c r="O22" t="n">
        <v>0.391443769060723</v>
      </c>
      <c r="P22" t="n">
        <v>0.0904307045495472</v>
      </c>
      <c r="Q22" t="n">
        <v>0.873270498240079</v>
      </c>
      <c r="R22" t="n">
        <v>0.275626887156988</v>
      </c>
      <c r="S22" t="n">
        <v>-0.115961304401799</v>
      </c>
      <c r="T22" t="n">
        <v>0.19674679311497</v>
      </c>
      <c r="U22" t="n">
        <v>0.15369334595691</v>
      </c>
      <c r="V22" t="n">
        <v>0.0457566987376063</v>
      </c>
      <c r="W22" t="n">
        <v>-0.0727150971774904</v>
      </c>
      <c r="X22" t="n">
        <v>0.084530564657623</v>
      </c>
      <c r="Y22" t="n">
        <v>0.0586926284915857</v>
      </c>
      <c r="Z22" t="n">
        <v>-0.048401315203814</v>
      </c>
      <c r="AA22" t="n">
        <v>0.196560320803983</v>
      </c>
      <c r="AB22" t="n">
        <v>0.0685997181593291</v>
      </c>
      <c r="AC22" t="n">
        <v>-0.170276823049782</v>
      </c>
      <c r="AD22" t="n">
        <v>0.241320903140101</v>
      </c>
      <c r="AE22" t="n">
        <v>-0.270973536301668</v>
      </c>
      <c r="AF22"/>
    </row>
    <row r="23">
      <c r="A23" t="s">
        <v>150</v>
      </c>
      <c r="B23" t="s">
        <v>283</v>
      </c>
      <c r="C23" t="s">
        <v>151</v>
      </c>
      <c r="D23" t="s">
        <v>284</v>
      </c>
      <c r="E23" t="s">
        <v>56</v>
      </c>
      <c r="F23" t="n">
        <v>0.958407938199528</v>
      </c>
      <c r="G23" t="n">
        <v>-0.107761858482707</v>
      </c>
      <c r="H23" t="n">
        <v>1.06697979889852</v>
      </c>
      <c r="I23" t="n">
        <v>0.372597360965039</v>
      </c>
      <c r="J23" t="n">
        <v>0.605947849815613</v>
      </c>
      <c r="K23" t="n">
        <v>1.24357565139863</v>
      </c>
      <c r="L23" t="n">
        <v>0.889753430919432</v>
      </c>
      <c r="M23" t="n">
        <v>0.849974880336972</v>
      </c>
      <c r="N23" t="n">
        <v>1.1652843198873</v>
      </c>
      <c r="O23" t="n">
        <v>0.148369508736954</v>
      </c>
      <c r="P23" t="n">
        <v>1.73321462354481</v>
      </c>
      <c r="Q23" t="n">
        <v>0.881348246956711</v>
      </c>
      <c r="R23" t="n">
        <v>0.130214039798382</v>
      </c>
      <c r="S23" t="n">
        <v>0.174614963300124</v>
      </c>
      <c r="T23" t="n">
        <v>1.08695578560906</v>
      </c>
      <c r="U23" t="n">
        <v>-0.116717083732256</v>
      </c>
      <c r="V23" t="n">
        <v>0.393392916389266</v>
      </c>
      <c r="W23" t="n">
        <v>-0.568780587200053</v>
      </c>
      <c r="X23" t="n">
        <v>1.06712201592643</v>
      </c>
      <c r="Y23" t="n">
        <v>0.646683394991599</v>
      </c>
      <c r="Z23" t="n">
        <v>0.444676622479914</v>
      </c>
      <c r="AA23" t="n">
        <v>0.495748991099298</v>
      </c>
      <c r="AB23" t="n">
        <v>-0.670154771261721</v>
      </c>
      <c r="AC23" t="n">
        <v>0.283097447892571</v>
      </c>
      <c r="AD23" t="n">
        <v>-0.619101995868384</v>
      </c>
      <c r="AE23" t="n">
        <v>-1.82642526132478</v>
      </c>
      <c r="AF23"/>
    </row>
    <row r="24">
      <c r="A24" t="s">
        <v>152</v>
      </c>
      <c r="B24" t="s">
        <v>283</v>
      </c>
      <c r="C24" t="s">
        <v>153</v>
      </c>
      <c r="D24" t="s">
        <v>284</v>
      </c>
      <c r="E24" t="s">
        <v>56</v>
      </c>
      <c r="F24" t="n">
        <v>0.44607366846657</v>
      </c>
      <c r="G24" t="n">
        <v>0.0694382650856529</v>
      </c>
      <c r="H24" t="n">
        <v>0.298206512650882</v>
      </c>
      <c r="I24" t="n">
        <v>0.463403738642603</v>
      </c>
      <c r="J24" t="n">
        <v>0.641431878287846</v>
      </c>
      <c r="K24" t="n">
        <v>0.69324462507346</v>
      </c>
      <c r="L24" t="n">
        <v>0.227858395839987</v>
      </c>
      <c r="M24" t="n">
        <v>0.379909311148092</v>
      </c>
      <c r="N24" t="n">
        <v>0.547005429128807</v>
      </c>
      <c r="O24" t="n">
        <v>0.754660787313477</v>
      </c>
      <c r="P24" t="n">
        <v>0.648607916356438</v>
      </c>
      <c r="Q24" t="n">
        <v>0.17784501755431</v>
      </c>
      <c r="R24" t="n">
        <v>0.545265959487469</v>
      </c>
      <c r="S24" t="n">
        <v>0.726584512653001</v>
      </c>
      <c r="T24" t="n">
        <v>0.173378292916109</v>
      </c>
      <c r="U24" t="n">
        <v>0.589049875935226</v>
      </c>
      <c r="V24" t="n">
        <v>0.107286810408381</v>
      </c>
      <c r="W24" t="n">
        <v>0.455864852403167</v>
      </c>
      <c r="X24" t="n">
        <v>-0.293211168791166</v>
      </c>
      <c r="Y24" t="n">
        <v>0.585613936922542</v>
      </c>
      <c r="Z24" t="n">
        <v>0.724169541496482</v>
      </c>
      <c r="AA24" t="n">
        <v>0.0350874447299095</v>
      </c>
      <c r="AB24" t="n">
        <v>0.168877138284546</v>
      </c>
      <c r="AC24" t="n">
        <v>-0.423034793971333</v>
      </c>
      <c r="AD24" t="n">
        <v>-0.212541693917043</v>
      </c>
      <c r="AE24" t="n">
        <v>-0.374348856300212</v>
      </c>
      <c r="AF24"/>
    </row>
    <row r="25">
      <c r="A25" t="s">
        <v>154</v>
      </c>
      <c r="B25" t="s">
        <v>283</v>
      </c>
      <c r="C25" t="s">
        <v>155</v>
      </c>
      <c r="D25" t="s">
        <v>284</v>
      </c>
      <c r="E25" t="s">
        <v>56</v>
      </c>
      <c r="F25" t="n">
        <v>0.310029576124478</v>
      </c>
      <c r="G25" t="n">
        <v>0.143110380601805</v>
      </c>
      <c r="H25" t="n">
        <v>0.359828710092901</v>
      </c>
      <c r="I25" t="n">
        <v>0.529831554028611</v>
      </c>
      <c r="J25" t="n">
        <v>0.783151131602402</v>
      </c>
      <c r="K25" t="n">
        <v>0.339342606584885</v>
      </c>
      <c r="L25" t="n">
        <v>0.930407986771528</v>
      </c>
      <c r="M25" t="n">
        <v>0.98163348222787</v>
      </c>
      <c r="N25" t="n">
        <v>0.768962360858801</v>
      </c>
      <c r="O25" t="n">
        <v>1.74842055644002</v>
      </c>
      <c r="P25" t="n">
        <v>-0.614949128063883</v>
      </c>
      <c r="Q25" t="n">
        <v>0.462751774362681</v>
      </c>
      <c r="R25" t="n">
        <v>1.14278630226665</v>
      </c>
      <c r="S25" t="n">
        <v>0.400711027799457</v>
      </c>
      <c r="T25" t="n">
        <v>0.278590316165505</v>
      </c>
      <c r="U25" t="n">
        <v>0.563092223129375</v>
      </c>
      <c r="V25" t="n">
        <v>-0.175668918121775</v>
      </c>
      <c r="W25" t="n">
        <v>0.250321216514958</v>
      </c>
      <c r="X25" t="n">
        <v>0.414210110216624</v>
      </c>
      <c r="Y25" t="n">
        <v>0.302294575364219</v>
      </c>
      <c r="Z25" t="n">
        <v>0.205593074638063</v>
      </c>
      <c r="AA25" t="n">
        <v>0.0282397673212804</v>
      </c>
      <c r="AB25" t="n">
        <v>-0.0481902939132307</v>
      </c>
      <c r="AC25" t="n">
        <v>-0.0938173889240245</v>
      </c>
      <c r="AD25" t="n">
        <v>-0.13868721059327</v>
      </c>
      <c r="AE25" t="n">
        <v>-0.383598254268526</v>
      </c>
      <c r="AF25"/>
    </row>
    <row r="26">
      <c r="A26" t="s">
        <v>156</v>
      </c>
      <c r="B26" t="s">
        <v>283</v>
      </c>
      <c r="C26" t="s">
        <v>157</v>
      </c>
      <c r="D26" t="s">
        <v>284</v>
      </c>
      <c r="E26" t="s">
        <v>56</v>
      </c>
      <c r="F26" t="n">
        <v>0.517631783815382</v>
      </c>
      <c r="G26" t="n">
        <v>0.250495472465426</v>
      </c>
      <c r="H26" t="n">
        <v>0.684749555581378</v>
      </c>
      <c r="I26" t="n">
        <v>1.30183019962378</v>
      </c>
      <c r="J26" t="n">
        <v>1.2319055849564</v>
      </c>
      <c r="K26" t="n">
        <v>1.58138645951564</v>
      </c>
      <c r="L26" t="n">
        <v>0.127929774708469</v>
      </c>
      <c r="M26" t="n">
        <v>0.364400257897232</v>
      </c>
      <c r="N26" t="n">
        <v>0.352726143454847</v>
      </c>
      <c r="O26" t="n">
        <v>1.0792100491614</v>
      </c>
      <c r="P26" t="n">
        <v>1.44584827991801</v>
      </c>
      <c r="Q26" t="n">
        <v>-0.941680587427747</v>
      </c>
      <c r="R26" t="n">
        <v>0.313119439076872</v>
      </c>
      <c r="S26" t="n">
        <v>1.62396559727204</v>
      </c>
      <c r="T26" t="n">
        <v>0.0109479450929411</v>
      </c>
      <c r="U26" t="n">
        <v>0.559102563565732</v>
      </c>
      <c r="V26" t="n">
        <v>-0.341661978600604</v>
      </c>
      <c r="W26" t="n">
        <v>1.04237842977502</v>
      </c>
      <c r="X26" t="n">
        <v>-0.696026676170091</v>
      </c>
      <c r="Y26" t="n">
        <v>1.54375933792306</v>
      </c>
      <c r="Z26" t="n">
        <v>1.07759460093601</v>
      </c>
      <c r="AA26" t="n">
        <v>0.181377645015331</v>
      </c>
      <c r="AB26" t="n">
        <v>-0.316773925670182</v>
      </c>
      <c r="AC26" t="n">
        <v>-0.395001502685009</v>
      </c>
      <c r="AD26" t="n">
        <v>0.511663208783071</v>
      </c>
      <c r="AE26" t="n">
        <v>-0.61613626344468</v>
      </c>
      <c r="AF26"/>
    </row>
    <row r="27">
      <c r="A27" t="s">
        <v>158</v>
      </c>
      <c r="B27" t="s">
        <v>283</v>
      </c>
      <c r="C27" t="s">
        <v>159</v>
      </c>
      <c r="D27" t="s">
        <v>284</v>
      </c>
      <c r="E27" t="s">
        <v>56</v>
      </c>
      <c r="F27" t="n">
        <v>0.233472450704202</v>
      </c>
      <c r="G27" t="n">
        <v>-0.0417742599299001</v>
      </c>
      <c r="H27" t="n">
        <v>0.00127322944549852</v>
      </c>
      <c r="I27" t="n">
        <v>-0.0195789183536548</v>
      </c>
      <c r="J27" t="n">
        <v>0.260417354180727</v>
      </c>
      <c r="K27" t="n">
        <v>0.313091332008336</v>
      </c>
      <c r="L27" t="n">
        <v>0.252922637184319</v>
      </c>
      <c r="M27" t="n">
        <v>0.39193876052455</v>
      </c>
      <c r="N27" t="n">
        <v>0.530895575038373</v>
      </c>
      <c r="O27" t="n">
        <v>0.494869105519424</v>
      </c>
      <c r="P27" t="n">
        <v>0.12240190442608</v>
      </c>
      <c r="Q27" t="n">
        <v>0.570617041582771</v>
      </c>
      <c r="R27" t="n">
        <v>0.306544302427341</v>
      </c>
      <c r="S27" t="n">
        <v>0.0645104517169504</v>
      </c>
      <c r="T27" t="n">
        <v>0.190654168315686</v>
      </c>
      <c r="U27" t="n">
        <v>0.446262958538548</v>
      </c>
      <c r="V27" t="n">
        <v>0.27953801899065</v>
      </c>
      <c r="W27" t="n">
        <v>0.19294739878147</v>
      </c>
      <c r="X27" t="n">
        <v>-0.208320186162068</v>
      </c>
      <c r="Y27" t="n">
        <v>0.0335879724797151</v>
      </c>
      <c r="Z27" t="n">
        <v>0.309421464257619</v>
      </c>
      <c r="AA27" t="n">
        <v>-0.0981442205754339</v>
      </c>
      <c r="AB27" t="n">
        <v>0.399879032302544</v>
      </c>
      <c r="AC27" t="n">
        <v>-0.544393075042201</v>
      </c>
      <c r="AD27" t="n">
        <v>-0.50869355011264</v>
      </c>
      <c r="AE27" t="n">
        <v>-0.399030410092992</v>
      </c>
      <c r="AF27"/>
    </row>
    <row r="28">
      <c r="A28" t="s">
        <v>160</v>
      </c>
      <c r="B28" t="s">
        <v>283</v>
      </c>
      <c r="C28" t="s">
        <v>161</v>
      </c>
      <c r="D28" t="s">
        <v>284</v>
      </c>
      <c r="E28" t="s">
        <v>56</v>
      </c>
      <c r="F28" t="n">
        <v>-0.0515762317033624</v>
      </c>
      <c r="G28" t="n">
        <v>0.341712809473646</v>
      </c>
      <c r="H28" t="n">
        <v>0.162943783224598</v>
      </c>
      <c r="I28" t="n">
        <v>0.134549128414118</v>
      </c>
      <c r="J28" t="n">
        <v>0.514432500767212</v>
      </c>
      <c r="K28" t="n">
        <v>0.533559357661843</v>
      </c>
      <c r="L28" t="n">
        <v>0.558704019116672</v>
      </c>
      <c r="M28" t="n">
        <v>0.57322148111158</v>
      </c>
      <c r="N28" t="n">
        <v>0.671990301515697</v>
      </c>
      <c r="O28" t="n">
        <v>-0.03224626079843</v>
      </c>
      <c r="P28" t="n">
        <v>-0.0491801285379986</v>
      </c>
      <c r="Q28" t="n">
        <v>0.444384854609066</v>
      </c>
      <c r="R28" t="n">
        <v>0.397756800024722</v>
      </c>
      <c r="S28" t="n">
        <v>0.0350010472549508</v>
      </c>
      <c r="T28" t="n">
        <v>0.515415213167862</v>
      </c>
      <c r="U28" t="n">
        <v>0.275359099313394</v>
      </c>
      <c r="V28" t="n">
        <v>-0.00882228741745693</v>
      </c>
      <c r="W28" t="n">
        <v>0.297318063279755</v>
      </c>
      <c r="X28" t="n">
        <v>0.27343089445676</v>
      </c>
      <c r="Y28" t="n">
        <v>-0.0366805784513445</v>
      </c>
      <c r="Z28" t="n">
        <v>-0.0930781569103237</v>
      </c>
      <c r="AA28" t="n">
        <v>0.0278119874823833</v>
      </c>
      <c r="AB28" t="n">
        <v>-0.0086555423872846</v>
      </c>
      <c r="AC28" t="n">
        <v>-0.0441083879401954</v>
      </c>
      <c r="AD28" t="n">
        <v>-0.221715471793842</v>
      </c>
      <c r="AE28" t="n">
        <v>-0.566149628984406</v>
      </c>
      <c r="AF28"/>
    </row>
    <row r="29">
      <c r="A29" t="s">
        <v>162</v>
      </c>
      <c r="B29" t="s">
        <v>283</v>
      </c>
      <c r="C29" t="s">
        <v>163</v>
      </c>
      <c r="D29" t="s">
        <v>284</v>
      </c>
      <c r="E29" t="s">
        <v>56</v>
      </c>
      <c r="F29" t="n">
        <v>-0.0717400511461576</v>
      </c>
      <c r="G29" t="n">
        <v>0.16051910624663</v>
      </c>
      <c r="H29" t="n">
        <v>-0.00334758903512295</v>
      </c>
      <c r="I29" t="n">
        <v>-0.0463628447094274</v>
      </c>
      <c r="J29" t="n">
        <v>0.253944867732691</v>
      </c>
      <c r="K29" t="n">
        <v>0.257751177149577</v>
      </c>
      <c r="L29" t="n">
        <v>0.270488598699743</v>
      </c>
      <c r="M29" t="n">
        <v>0.272390736561847</v>
      </c>
      <c r="N29" t="n">
        <v>0.44909114361554</v>
      </c>
      <c r="O29" t="n">
        <v>0.0696417493530663</v>
      </c>
      <c r="P29" t="n">
        <v>-0.131259637135769</v>
      </c>
      <c r="Q29" t="n">
        <v>0.315866830115311</v>
      </c>
      <c r="R29" t="n">
        <v>0.235839502370831</v>
      </c>
      <c r="S29" t="n">
        <v>0.103589935242757</v>
      </c>
      <c r="T29" t="n">
        <v>0.269572873555839</v>
      </c>
      <c r="U29" t="n">
        <v>0.10878626166837</v>
      </c>
      <c r="V29" t="n">
        <v>0.174044622122592</v>
      </c>
      <c r="W29" t="n">
        <v>0.0399685394053985</v>
      </c>
      <c r="X29" t="n">
        <v>0.278223522049971</v>
      </c>
      <c r="Y29" t="n">
        <v>-0.156947642430897</v>
      </c>
      <c r="Z29" t="n">
        <v>0.0431122244604374</v>
      </c>
      <c r="AA29" t="n">
        <v>-0.131605579892911</v>
      </c>
      <c r="AB29" t="n">
        <v>-0.131031824994276</v>
      </c>
      <c r="AC29" t="n">
        <v>-0.145123533338299</v>
      </c>
      <c r="AD29" t="n">
        <v>-0.143900037301697</v>
      </c>
      <c r="AE29" t="n">
        <v>-0.468559288737005</v>
      </c>
      <c r="AF29"/>
    </row>
    <row r="30">
      <c r="A30" t="s">
        <v>164</v>
      </c>
      <c r="B30" t="s">
        <v>283</v>
      </c>
      <c r="C30" t="s">
        <v>165</v>
      </c>
      <c r="D30" t="s">
        <v>284</v>
      </c>
      <c r="E30" t="s">
        <v>56</v>
      </c>
      <c r="F30" t="n">
        <v>-0.835009946326972</v>
      </c>
      <c r="G30" t="n">
        <v>0.775046229672793</v>
      </c>
      <c r="H30" t="n">
        <v>0.47233188733316</v>
      </c>
      <c r="I30" t="n">
        <v>0.402503676537939</v>
      </c>
      <c r="J30" t="n">
        <v>1.21626609182437</v>
      </c>
      <c r="K30" t="n">
        <v>1.51725801988708</v>
      </c>
      <c r="L30" t="n">
        <v>1.7960796824216</v>
      </c>
      <c r="M30" t="n">
        <v>1.46498489245904</v>
      </c>
      <c r="N30" t="n">
        <v>0.0566153381689537</v>
      </c>
      <c r="O30" t="n">
        <v>0.294771564756052</v>
      </c>
      <c r="P30" t="n">
        <v>0.541440870451539</v>
      </c>
      <c r="Q30" t="n">
        <v>0.91370536230578</v>
      </c>
      <c r="R30" t="n">
        <v>1.50333091671368</v>
      </c>
      <c r="S30" t="n">
        <v>-2.61778282894286</v>
      </c>
      <c r="T30" t="n">
        <v>3.6132934329379</v>
      </c>
      <c r="U30" t="n">
        <v>3.94174744124753</v>
      </c>
      <c r="V30" t="n">
        <v>-7.096560900127</v>
      </c>
      <c r="W30" t="n">
        <v>2.21637369032263</v>
      </c>
      <c r="X30" t="n">
        <v>-1.76679402678536</v>
      </c>
      <c r="Y30" t="n">
        <v>1.84783339952263</v>
      </c>
      <c r="Z30" t="n">
        <v>-1.15565757574298</v>
      </c>
      <c r="AA30" t="n">
        <v>1.30712992366173</v>
      </c>
      <c r="AB30" t="n">
        <v>-1.12120056931416</v>
      </c>
      <c r="AC30" t="n">
        <v>1.106256496579</v>
      </c>
      <c r="AD30" t="n">
        <v>-0.901220722084191</v>
      </c>
      <c r="AE30" t="n">
        <v>-1.8068145196924</v>
      </c>
      <c r="AF30"/>
    </row>
    <row r="31">
      <c r="A31" t="s">
        <v>166</v>
      </c>
      <c r="B31" t="s">
        <v>283</v>
      </c>
      <c r="C31" t="s">
        <v>167</v>
      </c>
      <c r="D31" t="s">
        <v>284</v>
      </c>
      <c r="E31" t="s">
        <v>56</v>
      </c>
      <c r="F31" t="n">
        <v>-0.737466809198278</v>
      </c>
      <c r="G31" t="n">
        <v>0.700809121278983</v>
      </c>
      <c r="H31" t="n">
        <v>0.236541717423708</v>
      </c>
      <c r="I31" t="n">
        <v>0.976228283467245</v>
      </c>
      <c r="J31" t="n">
        <v>1.47567809108912</v>
      </c>
      <c r="K31" t="n">
        <v>1.3770953095618</v>
      </c>
      <c r="L31" t="n">
        <v>1.11092520412653</v>
      </c>
      <c r="M31" t="n">
        <v>1.49201643737093</v>
      </c>
      <c r="N31" t="n">
        <v>0.904213077361911</v>
      </c>
      <c r="O31" t="n">
        <v>-0.0615519004097787</v>
      </c>
      <c r="P31" t="n">
        <v>0.582672077611176</v>
      </c>
      <c r="Q31" t="n">
        <v>0.595836540659777</v>
      </c>
      <c r="R31" t="n">
        <v>0.851874289724265</v>
      </c>
      <c r="S31" t="n">
        <v>-1.52079748645807</v>
      </c>
      <c r="T31" t="n">
        <v>-0.255779552979421</v>
      </c>
      <c r="U31" t="n">
        <v>0.60646426797287</v>
      </c>
      <c r="V31" t="n">
        <v>0.014348268198765</v>
      </c>
      <c r="W31" t="n">
        <v>-0.0294820286682732</v>
      </c>
      <c r="X31" t="n">
        <v>1.31184883762896</v>
      </c>
      <c r="Y31" t="n">
        <v>-0.46772330810137</v>
      </c>
      <c r="Z31" t="n">
        <v>-0.894685990373539</v>
      </c>
      <c r="AA31" t="n">
        <v>0.920952408950641</v>
      </c>
      <c r="AB31" t="n">
        <v>-0.450812971583608</v>
      </c>
      <c r="AC31" t="n">
        <v>-0.411705730319179</v>
      </c>
      <c r="AD31" t="n">
        <v>-0.508200150249158</v>
      </c>
      <c r="AE31" t="n">
        <v>0.148946931640959</v>
      </c>
      <c r="AF31"/>
    </row>
    <row r="32">
      <c r="A32" t="s">
        <v>168</v>
      </c>
      <c r="B32" t="s">
        <v>283</v>
      </c>
      <c r="C32" t="s">
        <v>169</v>
      </c>
      <c r="D32" t="s">
        <v>284</v>
      </c>
      <c r="E32" t="s">
        <v>56</v>
      </c>
      <c r="F32" t="n">
        <v>0.147376114861569</v>
      </c>
      <c r="G32" t="n">
        <v>0.251278666893113</v>
      </c>
      <c r="H32" t="n">
        <v>-0.271912431598667</v>
      </c>
      <c r="I32" t="n">
        <v>-0.0239458104625236</v>
      </c>
      <c r="J32" t="n">
        <v>0.675806692999522</v>
      </c>
      <c r="K32" t="n">
        <v>0.0306989057032637</v>
      </c>
      <c r="L32" t="n">
        <v>0.364746328800207</v>
      </c>
      <c r="M32" t="n">
        <v>0.430502048730538</v>
      </c>
      <c r="N32" t="n">
        <v>0.730372522431313</v>
      </c>
      <c r="O32" t="n">
        <v>-0.390611131671435</v>
      </c>
      <c r="P32" t="n">
        <v>-0.430209598935918</v>
      </c>
      <c r="Q32" t="n">
        <v>0.286523797743422</v>
      </c>
      <c r="R32" t="n">
        <v>-0.0123629171428502</v>
      </c>
      <c r="S32" t="n">
        <v>-0.222650658481284</v>
      </c>
      <c r="T32" t="n">
        <v>0.275750716079616</v>
      </c>
      <c r="U32" t="n">
        <v>0.298390987967784</v>
      </c>
      <c r="V32" t="n">
        <v>0.372387451755312</v>
      </c>
      <c r="W32" t="n">
        <v>-0.222603218473202</v>
      </c>
      <c r="X32" t="n">
        <v>-0.0606464124333771</v>
      </c>
      <c r="Y32" t="n">
        <v>-0.049845945746188</v>
      </c>
      <c r="Z32" t="n">
        <v>0.325268000903313</v>
      </c>
      <c r="AA32" t="n">
        <v>-0.011727532976813</v>
      </c>
      <c r="AB32" t="n">
        <v>0.167755323655649</v>
      </c>
      <c r="AC32" t="n">
        <v>-0.372090561677985</v>
      </c>
      <c r="AD32" t="n">
        <v>-0.0819079966603148</v>
      </c>
      <c r="AE32" t="n">
        <v>-0.238624382839281</v>
      </c>
      <c r="AF32"/>
    </row>
    <row r="33">
      <c r="A33" t="s">
        <v>170</v>
      </c>
      <c r="B33" t="s">
        <v>283</v>
      </c>
      <c r="C33" t="s">
        <v>171</v>
      </c>
      <c r="D33" t="s">
        <v>284</v>
      </c>
      <c r="E33" t="s">
        <v>56</v>
      </c>
      <c r="F33" t="n">
        <v>0.0612871507946542</v>
      </c>
      <c r="G33" t="n">
        <v>-0.638279399433214</v>
      </c>
      <c r="H33" t="n">
        <v>-0.541941771114987</v>
      </c>
      <c r="I33" t="n">
        <v>-0.445716114414223</v>
      </c>
      <c r="J33" t="n">
        <v>0.228560009603366</v>
      </c>
      <c r="K33" t="n">
        <v>0.240965237270424</v>
      </c>
      <c r="L33" t="n">
        <v>0.603158006134572</v>
      </c>
      <c r="M33" t="n">
        <v>0.333745035857562</v>
      </c>
      <c r="N33" t="n">
        <v>1.11942631289309</v>
      </c>
      <c r="O33" t="n">
        <v>0.288818028674663</v>
      </c>
      <c r="P33" t="n">
        <v>0.639613584929075</v>
      </c>
      <c r="Q33" t="n">
        <v>0.38963522357768</v>
      </c>
      <c r="R33" t="n">
        <v>0.638062359055713</v>
      </c>
      <c r="S33" t="n">
        <v>-0.183718428167704</v>
      </c>
      <c r="T33" t="n">
        <v>-0.265102373037592</v>
      </c>
      <c r="U33" t="n">
        <v>0.317873006285043</v>
      </c>
      <c r="V33" t="n">
        <v>0.623487531280859</v>
      </c>
      <c r="W33" t="n">
        <v>-0.407105643340717</v>
      </c>
      <c r="X33" t="n">
        <v>-0.254677195701544</v>
      </c>
      <c r="Y33" t="n">
        <v>-0.1577932355427</v>
      </c>
      <c r="Z33" t="n">
        <v>0.652966842731297</v>
      </c>
      <c r="AA33" t="n">
        <v>0.24194842830143</v>
      </c>
      <c r="AB33" t="n">
        <v>0.224704117862812</v>
      </c>
      <c r="AC33" t="n">
        <v>-0.469196143838193</v>
      </c>
      <c r="AD33" t="n">
        <v>0.240592637147625</v>
      </c>
      <c r="AE33" t="n">
        <v>-0.0247667515362636</v>
      </c>
      <c r="AF33"/>
    </row>
    <row r="34">
      <c r="A34" t="s">
        <v>172</v>
      </c>
      <c r="B34" t="s">
        <v>283</v>
      </c>
      <c r="C34" t="s">
        <v>173</v>
      </c>
      <c r="D34" t="s">
        <v>284</v>
      </c>
      <c r="E34" t="s">
        <v>56</v>
      </c>
      <c r="F34" t="n">
        <v>0.162381588262304</v>
      </c>
      <c r="G34" t="n">
        <v>0.541044812907827</v>
      </c>
      <c r="H34" t="n">
        <v>-0.110245432647804</v>
      </c>
      <c r="I34" t="n">
        <v>-0.0351664609854821</v>
      </c>
      <c r="J34" t="n">
        <v>-0.211154402928691</v>
      </c>
      <c r="K34" t="n">
        <v>1.10820321572336</v>
      </c>
      <c r="L34" t="n">
        <v>0.622585865239312</v>
      </c>
      <c r="M34" t="n">
        <v>-0.336366727994601</v>
      </c>
      <c r="N34" t="n">
        <v>0.0860207068062048</v>
      </c>
      <c r="O34" t="n">
        <v>0.658126066637052</v>
      </c>
      <c r="P34" t="n">
        <v>0.0464518456579404</v>
      </c>
      <c r="Q34" t="n">
        <v>0.35948527034456</v>
      </c>
      <c r="R34" t="n">
        <v>0.131015520923291</v>
      </c>
      <c r="S34" t="n">
        <v>0.213089605241436</v>
      </c>
      <c r="T34" t="n">
        <v>-0.0390955586637105</v>
      </c>
      <c r="U34" t="n">
        <v>0.0923836683680474</v>
      </c>
      <c r="V34" t="n">
        <v>0.0775674369168525</v>
      </c>
      <c r="W34" t="n">
        <v>0.280353112636817</v>
      </c>
      <c r="X34" t="n">
        <v>-0.301417034678187</v>
      </c>
      <c r="Y34" t="n">
        <v>0.430140038130157</v>
      </c>
      <c r="Z34" t="n">
        <v>-0.0166334651415804</v>
      </c>
      <c r="AA34" t="n">
        <v>-0.2879514828878</v>
      </c>
      <c r="AB34" t="n">
        <v>0.0241311207805576</v>
      </c>
      <c r="AC34" t="n">
        <v>-0.305939822284933</v>
      </c>
      <c r="AD34" t="n">
        <v>-0.0205362870322282</v>
      </c>
      <c r="AE34" t="n">
        <v>-0.64769930631324</v>
      </c>
      <c r="AF34"/>
    </row>
    <row r="35">
      <c r="A35" t="s">
        <v>174</v>
      </c>
      <c r="B35" t="s">
        <v>283</v>
      </c>
      <c r="C35" t="s">
        <v>175</v>
      </c>
      <c r="D35" t="s">
        <v>284</v>
      </c>
      <c r="E35" t="s">
        <v>56</v>
      </c>
      <c r="F35" t="n">
        <v>0.00687949785280791</v>
      </c>
      <c r="G35" t="n">
        <v>0.221513439428012</v>
      </c>
      <c r="H35" t="n">
        <v>0.397594295441106</v>
      </c>
      <c r="I35" t="n">
        <v>0.888923333316734</v>
      </c>
      <c r="J35" t="n">
        <v>0.428181425613751</v>
      </c>
      <c r="K35" t="n">
        <v>0.273138322603831</v>
      </c>
      <c r="L35" t="n">
        <v>0.643447432915141</v>
      </c>
      <c r="M35" t="n">
        <v>0.873699378649289</v>
      </c>
      <c r="N35" t="n">
        <v>0.467302150075339</v>
      </c>
      <c r="O35" t="n">
        <v>0.642008041726745</v>
      </c>
      <c r="P35" t="n">
        <v>0.794725346610623</v>
      </c>
      <c r="Q35" t="n">
        <v>0.432969205727429</v>
      </c>
      <c r="R35" t="n">
        <v>0.529515365538445</v>
      </c>
      <c r="S35" t="n">
        <v>0.125765131482871</v>
      </c>
      <c r="T35" t="n">
        <v>0.737851816654037</v>
      </c>
      <c r="U35" t="n">
        <v>0.109451808860631</v>
      </c>
      <c r="V35" t="n">
        <v>0.902759758210149</v>
      </c>
      <c r="W35" t="n">
        <v>0.0084789094887692</v>
      </c>
      <c r="X35" t="n">
        <v>0.699195530045978</v>
      </c>
      <c r="Y35" t="n">
        <v>0.705080945057579</v>
      </c>
      <c r="Z35" t="n">
        <v>0.542781288677906</v>
      </c>
      <c r="AA35" t="n">
        <v>-0.0579589874161084</v>
      </c>
      <c r="AB35" t="n">
        <v>-0.386609184858795</v>
      </c>
      <c r="AC35" t="n">
        <v>-0.391769417482624</v>
      </c>
      <c r="AD35" t="n">
        <v>-0.200646377031943</v>
      </c>
      <c r="AE35" t="n">
        <v>0.219867714905505</v>
      </c>
      <c r="AF35"/>
    </row>
    <row r="36">
      <c r="A36" t="s">
        <v>176</v>
      </c>
      <c r="B36" t="s">
        <v>283</v>
      </c>
      <c r="C36" t="s">
        <v>177</v>
      </c>
      <c r="D36" t="s">
        <v>284</v>
      </c>
      <c r="E36" t="s">
        <v>56</v>
      </c>
      <c r="F36" t="n">
        <v>0.5602120438549</v>
      </c>
      <c r="G36" t="n">
        <v>0.345662384461131</v>
      </c>
      <c r="H36" t="n">
        <v>0.225381119115876</v>
      </c>
      <c r="I36" t="n">
        <v>1.60288681268523</v>
      </c>
      <c r="J36" t="n">
        <v>0.273752961709511</v>
      </c>
      <c r="K36" t="n">
        <v>-0.0684126197539924</v>
      </c>
      <c r="L36" t="n">
        <v>0.666599093355755</v>
      </c>
      <c r="M36" t="n">
        <v>1.76273228507241</v>
      </c>
      <c r="N36" t="n">
        <v>-0.481550554285426</v>
      </c>
      <c r="O36" t="n">
        <v>4.01040508297421</v>
      </c>
      <c r="P36" t="n">
        <v>0.743421662201782</v>
      </c>
      <c r="Q36" t="n">
        <v>0.953684262570352</v>
      </c>
      <c r="R36" t="n">
        <v>0.637690815996363</v>
      </c>
      <c r="S36" t="n">
        <v>-0.0437082274673903</v>
      </c>
      <c r="T36" t="n">
        <v>0.415979374993576</v>
      </c>
      <c r="U36" t="n">
        <v>0.0901765823421285</v>
      </c>
      <c r="V36" t="n">
        <v>1.05626296596513</v>
      </c>
      <c r="W36" t="n">
        <v>0.508298892745443</v>
      </c>
      <c r="X36" t="n">
        <v>0.0344110323234204</v>
      </c>
      <c r="Y36" t="n">
        <v>0.470546636341493</v>
      </c>
      <c r="Z36" t="n">
        <v>0.524093508414091</v>
      </c>
      <c r="AA36" t="n">
        <v>0.193485335906767</v>
      </c>
      <c r="AB36" t="n">
        <v>-0.292323119236434</v>
      </c>
      <c r="AC36" t="n">
        <v>-0.825493238930701</v>
      </c>
      <c r="AD36" t="n">
        <v>-0.688498447473552</v>
      </c>
      <c r="AE36" t="n">
        <v>0.559522831182393</v>
      </c>
      <c r="AF36"/>
    </row>
    <row r="37">
      <c r="A37" t="s">
        <v>178</v>
      </c>
      <c r="B37" t="s">
        <v>283</v>
      </c>
      <c r="C37" t="s">
        <v>179</v>
      </c>
      <c r="D37" t="s">
        <v>284</v>
      </c>
      <c r="E37" t="s">
        <v>56</v>
      </c>
      <c r="F37" t="n">
        <v>-0.743463178987211</v>
      </c>
      <c r="G37" t="n">
        <v>-0.405392131091859</v>
      </c>
      <c r="H37" t="n">
        <v>-0.713657089983188</v>
      </c>
      <c r="I37" t="n">
        <v>-0.275785262471546</v>
      </c>
      <c r="J37" t="n">
        <v>0.0359925574471187</v>
      </c>
      <c r="K37" t="n">
        <v>-0.567824229451357</v>
      </c>
      <c r="L37" t="n">
        <v>0.107920438374371</v>
      </c>
      <c r="M37" t="n">
        <v>-0.139865321654883</v>
      </c>
      <c r="N37" t="n">
        <v>0.403622196807891</v>
      </c>
      <c r="O37" t="n">
        <v>-0.992641458408839</v>
      </c>
      <c r="P37" t="n">
        <v>1.11687516471993</v>
      </c>
      <c r="Q37" t="n">
        <v>0.432290398137311</v>
      </c>
      <c r="R37" t="n">
        <v>0.277506510230983</v>
      </c>
      <c r="S37" t="n">
        <v>-0.942570110681785</v>
      </c>
      <c r="T37" t="n">
        <v>0.43011007252164</v>
      </c>
      <c r="U37" t="n">
        <v>0.0134337501216025</v>
      </c>
      <c r="V37" t="n">
        <v>1.08649391711589</v>
      </c>
      <c r="W37" t="n">
        <v>-0.35191798878282</v>
      </c>
      <c r="X37" t="n">
        <v>0.191821214947004</v>
      </c>
      <c r="Y37" t="n">
        <v>0.435017813203929</v>
      </c>
      <c r="Z37" t="n">
        <v>0.694312267092743</v>
      </c>
      <c r="AA37" t="n">
        <v>0.27827301516452</v>
      </c>
      <c r="AB37" t="n">
        <v>-0.590625512238979</v>
      </c>
      <c r="AC37" t="n">
        <v>-0.55361654656941</v>
      </c>
      <c r="AD37" t="n">
        <v>0.332726850901105</v>
      </c>
      <c r="AE37" t="n">
        <v>1.20563542844597</v>
      </c>
      <c r="AF37"/>
    </row>
    <row r="38">
      <c r="A38" t="s">
        <v>180</v>
      </c>
      <c r="B38" t="s">
        <v>283</v>
      </c>
      <c r="C38" t="s">
        <v>181</v>
      </c>
      <c r="D38" t="s">
        <v>284</v>
      </c>
      <c r="E38" t="s">
        <v>56</v>
      </c>
      <c r="F38" t="n">
        <v>0.340504677343528</v>
      </c>
      <c r="G38" t="n">
        <v>0.354736927917806</v>
      </c>
      <c r="H38" t="n">
        <v>1.19317566142069</v>
      </c>
      <c r="I38" t="n">
        <v>1.33958721544687</v>
      </c>
      <c r="J38" t="n">
        <v>0.59629483417212</v>
      </c>
      <c r="K38" t="n">
        <v>0.835640219940384</v>
      </c>
      <c r="L38" t="n">
        <v>0.872862977586734</v>
      </c>
      <c r="M38" t="n">
        <v>1.29106883854427</v>
      </c>
      <c r="N38" t="n">
        <v>0.788766253894263</v>
      </c>
      <c r="O38" t="n">
        <v>0.625551154167167</v>
      </c>
      <c r="P38" t="n">
        <v>0.841494659590227</v>
      </c>
      <c r="Q38" t="n">
        <v>0.505922674254394</v>
      </c>
      <c r="R38" t="n">
        <v>0.692773425375195</v>
      </c>
      <c r="S38" t="n">
        <v>0.729802746302439</v>
      </c>
      <c r="T38" t="n">
        <v>0.973851977978392</v>
      </c>
      <c r="U38" t="n">
        <v>0.0766185164197163</v>
      </c>
      <c r="V38" t="n">
        <v>0.820696063512188</v>
      </c>
      <c r="W38" t="n">
        <v>0.138694475720286</v>
      </c>
      <c r="X38" t="n">
        <v>1.25495907800683</v>
      </c>
      <c r="Y38" t="n">
        <v>0.962629517731695</v>
      </c>
      <c r="Z38" t="n">
        <v>0.447211458668168</v>
      </c>
      <c r="AA38" t="n">
        <v>-0.174326112509578</v>
      </c>
      <c r="AB38" t="n">
        <v>-0.21965675140471</v>
      </c>
      <c r="AC38" t="n">
        <v>-0.255265661625029</v>
      </c>
      <c r="AD38" t="n">
        <v>-0.272544025998038</v>
      </c>
      <c r="AE38" t="n">
        <v>-0.0167194892497794</v>
      </c>
      <c r="AF38"/>
    </row>
    <row r="39">
      <c r="A39" t="s">
        <v>182</v>
      </c>
      <c r="B39" t="s">
        <v>283</v>
      </c>
      <c r="C39" t="s">
        <v>183</v>
      </c>
      <c r="D39" t="s">
        <v>284</v>
      </c>
      <c r="E39" t="s">
        <v>56</v>
      </c>
      <c r="F39" t="n">
        <v>0.251042127084352</v>
      </c>
      <c r="G39" t="n">
        <v>0.253486929610306</v>
      </c>
      <c r="H39" t="n">
        <v>1.0997599196863</v>
      </c>
      <c r="I39" t="n">
        <v>1.91148921874048</v>
      </c>
      <c r="J39" t="n">
        <v>1.07089808936595</v>
      </c>
      <c r="K39" t="n">
        <v>1.15949761642658</v>
      </c>
      <c r="L39" t="n">
        <v>-0.205447054880072</v>
      </c>
      <c r="M39" t="n">
        <v>0.898772976510888</v>
      </c>
      <c r="N39" t="n">
        <v>1.47564369070781</v>
      </c>
      <c r="O39" t="n">
        <v>0.715744171100028</v>
      </c>
      <c r="P39" t="n">
        <v>0.788549268120645</v>
      </c>
      <c r="Q39" t="n">
        <v>0.0678785546158095</v>
      </c>
      <c r="R39" t="n">
        <v>-0.196559488066096</v>
      </c>
      <c r="S39" t="n">
        <v>-0.991044392102279</v>
      </c>
      <c r="T39" t="n">
        <v>-0.224237540877516</v>
      </c>
      <c r="U39" t="n">
        <v>-0.572040830381785</v>
      </c>
      <c r="V39" t="n">
        <v>0.220801264412467</v>
      </c>
      <c r="W39" t="n">
        <v>-0.148815958365799</v>
      </c>
      <c r="X39" t="n">
        <v>0.361169470136012</v>
      </c>
      <c r="Y39" t="n">
        <v>0.64080119515094</v>
      </c>
      <c r="Z39" t="n">
        <v>-0.346466212794727</v>
      </c>
      <c r="AA39" t="n">
        <v>-0.0435307933260343</v>
      </c>
      <c r="AB39" t="n">
        <v>-0.413494181190812</v>
      </c>
      <c r="AC39" t="n">
        <v>-0.0856577386286332</v>
      </c>
      <c r="AD39" t="n">
        <v>-0.0433528895479403</v>
      </c>
      <c r="AE39" t="n">
        <v>-0.944620995417968</v>
      </c>
      <c r="AF39"/>
    </row>
    <row r="40">
      <c r="A40" t="s">
        <v>184</v>
      </c>
      <c r="B40" t="s">
        <v>283</v>
      </c>
      <c r="C40" t="s">
        <v>185</v>
      </c>
      <c r="D40" t="s">
        <v>284</v>
      </c>
      <c r="E40" t="s">
        <v>56</v>
      </c>
      <c r="F40" t="n">
        <v>0.0230048121622582</v>
      </c>
      <c r="G40" t="n">
        <v>-0.0909392230238792</v>
      </c>
      <c r="H40" t="n">
        <v>0.0302537097427661</v>
      </c>
      <c r="I40" t="n">
        <v>0.203843006687297</v>
      </c>
      <c r="J40" t="n">
        <v>0.0217524374656686</v>
      </c>
      <c r="K40" t="n">
        <v>0.0245479837963152</v>
      </c>
      <c r="L40" t="n">
        <v>-0.0788124212980839</v>
      </c>
      <c r="M40" t="n">
        <v>0.0597596624868856</v>
      </c>
      <c r="N40" t="n">
        <v>0.169304530850308</v>
      </c>
      <c r="O40" t="n">
        <v>0.118329912336862</v>
      </c>
      <c r="P40" t="n">
        <v>0.00611425751459725</v>
      </c>
      <c r="Q40" t="n">
        <v>0.00255720665939378</v>
      </c>
      <c r="R40" t="n">
        <v>0.117953267979487</v>
      </c>
      <c r="S40" t="n">
        <v>-0.125472934766856</v>
      </c>
      <c r="T40" t="n">
        <v>0.119360571618982</v>
      </c>
      <c r="U40" t="n">
        <v>-0.0368119856037141</v>
      </c>
      <c r="V40" t="n">
        <v>0.182939338231154</v>
      </c>
      <c r="W40" t="n">
        <v>0.0705504815591406</v>
      </c>
      <c r="X40" t="n">
        <v>0.207199094947576</v>
      </c>
      <c r="Y40" t="n">
        <v>-0.0195104350890598</v>
      </c>
      <c r="Z40" t="n">
        <v>0.0561816178768537</v>
      </c>
      <c r="AA40" t="n">
        <v>-0.045554561495131</v>
      </c>
      <c r="AB40" t="n">
        <v>-0.0242277426216014</v>
      </c>
      <c r="AC40" t="n">
        <v>0.100349448199755</v>
      </c>
      <c r="AD40" t="n">
        <v>-0.203064931714428</v>
      </c>
      <c r="AE40" t="n">
        <v>-0.183412131233757</v>
      </c>
      <c r="AF40"/>
    </row>
    <row r="41">
      <c r="A41" t="s">
        <v>186</v>
      </c>
      <c r="B41" t="s">
        <v>283</v>
      </c>
      <c r="C41" t="s">
        <v>187</v>
      </c>
      <c r="D41" t="s">
        <v>284</v>
      </c>
      <c r="E41" t="s">
        <v>56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283</v>
      </c>
      <c r="C42" t="s">
        <v>189</v>
      </c>
      <c r="D42" t="s">
        <v>284</v>
      </c>
      <c r="E42" t="s">
        <v>56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283</v>
      </c>
      <c r="C43" t="s">
        <v>191</v>
      </c>
      <c r="D43" t="s">
        <v>284</v>
      </c>
      <c r="E43" t="s">
        <v>56</v>
      </c>
      <c r="F43" t="n">
        <v>0.642440283897711</v>
      </c>
      <c r="G43" t="n">
        <v>-0.252611997665898</v>
      </c>
      <c r="H43" t="n">
        <v>0.633491245327231</v>
      </c>
      <c r="I43" t="n">
        <v>-0.00931399812049412</v>
      </c>
      <c r="J43" t="n">
        <v>0.00109976413390898</v>
      </c>
      <c r="K43" t="n">
        <v>0.493386703548422</v>
      </c>
      <c r="L43" t="n">
        <v>0.733056687087326</v>
      </c>
      <c r="M43" t="n">
        <v>0.0842207055324945</v>
      </c>
      <c r="N43" t="n">
        <v>0.730634907688563</v>
      </c>
      <c r="O43" t="n">
        <v>0.582966616841113</v>
      </c>
      <c r="P43" t="n">
        <v>0.555949148774582</v>
      </c>
      <c r="Q43" t="n">
        <v>0.333430124587066</v>
      </c>
      <c r="R43" t="n">
        <v>0.285738852080556</v>
      </c>
      <c r="S43" t="n">
        <v>-0.520287778494034</v>
      </c>
      <c r="T43" t="n">
        <v>0.983436916870238</v>
      </c>
      <c r="U43" t="n">
        <v>0.756929314830424</v>
      </c>
      <c r="V43" t="n">
        <v>-0.158549875154329</v>
      </c>
      <c r="W43" t="n">
        <v>-0.774999551344759</v>
      </c>
      <c r="X43" t="n">
        <v>0.650729518570476</v>
      </c>
      <c r="Y43" t="n">
        <v>0.20502310585016</v>
      </c>
      <c r="Z43" t="n">
        <v>0.38597691241007</v>
      </c>
      <c r="AA43" t="n">
        <v>-0.102474328902265</v>
      </c>
      <c r="AB43" t="n">
        <v>0.21062911667606</v>
      </c>
      <c r="AC43" t="n">
        <v>-0.421410208664749</v>
      </c>
      <c r="AD43" t="n">
        <v>-0.352306183186449</v>
      </c>
      <c r="AE43" t="n">
        <v>-0.53972252002525</v>
      </c>
      <c r="AF43"/>
    </row>
    <row r="44">
      <c r="A44" t="s">
        <v>192</v>
      </c>
      <c r="B44" t="s">
        <v>283</v>
      </c>
      <c r="C44" t="s">
        <v>193</v>
      </c>
      <c r="D44" t="s">
        <v>284</v>
      </c>
      <c r="E44" t="s">
        <v>56</v>
      </c>
      <c r="F44" t="n">
        <v>0.531075486144154</v>
      </c>
      <c r="G44" t="n">
        <v>0.211483947272165</v>
      </c>
      <c r="H44" t="n">
        <v>0.519606079850315</v>
      </c>
      <c r="I44" t="n">
        <v>0.525041027173948</v>
      </c>
      <c r="J44" t="n">
        <v>0.479535594743034</v>
      </c>
      <c r="K44" t="n">
        <v>0.697863384635897</v>
      </c>
      <c r="L44" t="n">
        <v>0.528596671914287</v>
      </c>
      <c r="M44" t="n">
        <v>0.554039010736167</v>
      </c>
      <c r="N44" t="n">
        <v>0.754177024201209</v>
      </c>
      <c r="O44" t="n">
        <v>0.583510163054625</v>
      </c>
      <c r="P44" t="n">
        <v>0.644868207284643</v>
      </c>
      <c r="Q44" t="n">
        <v>0.564759152807176</v>
      </c>
      <c r="R44" t="n">
        <v>0.512103963637879</v>
      </c>
      <c r="S44" t="n">
        <v>0.295245621572754</v>
      </c>
      <c r="T44" t="n">
        <v>0.445701825671427</v>
      </c>
      <c r="U44" t="n">
        <v>0.38761763928187</v>
      </c>
      <c r="V44" t="n">
        <v>0.217685192776656</v>
      </c>
      <c r="W44" t="n">
        <v>0.27943955342361</v>
      </c>
      <c r="X44" t="n">
        <v>0.225812252055943</v>
      </c>
      <c r="Y44" t="n">
        <v>0.357935418624951</v>
      </c>
      <c r="Z44" t="n">
        <v>0.338598704790119</v>
      </c>
      <c r="AA44" t="n">
        <v>0.151796406448772</v>
      </c>
      <c r="AB44" t="n">
        <v>0.104581995937804</v>
      </c>
      <c r="AC44" t="n">
        <v>-0.184160883316108</v>
      </c>
      <c r="AD44" t="n">
        <v>-0.182906553146059</v>
      </c>
      <c r="AE44" t="n">
        <v>-0.480842598769106</v>
      </c>
      <c r="AF44"/>
    </row>
    <row r="45">
      <c r="A45" t="s">
        <v>194</v>
      </c>
      <c r="B45" t="s">
        <v>283</v>
      </c>
      <c r="C45" t="s">
        <v>195</v>
      </c>
      <c r="D45" t="s">
        <v>284</v>
      </c>
      <c r="E45" t="s">
        <v>56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283</v>
      </c>
      <c r="C46" t="s">
        <v>197</v>
      </c>
      <c r="D46" t="s">
        <v>284</v>
      </c>
      <c r="E46" t="s">
        <v>56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283</v>
      </c>
      <c r="C47" t="s">
        <v>199</v>
      </c>
      <c r="D47" t="s">
        <v>284</v>
      </c>
      <c r="E47" t="s">
        <v>56</v>
      </c>
      <c r="F47" t="n">
        <v>0.230939694222055</v>
      </c>
      <c r="G47" t="n">
        <v>-0.0409113338305447</v>
      </c>
      <c r="H47" t="n">
        <v>0.242957926503681</v>
      </c>
      <c r="I47" t="n">
        <v>0.55260701491928</v>
      </c>
      <c r="J47" t="n">
        <v>0.491442398879875</v>
      </c>
      <c r="K47" t="n">
        <v>0.478745962992408</v>
      </c>
      <c r="L47" t="n">
        <v>0.347996973057802</v>
      </c>
      <c r="M47" t="n">
        <v>0.366133634045659</v>
      </c>
      <c r="N47" t="n">
        <v>0.391249687381852</v>
      </c>
      <c r="O47" t="n">
        <v>0.300021724075642</v>
      </c>
      <c r="P47" t="n">
        <v>0.258150726063834</v>
      </c>
      <c r="Q47" t="n">
        <v>0.184731399371835</v>
      </c>
      <c r="R47" t="n">
        <v>0.057565623346866</v>
      </c>
      <c r="S47" t="n">
        <v>0.0201687430814802</v>
      </c>
      <c r="T47" t="n">
        <v>0.100284753366156</v>
      </c>
      <c r="U47" t="n">
        <v>0.00747159885490001</v>
      </c>
      <c r="V47" t="n">
        <v>-0.136682245858482</v>
      </c>
      <c r="W47" t="n">
        <v>-0.21544882121143</v>
      </c>
      <c r="X47" t="n">
        <v>-0.171957291005809</v>
      </c>
      <c r="Y47" t="n">
        <v>-0.18471530536513</v>
      </c>
      <c r="Z47" t="n">
        <v>-0.12962634648187</v>
      </c>
      <c r="AA47" t="n">
        <v>-0.101988393223932</v>
      </c>
      <c r="AB47" t="n">
        <v>0.00721540865815372</v>
      </c>
      <c r="AC47" t="n">
        <v>-0.0625924602649559</v>
      </c>
      <c r="AD47" t="n">
        <v>-0.150209521193926</v>
      </c>
      <c r="AE47" t="n">
        <v>-0.0526132571004508</v>
      </c>
      <c r="AF47"/>
    </row>
    <row r="48">
      <c r="A48" t="s">
        <v>200</v>
      </c>
      <c r="B48" t="s">
        <v>283</v>
      </c>
      <c r="C48" t="s">
        <v>201</v>
      </c>
      <c r="D48" t="s">
        <v>284</v>
      </c>
      <c r="E48" t="s">
        <v>56</v>
      </c>
      <c r="F48" t="n">
        <v>0.231650077181829</v>
      </c>
      <c r="G48" t="n">
        <v>-0.184632465389412</v>
      </c>
      <c r="H48" t="n">
        <v>0.357478913178088</v>
      </c>
      <c r="I48" t="n">
        <v>0.332639338993645</v>
      </c>
      <c r="J48" t="n">
        <v>0.291359453176078</v>
      </c>
      <c r="K48" t="n">
        <v>0.148816857766063</v>
      </c>
      <c r="L48" t="n">
        <v>0.151683822421238</v>
      </c>
      <c r="M48" t="n">
        <v>0.344428332779111</v>
      </c>
      <c r="N48" t="n">
        <v>0.604904383696344</v>
      </c>
      <c r="O48" t="n">
        <v>0.279386941534922</v>
      </c>
      <c r="P48" t="n">
        <v>0.118464118232448</v>
      </c>
      <c r="Q48" t="n">
        <v>0.224025161536889</v>
      </c>
      <c r="R48" t="n">
        <v>0.45363424610186</v>
      </c>
      <c r="S48" t="n">
        <v>0.145180199531099</v>
      </c>
      <c r="T48" t="n">
        <v>0.326064517757227</v>
      </c>
      <c r="U48" t="n">
        <v>0.0822627570428834</v>
      </c>
      <c r="V48" t="n">
        <v>0.127652163802188</v>
      </c>
      <c r="W48" t="n">
        <v>0.0644423291087243</v>
      </c>
      <c r="X48" t="n">
        <v>-0.404874598310808</v>
      </c>
      <c r="Y48" t="n">
        <v>-0.0390955460874036</v>
      </c>
      <c r="Z48" t="n">
        <v>0.294114566587703</v>
      </c>
      <c r="AA48" t="n">
        <v>-0.0806739813361333</v>
      </c>
      <c r="AB48" t="n">
        <v>0.0666086765059129</v>
      </c>
      <c r="AC48" t="n">
        <v>-0.173569948363839</v>
      </c>
      <c r="AD48" t="n">
        <v>0.0607518883823884</v>
      </c>
      <c r="AE48" t="n">
        <v>-0.754865014666648</v>
      </c>
      <c r="AF48"/>
    </row>
    <row r="49">
      <c r="A49" t="s">
        <v>202</v>
      </c>
      <c r="B49" t="s">
        <v>283</v>
      </c>
      <c r="C49" t="s">
        <v>203</v>
      </c>
      <c r="D49" t="s">
        <v>284</v>
      </c>
      <c r="E49" t="s">
        <v>56</v>
      </c>
      <c r="F49" t="n">
        <v>0.571633519201363</v>
      </c>
      <c r="G49" t="n">
        <v>0.290944121278092</v>
      </c>
      <c r="H49" t="n">
        <v>0.550599166299326</v>
      </c>
      <c r="I49" t="n">
        <v>0.783823140286127</v>
      </c>
      <c r="J49" t="n">
        <v>0.33601248491847</v>
      </c>
      <c r="K49" t="n">
        <v>0.582195987164352</v>
      </c>
      <c r="L49" t="n">
        <v>0.446701736567862</v>
      </c>
      <c r="M49" t="n">
        <v>0.597984233468788</v>
      </c>
      <c r="N49" t="n">
        <v>0.335916154555642</v>
      </c>
      <c r="O49" t="n">
        <v>0.109521967969577</v>
      </c>
      <c r="P49" t="n">
        <v>1.26275189527629</v>
      </c>
      <c r="Q49" t="n">
        <v>0.387918791292638</v>
      </c>
      <c r="R49" t="n">
        <v>0.824533753597629</v>
      </c>
      <c r="S49" t="n">
        <v>0.155070552498458</v>
      </c>
      <c r="T49" t="n">
        <v>0.576276626070848</v>
      </c>
      <c r="U49" t="n">
        <v>0.144690600292258</v>
      </c>
      <c r="V49" t="n">
        <v>0.306644219523425</v>
      </c>
      <c r="W49" t="n">
        <v>0.11856740767929</v>
      </c>
      <c r="X49" t="n">
        <v>-0.52231067721601</v>
      </c>
      <c r="Y49" t="n">
        <v>0.403921238204273</v>
      </c>
      <c r="Z49" t="n">
        <v>0.454102896630222</v>
      </c>
      <c r="AA49" t="n">
        <v>-0.461969764436993</v>
      </c>
      <c r="AB49" t="n">
        <v>0.059222708537567</v>
      </c>
      <c r="AC49" t="n">
        <v>-0.469177790601154</v>
      </c>
      <c r="AD49" t="n">
        <v>-0.0338252131775558</v>
      </c>
      <c r="AE49" t="n">
        <v>-0.907071376717875</v>
      </c>
      <c r="AF49"/>
    </row>
    <row r="50">
      <c r="A50" t="s">
        <v>204</v>
      </c>
      <c r="B50" t="s">
        <v>283</v>
      </c>
      <c r="C50" t="s">
        <v>205</v>
      </c>
      <c r="D50" t="s">
        <v>284</v>
      </c>
      <c r="E50" t="s">
        <v>56</v>
      </c>
      <c r="F50" t="n">
        <v>0.380499183940425</v>
      </c>
      <c r="G50" t="n">
        <v>-0.258007041027208</v>
      </c>
      <c r="H50" t="n">
        <v>0.493330174810201</v>
      </c>
      <c r="I50" t="n">
        <v>0.162017826088194</v>
      </c>
      <c r="J50" t="n">
        <v>0.209701035723246</v>
      </c>
      <c r="K50" t="n">
        <v>-0.0247849270451985</v>
      </c>
      <c r="L50" t="n">
        <v>-0.0743940405348367</v>
      </c>
      <c r="M50" t="n">
        <v>0.477110928557088</v>
      </c>
      <c r="N50" t="n">
        <v>0.787458870548347</v>
      </c>
      <c r="O50" t="n">
        <v>0.447371798622553</v>
      </c>
      <c r="P50" t="n">
        <v>-0.0237318867348393</v>
      </c>
      <c r="Q50" t="n">
        <v>0.534857078176147</v>
      </c>
      <c r="R50" t="n">
        <v>0.559189921180776</v>
      </c>
      <c r="S50" t="n">
        <v>0.254610571894527</v>
      </c>
      <c r="T50" t="n">
        <v>0.475889321316133</v>
      </c>
      <c r="U50" t="n">
        <v>0.349879475191022</v>
      </c>
      <c r="V50" t="n">
        <v>0.219336521676127</v>
      </c>
      <c r="W50" t="n">
        <v>0.588196042176903</v>
      </c>
      <c r="X50" t="n">
        <v>-0.355101364317172</v>
      </c>
      <c r="Y50" t="n">
        <v>-0.144296912292265</v>
      </c>
      <c r="Z50" t="n">
        <v>0.62714081003625</v>
      </c>
      <c r="AA50" t="n">
        <v>0.0881095693869571</v>
      </c>
      <c r="AB50" t="n">
        <v>0.155879837769126</v>
      </c>
      <c r="AC50" t="n">
        <v>-0.17545860719473</v>
      </c>
      <c r="AD50" t="n">
        <v>0.178054532491765</v>
      </c>
      <c r="AE50" t="n">
        <v>-1.39880685107709</v>
      </c>
      <c r="AF50"/>
    </row>
    <row r="51">
      <c r="A51" t="s">
        <v>206</v>
      </c>
      <c r="B51" t="s">
        <v>283</v>
      </c>
      <c r="C51" t="s">
        <v>207</v>
      </c>
      <c r="D51" t="s">
        <v>284</v>
      </c>
      <c r="E51" t="s">
        <v>56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283</v>
      </c>
      <c r="C52" t="s">
        <v>209</v>
      </c>
      <c r="D52" t="s">
        <v>284</v>
      </c>
      <c r="E52" t="s">
        <v>56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283</v>
      </c>
      <c r="C53" t="s">
        <v>211</v>
      </c>
      <c r="D53" t="s">
        <v>284</v>
      </c>
      <c r="E53" t="s">
        <v>56</v>
      </c>
      <c r="F53" t="n">
        <v>0.255669794152548</v>
      </c>
      <c r="G53" t="n">
        <v>-0.129180619964027</v>
      </c>
      <c r="H53" t="n">
        <v>0.0433735068624144</v>
      </c>
      <c r="I53" t="n">
        <v>0.057453763969411</v>
      </c>
      <c r="J53" t="n">
        <v>0.130543496727492</v>
      </c>
      <c r="K53" t="n">
        <v>-0.0656919416656909</v>
      </c>
      <c r="L53" t="n">
        <v>0.208818908205078</v>
      </c>
      <c r="M53" t="n">
        <v>0.224170392206067</v>
      </c>
      <c r="N53" t="n">
        <v>0.237408136744471</v>
      </c>
      <c r="O53" t="n">
        <v>0.298134704347006</v>
      </c>
      <c r="P53" t="n">
        <v>-0.079642538427009</v>
      </c>
      <c r="Q53" t="n">
        <v>0.172978289736026</v>
      </c>
      <c r="R53" t="n">
        <v>0.0681761736779228</v>
      </c>
      <c r="S53" t="n">
        <v>-0.0561519426284653</v>
      </c>
      <c r="T53" t="n">
        <v>0.144519703041115</v>
      </c>
      <c r="U53" t="n">
        <v>0.0785699166385849</v>
      </c>
      <c r="V53" t="n">
        <v>0.15414617553898</v>
      </c>
      <c r="W53" t="n">
        <v>0.306068209713864</v>
      </c>
      <c r="X53" t="n">
        <v>0.0720339149197439</v>
      </c>
      <c r="Y53" t="n">
        <v>0.299717007356453</v>
      </c>
      <c r="Z53" t="n">
        <v>0.165497203069424</v>
      </c>
      <c r="AA53" t="n">
        <v>-0.0386252303048075</v>
      </c>
      <c r="AB53" t="n">
        <v>0.126056100475694</v>
      </c>
      <c r="AC53" t="n">
        <v>-0.113553343575017</v>
      </c>
      <c r="AD53" t="n">
        <v>-0.110541337279312</v>
      </c>
      <c r="AE53" t="n">
        <v>-0.0368276727780053</v>
      </c>
      <c r="AF53"/>
    </row>
    <row r="54">
      <c r="A54" t="s">
        <v>212</v>
      </c>
      <c r="B54" t="s">
        <v>283</v>
      </c>
      <c r="C54" t="s">
        <v>213</v>
      </c>
      <c r="D54" t="s">
        <v>284</v>
      </c>
      <c r="E54" t="s">
        <v>56</v>
      </c>
      <c r="F54" t="n">
        <v>0.357370868516526</v>
      </c>
      <c r="G54" t="n">
        <v>-0.0606333729059052</v>
      </c>
      <c r="H54" t="n">
        <v>0.14947634909501</v>
      </c>
      <c r="I54" t="n">
        <v>0.314003655229024</v>
      </c>
      <c r="J54" t="n">
        <v>0.0928163381015283</v>
      </c>
      <c r="K54" t="n">
        <v>0.222614465031448</v>
      </c>
      <c r="L54" t="n">
        <v>0.367414034419951</v>
      </c>
      <c r="M54" t="n">
        <v>0.400222935088359</v>
      </c>
      <c r="N54" t="n">
        <v>0.325211172819435</v>
      </c>
      <c r="O54" t="n">
        <v>0.726723904183985</v>
      </c>
      <c r="P54" t="n">
        <v>-0.0622087398542992</v>
      </c>
      <c r="Q54" t="n">
        <v>0.412221872842274</v>
      </c>
      <c r="R54" t="n">
        <v>0.356824702083393</v>
      </c>
      <c r="S54" t="n">
        <v>0.0794603218793048</v>
      </c>
      <c r="T54" t="n">
        <v>0.162963551622168</v>
      </c>
      <c r="U54" t="n">
        <v>0.368947571876949</v>
      </c>
      <c r="V54" t="n">
        <v>0.0613116534456563</v>
      </c>
      <c r="W54" t="n">
        <v>0.355906235789023</v>
      </c>
      <c r="X54" t="n">
        <v>0.0110263377817137</v>
      </c>
      <c r="Y54" t="n">
        <v>0.331345936626283</v>
      </c>
      <c r="Z54" t="n">
        <v>0.17160007490889</v>
      </c>
      <c r="AA54" t="n">
        <v>0.040660913507453</v>
      </c>
      <c r="AB54" t="n">
        <v>0.245869706435452</v>
      </c>
      <c r="AC54" t="n">
        <v>-0.199795022118776</v>
      </c>
      <c r="AD54" t="n">
        <v>-0.0213655642400942</v>
      </c>
      <c r="AE54" t="n">
        <v>-0.28721326276087</v>
      </c>
      <c r="AF54"/>
    </row>
    <row r="55">
      <c r="A55" t="s">
        <v>214</v>
      </c>
      <c r="B55" t="s">
        <v>283</v>
      </c>
      <c r="C55" t="s">
        <v>215</v>
      </c>
      <c r="D55" t="s">
        <v>284</v>
      </c>
      <c r="E55" t="s">
        <v>56</v>
      </c>
      <c r="F55" t="n">
        <v>0.371542405686386</v>
      </c>
      <c r="G55" t="n">
        <v>0.0110244491637576</v>
      </c>
      <c r="H55" t="n">
        <v>0.15770660512405</v>
      </c>
      <c r="I55" t="n">
        <v>0.510320552551142</v>
      </c>
      <c r="J55" t="n">
        <v>0.0263749838938515</v>
      </c>
      <c r="K55" t="n">
        <v>0.397848084622029</v>
      </c>
      <c r="L55" t="n">
        <v>0.4153489978823</v>
      </c>
      <c r="M55" t="n">
        <v>0.513164810633215</v>
      </c>
      <c r="N55" t="n">
        <v>0.300596433961153</v>
      </c>
      <c r="O55" t="n">
        <v>0.984395680081488</v>
      </c>
      <c r="P55" t="n">
        <v>-0.0140925921601194</v>
      </c>
      <c r="Q55" t="n">
        <v>0.527401919623089</v>
      </c>
      <c r="R55" t="n">
        <v>0.447293711663259</v>
      </c>
      <c r="S55" t="n">
        <v>0.216883249984722</v>
      </c>
      <c r="T55" t="n">
        <v>0.113692734943134</v>
      </c>
      <c r="U55" t="n">
        <v>0.53899138753594</v>
      </c>
      <c r="V55" t="n">
        <v>-0.0386908895759183</v>
      </c>
      <c r="W55" t="n">
        <v>0.332982629980819</v>
      </c>
      <c r="X55" t="n">
        <v>-0.0341699799739202</v>
      </c>
      <c r="Y55" t="n">
        <v>0.302968337406162</v>
      </c>
      <c r="Z55" t="n">
        <v>0.224263119974172</v>
      </c>
      <c r="AA55" t="n">
        <v>0.0297670694789881</v>
      </c>
      <c r="AB55" t="n">
        <v>0.340135902227487</v>
      </c>
      <c r="AC55" t="n">
        <v>-0.264991169347255</v>
      </c>
      <c r="AD55" t="n">
        <v>0.0232380898259021</v>
      </c>
      <c r="AE55" t="n">
        <v>-0.466967055516101</v>
      </c>
      <c r="AF55"/>
    </row>
    <row r="56">
      <c r="A56" t="s">
        <v>216</v>
      </c>
      <c r="B56" t="s">
        <v>283</v>
      </c>
      <c r="C56" t="s">
        <v>217</v>
      </c>
      <c r="D56" t="s">
        <v>284</v>
      </c>
      <c r="E56" t="s">
        <v>56</v>
      </c>
      <c r="F56" t="n">
        <v>1.18826480459033</v>
      </c>
      <c r="G56" t="n">
        <v>-0.186614022450943</v>
      </c>
      <c r="H56" t="n">
        <v>1.04293547020552</v>
      </c>
      <c r="I56" t="n">
        <v>0.562809276194203</v>
      </c>
      <c r="J56" t="n">
        <v>0.820758524898771</v>
      </c>
      <c r="K56" t="n">
        <v>0.91228087946761</v>
      </c>
      <c r="L56" t="n">
        <v>1.1240244487808</v>
      </c>
      <c r="M56" t="n">
        <v>0.833427174537604</v>
      </c>
      <c r="N56" t="n">
        <v>0.808200833979366</v>
      </c>
      <c r="O56" t="n">
        <v>1.0900955416328</v>
      </c>
      <c r="P56" t="n">
        <v>0.75112577702631</v>
      </c>
      <c r="Q56" t="n">
        <v>-1.29976277217566</v>
      </c>
      <c r="R56" t="n">
        <v>-0.132704107155054</v>
      </c>
      <c r="S56" t="n">
        <v>-1.24820352078603</v>
      </c>
      <c r="T56" t="n">
        <v>0.60908841870209</v>
      </c>
      <c r="U56" t="n">
        <v>0.52789522392382</v>
      </c>
      <c r="V56" t="n">
        <v>-0.815618940398898</v>
      </c>
      <c r="W56" t="n">
        <v>-0.862275343912353</v>
      </c>
      <c r="X56" t="n">
        <v>-0.271350440210976</v>
      </c>
      <c r="Y56" t="n">
        <v>0.215008206847409</v>
      </c>
      <c r="Z56" t="n">
        <v>0.501922014936369</v>
      </c>
      <c r="AA56" t="n">
        <v>-0.102963388805875</v>
      </c>
      <c r="AB56" t="n">
        <v>-0.0266308706630541</v>
      </c>
      <c r="AC56" t="n">
        <v>-0.641886406230192</v>
      </c>
      <c r="AD56" t="n">
        <v>-0.428710150611332</v>
      </c>
      <c r="AE56" t="n">
        <v>-1.37163734705756</v>
      </c>
      <c r="AF56"/>
    </row>
    <row r="57">
      <c r="A57" t="s">
        <v>218</v>
      </c>
      <c r="B57" t="s">
        <v>283</v>
      </c>
      <c r="C57" t="s">
        <v>219</v>
      </c>
      <c r="D57" t="s">
        <v>284</v>
      </c>
      <c r="E57" t="s">
        <v>56</v>
      </c>
      <c r="F57" t="n">
        <v>0.524887639277815</v>
      </c>
      <c r="G57" t="n">
        <v>0.175768134745751</v>
      </c>
      <c r="H57" t="n">
        <v>0.546475163894722</v>
      </c>
      <c r="I57" t="n">
        <v>0.602651414247897</v>
      </c>
      <c r="J57" t="n">
        <v>0.520085883718148</v>
      </c>
      <c r="K57" t="n">
        <v>0.672759780867915</v>
      </c>
      <c r="L57" t="n">
        <v>0.521502718055879</v>
      </c>
      <c r="M57" t="n">
        <v>0.574950254956428</v>
      </c>
      <c r="N57" t="n">
        <v>0.822722525279427</v>
      </c>
      <c r="O57" t="n">
        <v>0.662563302795987</v>
      </c>
      <c r="P57" t="n">
        <v>0.569087622064002</v>
      </c>
      <c r="Q57" t="n">
        <v>0.517701666879765</v>
      </c>
      <c r="R57" t="n">
        <v>0.542815211719705</v>
      </c>
      <c r="S57" t="n">
        <v>0.292683076673041</v>
      </c>
      <c r="T57" t="n">
        <v>0.552797558778611</v>
      </c>
      <c r="U57" t="n">
        <v>0.336401326294636</v>
      </c>
      <c r="V57" t="n">
        <v>0.237166532604355</v>
      </c>
      <c r="W57" t="n">
        <v>0.307232349951663</v>
      </c>
      <c r="X57" t="n">
        <v>0.19832801959794</v>
      </c>
      <c r="Y57" t="n">
        <v>0.325947722548139</v>
      </c>
      <c r="Z57" t="n">
        <v>0.403765572521756</v>
      </c>
      <c r="AA57" t="n">
        <v>0.163994247844388</v>
      </c>
      <c r="AB57" t="n">
        <v>0.166269033081442</v>
      </c>
      <c r="AC57" t="n">
        <v>-0.151210114729006</v>
      </c>
      <c r="AD57" t="n">
        <v>-0.100001790205984</v>
      </c>
      <c r="AE57" t="n">
        <v>-0.576228924047727</v>
      </c>
      <c r="AF57"/>
    </row>
    <row r="58">
      <c r="A58" t="s">
        <v>220</v>
      </c>
      <c r="B58" t="s">
        <v>283</v>
      </c>
      <c r="C58" t="s">
        <v>221</v>
      </c>
      <c r="D58" t="s">
        <v>284</v>
      </c>
      <c r="E58" t="s">
        <v>56</v>
      </c>
      <c r="F58" t="n">
        <v>0.524813478423397</v>
      </c>
      <c r="G58" t="n">
        <v>0.175846496190348</v>
      </c>
      <c r="H58" t="n">
        <v>0.54645717995783</v>
      </c>
      <c r="I58" t="n">
        <v>0.60271359695542</v>
      </c>
      <c r="J58" t="n">
        <v>0.52015756999374</v>
      </c>
      <c r="K58" t="n">
        <v>0.672858384863265</v>
      </c>
      <c r="L58" t="n">
        <v>0.521506350515413</v>
      </c>
      <c r="M58" t="n">
        <v>0.5750965996463</v>
      </c>
      <c r="N58" t="n">
        <v>0.822887849253073</v>
      </c>
      <c r="O58" t="n">
        <v>0.66268475668846</v>
      </c>
      <c r="P58" t="n">
        <v>0.569091834986914</v>
      </c>
      <c r="Q58" t="n">
        <v>0.517905941826762</v>
      </c>
      <c r="R58" t="n">
        <v>0.542969050754582</v>
      </c>
      <c r="S58" t="n">
        <v>0.292861036309537</v>
      </c>
      <c r="T58" t="n">
        <v>0.552777353600321</v>
      </c>
      <c r="U58" t="n">
        <v>0.336382665522525</v>
      </c>
      <c r="V58" t="n">
        <v>0.237249029089356</v>
      </c>
      <c r="W58" t="n">
        <v>0.307339538134886</v>
      </c>
      <c r="X58" t="n">
        <v>0.19834271077561</v>
      </c>
      <c r="Y58" t="n">
        <v>0.325913779334672</v>
      </c>
      <c r="Z58" t="n">
        <v>0.403740818317235</v>
      </c>
      <c r="AA58" t="n">
        <v>0.164027682829908</v>
      </c>
      <c r="AB58" t="n">
        <v>0.166264671888199</v>
      </c>
      <c r="AC58" t="n">
        <v>-0.151182097812473</v>
      </c>
      <c r="AD58" t="n">
        <v>-0.0999907891460566</v>
      </c>
      <c r="AE58" t="n">
        <v>-0.576122081263719</v>
      </c>
      <c r="AF58"/>
    </row>
    <row r="59">
      <c r="A59" t="s">
        <v>222</v>
      </c>
      <c r="B59" t="s">
        <v>283</v>
      </c>
      <c r="C59" t="s">
        <v>223</v>
      </c>
      <c r="D59" t="s">
        <v>284</v>
      </c>
      <c r="E59" t="s">
        <v>56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283</v>
      </c>
      <c r="C2" t="s">
        <v>108</v>
      </c>
      <c r="D2" t="s">
        <v>284</v>
      </c>
      <c r="E2" t="s">
        <v>57</v>
      </c>
      <c r="F2" t="n">
        <v>-1.50095536575357</v>
      </c>
      <c r="G2" t="n">
        <v>-4.44673794324625</v>
      </c>
      <c r="H2" t="n">
        <v>-2.44184578104157</v>
      </c>
      <c r="I2" t="n">
        <v>-4.26509747499784</v>
      </c>
      <c r="J2" t="n">
        <v>-3.05121352969587</v>
      </c>
      <c r="K2" t="n">
        <v>-4.77577600262812</v>
      </c>
      <c r="L2" t="n">
        <v>-3.7081718948849</v>
      </c>
      <c r="M2" t="n">
        <v>-1.84179375557154</v>
      </c>
      <c r="N2" t="n">
        <v>-4.39264911161495</v>
      </c>
      <c r="O2" t="n">
        <v>-1.0380890682603</v>
      </c>
      <c r="P2" t="n">
        <v>-3.42423306671688</v>
      </c>
      <c r="Q2" t="n">
        <v>-5.9057947274793</v>
      </c>
      <c r="R2" t="n">
        <v>-5.96952346044516</v>
      </c>
      <c r="S2" t="n">
        <v>-4.43703257028251</v>
      </c>
      <c r="T2" t="n">
        <v>-3.73371299179526</v>
      </c>
      <c r="U2" t="n">
        <v>-2.50814237332439</v>
      </c>
      <c r="V2" t="n">
        <v>-2.07534612588285</v>
      </c>
      <c r="W2" t="n">
        <v>-1.71065284241844</v>
      </c>
      <c r="X2" t="n">
        <v>-1.19932525956413</v>
      </c>
      <c r="Y2" t="n">
        <v>-2.00892105522063</v>
      </c>
      <c r="Z2" t="n">
        <v>-1.81672950276262</v>
      </c>
      <c r="AA2" t="n">
        <v>-2.49310274281402</v>
      </c>
      <c r="AB2" t="n">
        <v>-0.938373622504256</v>
      </c>
      <c r="AC2" t="n">
        <v>-2.83466110528978</v>
      </c>
      <c r="AD2" t="n">
        <v>-2.01827204871734</v>
      </c>
      <c r="AE2" t="n">
        <v>-0.138606948503728</v>
      </c>
      <c r="AF2"/>
    </row>
    <row r="3">
      <c r="A3" t="s">
        <v>110</v>
      </c>
      <c r="B3" t="s">
        <v>283</v>
      </c>
      <c r="C3" t="s">
        <v>111</v>
      </c>
      <c r="D3" t="s">
        <v>284</v>
      </c>
      <c r="E3" t="s">
        <v>57</v>
      </c>
      <c r="F3" t="n">
        <v>-0.592728485823775</v>
      </c>
      <c r="G3" t="n">
        <v>-1.86314320645931</v>
      </c>
      <c r="H3" t="n">
        <v>-6.53235803479395</v>
      </c>
      <c r="I3" t="n">
        <v>2.4266761339795</v>
      </c>
      <c r="J3" t="n">
        <v>-1.6732753072181</v>
      </c>
      <c r="K3" t="n">
        <v>-0.332539465944862</v>
      </c>
      <c r="L3" t="n">
        <v>-0.677255452582735</v>
      </c>
      <c r="M3" t="n">
        <v>5.24386255301646</v>
      </c>
      <c r="N3" t="n">
        <v>-1.15048538967174</v>
      </c>
      <c r="O3" t="n">
        <v>5.47576705033077</v>
      </c>
      <c r="P3" t="n">
        <v>-1.44185635446216</v>
      </c>
      <c r="Q3" t="n">
        <v>-1.4338170965017</v>
      </c>
      <c r="R3" t="n">
        <v>-0.366924723458118</v>
      </c>
      <c r="S3" t="n">
        <v>10.5772773530999</v>
      </c>
      <c r="T3" t="n">
        <v>-9.6682296017661</v>
      </c>
      <c r="U3" t="n">
        <v>-0.399759670320326</v>
      </c>
      <c r="V3" t="n">
        <v>5.75476118236389</v>
      </c>
      <c r="W3" t="n">
        <v>-0.536490718360836</v>
      </c>
      <c r="X3" t="n">
        <v>1.14937923080951</v>
      </c>
      <c r="Y3" t="n">
        <v>-8.03006515062369</v>
      </c>
      <c r="Z3" t="n">
        <v>-0.0379642671267439</v>
      </c>
      <c r="AA3" t="n">
        <v>7.83733741421205</v>
      </c>
      <c r="AB3" t="n">
        <v>-6.19675337262585</v>
      </c>
      <c r="AC3" t="n">
        <v>6.88760989116369</v>
      </c>
      <c r="AD3" t="n">
        <v>-1.44616209053441</v>
      </c>
      <c r="AE3" t="n">
        <v>-2.07409913545648</v>
      </c>
      <c r="AF3"/>
    </row>
    <row r="4">
      <c r="A4" t="s">
        <v>112</v>
      </c>
      <c r="B4" t="s">
        <v>283</v>
      </c>
      <c r="C4" t="s">
        <v>113</v>
      </c>
      <c r="D4" t="s">
        <v>284</v>
      </c>
      <c r="E4" t="s">
        <v>57</v>
      </c>
      <c r="F4" t="n">
        <v>0.496028516896278</v>
      </c>
      <c r="G4" t="n">
        <v>0.210965967955697</v>
      </c>
      <c r="H4" t="n">
        <v>0.319418855581237</v>
      </c>
      <c r="I4" t="n">
        <v>1.24046301447514</v>
      </c>
      <c r="J4" t="n">
        <v>0.448642822521228</v>
      </c>
      <c r="K4" t="n">
        <v>0.351350034331096</v>
      </c>
      <c r="L4" t="n">
        <v>0.674000423973013</v>
      </c>
      <c r="M4" t="n">
        <v>0.599332569430988</v>
      </c>
      <c r="N4" t="n">
        <v>0.450993038935025</v>
      </c>
      <c r="O4" t="n">
        <v>0.508185478969556</v>
      </c>
      <c r="P4" t="n">
        <v>0.567544213411535</v>
      </c>
      <c r="Q4" t="n">
        <v>-0.0098939636153475</v>
      </c>
      <c r="R4" t="n">
        <v>0.419497417939665</v>
      </c>
      <c r="S4" t="n">
        <v>0.727398502423187</v>
      </c>
      <c r="T4" t="n">
        <v>0.753781386208931</v>
      </c>
      <c r="U4" t="n">
        <v>-0.413580949687656</v>
      </c>
      <c r="V4" t="n">
        <v>-0.230702330626557</v>
      </c>
      <c r="W4" t="n">
        <v>0.0705478330158318</v>
      </c>
      <c r="X4" t="n">
        <v>0.133671329408134</v>
      </c>
      <c r="Y4" t="n">
        <v>-0.12177738623008</v>
      </c>
      <c r="Z4" t="n">
        <v>0.358674684724822</v>
      </c>
      <c r="AA4" t="n">
        <v>0.157450732282568</v>
      </c>
      <c r="AB4" t="n">
        <v>0.178879511260495</v>
      </c>
      <c r="AC4" t="n">
        <v>0.203191054584898</v>
      </c>
      <c r="AD4" t="n">
        <v>0.18575562662924</v>
      </c>
      <c r="AE4" t="n">
        <v>0.270675263982471</v>
      </c>
      <c r="AF4"/>
    </row>
    <row r="5">
      <c r="A5" t="s">
        <v>114</v>
      </c>
      <c r="B5" t="s">
        <v>283</v>
      </c>
      <c r="C5" t="s">
        <v>115</v>
      </c>
      <c r="D5" t="s">
        <v>284</v>
      </c>
      <c r="E5" t="s">
        <v>57</v>
      </c>
      <c r="F5" t="n">
        <v>0.307982525096643</v>
      </c>
      <c r="G5" t="n">
        <v>0.134784644801397</v>
      </c>
      <c r="H5" t="n">
        <v>0.511134506256912</v>
      </c>
      <c r="I5" t="n">
        <v>0.601428491159567</v>
      </c>
      <c r="J5" t="n">
        <v>0.341063619560161</v>
      </c>
      <c r="K5" t="n">
        <v>0.326934473398317</v>
      </c>
      <c r="L5" t="n">
        <v>-0.101307805565701</v>
      </c>
      <c r="M5" t="n">
        <v>0.42359413740421</v>
      </c>
      <c r="N5" t="n">
        <v>0.37606733254394</v>
      </c>
      <c r="O5" t="n">
        <v>0.4845701741583</v>
      </c>
      <c r="P5" t="n">
        <v>0.686916383401042</v>
      </c>
      <c r="Q5" t="n">
        <v>0.243339014088218</v>
      </c>
      <c r="R5" t="n">
        <v>0.465269311437088</v>
      </c>
      <c r="S5" t="n">
        <v>-0.104121150410913</v>
      </c>
      <c r="T5" t="n">
        <v>0.089990023663145</v>
      </c>
      <c r="U5" t="n">
        <v>-0.0777505478757823</v>
      </c>
      <c r="V5" t="n">
        <v>1.22473178910136</v>
      </c>
      <c r="W5" t="n">
        <v>-0.554927924942796</v>
      </c>
      <c r="X5" t="n">
        <v>-0.130206718137966</v>
      </c>
      <c r="Y5" t="n">
        <v>-0.200790192060885</v>
      </c>
      <c r="Z5" t="n">
        <v>0.235223587285933</v>
      </c>
      <c r="AA5" t="n">
        <v>0.251089859620515</v>
      </c>
      <c r="AB5" t="n">
        <v>0.517514683549722</v>
      </c>
      <c r="AC5" t="n">
        <v>0.330633778594108</v>
      </c>
      <c r="AD5" t="n">
        <v>0.235683109213628</v>
      </c>
      <c r="AE5" t="n">
        <v>0.0808919613279891</v>
      </c>
      <c r="AF5"/>
    </row>
    <row r="6">
      <c r="A6" t="s">
        <v>116</v>
      </c>
      <c r="B6" t="s">
        <v>283</v>
      </c>
      <c r="C6" t="s">
        <v>117</v>
      </c>
      <c r="D6" t="s">
        <v>284</v>
      </c>
      <c r="E6" t="s">
        <v>57</v>
      </c>
      <c r="F6" t="n">
        <v>0.338547262065005</v>
      </c>
      <c r="G6" t="n">
        <v>-0.374724832393652</v>
      </c>
      <c r="H6" t="n">
        <v>0.16531367565186</v>
      </c>
      <c r="I6" t="n">
        <v>1.07399886920024</v>
      </c>
      <c r="J6" t="n">
        <v>0.4583581559784</v>
      </c>
      <c r="K6" t="n">
        <v>0.624991567100258</v>
      </c>
      <c r="L6" t="n">
        <v>0.276672311839773</v>
      </c>
      <c r="M6" t="n">
        <v>0.5930963212372</v>
      </c>
      <c r="N6" t="n">
        <v>-0.345495706488971</v>
      </c>
      <c r="O6" t="n">
        <v>0.0648337278569371</v>
      </c>
      <c r="P6" t="n">
        <v>0.354147629850802</v>
      </c>
      <c r="Q6" t="n">
        <v>-0.93027448030755</v>
      </c>
      <c r="R6" t="n">
        <v>-0.126548030471137</v>
      </c>
      <c r="S6" t="n">
        <v>-0.020814940315118</v>
      </c>
      <c r="T6" t="n">
        <v>-0.428413083292615</v>
      </c>
      <c r="U6" t="n">
        <v>-0.281479214224066</v>
      </c>
      <c r="V6" t="n">
        <v>-0.311571923256381</v>
      </c>
      <c r="W6" t="n">
        <v>-0.581811317872234</v>
      </c>
      <c r="X6" t="n">
        <v>0.281441980665672</v>
      </c>
      <c r="Y6" t="n">
        <v>0.0739313686758182</v>
      </c>
      <c r="Z6" t="n">
        <v>0.442871467303647</v>
      </c>
      <c r="AA6" t="n">
        <v>-0.0215819236622246</v>
      </c>
      <c r="AB6" t="n">
        <v>0.174198118051341</v>
      </c>
      <c r="AC6" t="n">
        <v>-0.0595952956246217</v>
      </c>
      <c r="AD6" t="n">
        <v>0.231418789202822</v>
      </c>
      <c r="AE6" t="n">
        <v>1.06979729392355</v>
      </c>
      <c r="AF6"/>
    </row>
    <row r="7">
      <c r="A7" t="s">
        <v>118</v>
      </c>
      <c r="B7" t="s">
        <v>283</v>
      </c>
      <c r="C7" t="s">
        <v>119</v>
      </c>
      <c r="D7" t="s">
        <v>284</v>
      </c>
      <c r="E7" t="s">
        <v>57</v>
      </c>
      <c r="F7" t="n">
        <v>0.106001408640622</v>
      </c>
      <c r="G7" t="n">
        <v>0.10679827540953</v>
      </c>
      <c r="H7" t="n">
        <v>0.624853424880854</v>
      </c>
      <c r="I7" t="n">
        <v>0.840465159698123</v>
      </c>
      <c r="J7" t="n">
        <v>0.180099018067995</v>
      </c>
      <c r="K7" t="n">
        <v>0.174844662861129</v>
      </c>
      <c r="L7" t="n">
        <v>0.0304456026330291</v>
      </c>
      <c r="M7" t="n">
        <v>0.0823266762685108</v>
      </c>
      <c r="N7" t="n">
        <v>-0.0169097142726111</v>
      </c>
      <c r="O7" t="n">
        <v>0.0799169848088298</v>
      </c>
      <c r="P7" t="n">
        <v>0.34560216668626</v>
      </c>
      <c r="Q7" t="n">
        <v>-0.0771025829117625</v>
      </c>
      <c r="R7" t="n">
        <v>0.734964127835497</v>
      </c>
      <c r="S7" t="n">
        <v>0.470959910266417</v>
      </c>
      <c r="T7" t="n">
        <v>0.0920503607494904</v>
      </c>
      <c r="U7" t="n">
        <v>-0.00511429235039309</v>
      </c>
      <c r="V7" t="n">
        <v>-0.43862471979854</v>
      </c>
      <c r="W7" t="n">
        <v>-0.351207644770806</v>
      </c>
      <c r="X7" t="n">
        <v>0.494164499019901</v>
      </c>
      <c r="Y7" t="n">
        <v>0.248473604748844</v>
      </c>
      <c r="Z7" t="n">
        <v>0.326666790064696</v>
      </c>
      <c r="AA7" t="n">
        <v>0.12219404737242</v>
      </c>
      <c r="AB7" t="n">
        <v>-0.0847072736907477</v>
      </c>
      <c r="AC7" t="n">
        <v>-0.0556821325969595</v>
      </c>
      <c r="AD7" t="n">
        <v>-0.136940622271911</v>
      </c>
      <c r="AE7" t="n">
        <v>0.493649702171521</v>
      </c>
      <c r="AF7"/>
    </row>
    <row r="8">
      <c r="A8" t="s">
        <v>120</v>
      </c>
      <c r="B8" t="s">
        <v>283</v>
      </c>
      <c r="C8" t="s">
        <v>121</v>
      </c>
      <c r="D8" t="s">
        <v>284</v>
      </c>
      <c r="E8" t="s">
        <v>57</v>
      </c>
      <c r="F8" t="n">
        <v>1.9065680678404</v>
      </c>
      <c r="G8" t="n">
        <v>0.237883441935283</v>
      </c>
      <c r="H8" t="n">
        <v>-1.86227577680442</v>
      </c>
      <c r="I8" t="n">
        <v>-0.370745093427766</v>
      </c>
      <c r="J8" t="n">
        <v>1.07279866988587</v>
      </c>
      <c r="K8" t="n">
        <v>-0.686155751114593</v>
      </c>
      <c r="L8" t="n">
        <v>-1.86005625734877</v>
      </c>
      <c r="M8" t="n">
        <v>1.03457942575793</v>
      </c>
      <c r="N8" t="n">
        <v>0.987974329677003</v>
      </c>
      <c r="O8" t="n">
        <v>2.59670627532762</v>
      </c>
      <c r="P8" t="n">
        <v>1.30185791172854</v>
      </c>
      <c r="Q8" t="n">
        <v>1.86088937805053</v>
      </c>
      <c r="R8" t="n">
        <v>1.43029160074495</v>
      </c>
      <c r="S8" t="n">
        <v>2.55070527427226</v>
      </c>
      <c r="T8" t="n">
        <v>-0.0392645284388739</v>
      </c>
      <c r="U8" t="n">
        <v>-1.14992560843075</v>
      </c>
      <c r="V8" t="n">
        <v>-5.22637147835765</v>
      </c>
      <c r="W8" t="n">
        <v>0.0932820176309726</v>
      </c>
      <c r="X8" t="n">
        <v>0.0717669568702124</v>
      </c>
      <c r="Y8" t="n">
        <v>-1.6129659902352</v>
      </c>
      <c r="Z8" t="n">
        <v>1.27242098084257</v>
      </c>
      <c r="AA8" t="n">
        <v>-1.21988354415834</v>
      </c>
      <c r="AB8" t="n">
        <v>-0.480253414192657</v>
      </c>
      <c r="AC8" t="n">
        <v>-1.1636492801602</v>
      </c>
      <c r="AD8" t="n">
        <v>-2.24051606827674</v>
      </c>
      <c r="AE8" t="n">
        <v>-2.07249104483076</v>
      </c>
      <c r="AF8"/>
    </row>
    <row r="9">
      <c r="A9" t="s">
        <v>122</v>
      </c>
      <c r="B9" t="s">
        <v>283</v>
      </c>
      <c r="C9" t="s">
        <v>123</v>
      </c>
      <c r="D9" t="s">
        <v>284</v>
      </c>
      <c r="E9" t="s">
        <v>57</v>
      </c>
      <c r="F9" t="n">
        <v>0.384502165562688</v>
      </c>
      <c r="G9" t="n">
        <v>-0.371132608488357</v>
      </c>
      <c r="H9" t="n">
        <v>-0.189144625938841</v>
      </c>
      <c r="I9" t="n">
        <v>1.13077181036148</v>
      </c>
      <c r="J9" t="n">
        <v>0.0660677017907734</v>
      </c>
      <c r="K9" t="n">
        <v>-0.00453577240156089</v>
      </c>
      <c r="L9" t="n">
        <v>0.241083879633415</v>
      </c>
      <c r="M9" t="n">
        <v>0.491400780222839</v>
      </c>
      <c r="N9" t="n">
        <v>0.850908342957754</v>
      </c>
      <c r="O9" t="n">
        <v>0.0141242180578496</v>
      </c>
      <c r="P9" t="n">
        <v>0.156935829603135</v>
      </c>
      <c r="Q9" t="n">
        <v>-0.275265792002071</v>
      </c>
      <c r="R9" t="n">
        <v>0.441324109308251</v>
      </c>
      <c r="S9" t="n">
        <v>0.965569674891207</v>
      </c>
      <c r="T9" t="n">
        <v>0.807407424719416</v>
      </c>
      <c r="U9" t="n">
        <v>0.443862276465072</v>
      </c>
      <c r="V9" t="n">
        <v>-0.540806137854486</v>
      </c>
      <c r="W9" t="n">
        <v>0.0875074681143718</v>
      </c>
      <c r="X9" t="n">
        <v>-0.163995717028883</v>
      </c>
      <c r="Y9" t="n">
        <v>-0.479546120305416</v>
      </c>
      <c r="Z9" t="n">
        <v>-0.56499184043235</v>
      </c>
      <c r="AA9" t="n">
        <v>-0.662747316664336</v>
      </c>
      <c r="AB9" t="n">
        <v>-0.565115318716098</v>
      </c>
      <c r="AC9" t="n">
        <v>-0.0155018417673944</v>
      </c>
      <c r="AD9" t="n">
        <v>0.541836152626421</v>
      </c>
      <c r="AE9" t="n">
        <v>-0.181433997981974</v>
      </c>
      <c r="AF9"/>
    </row>
    <row r="10">
      <c r="A10" t="s">
        <v>124</v>
      </c>
      <c r="B10" t="s">
        <v>283</v>
      </c>
      <c r="C10" t="s">
        <v>125</v>
      </c>
      <c r="D10" t="s">
        <v>284</v>
      </c>
      <c r="E10" t="s">
        <v>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283</v>
      </c>
      <c r="C11" t="s">
        <v>127</v>
      </c>
      <c r="D11" t="s">
        <v>284</v>
      </c>
      <c r="E11" t="s">
        <v>57</v>
      </c>
      <c r="F11" t="n">
        <v>1.24794520182957</v>
      </c>
      <c r="G11" t="n">
        <v>0.390926554787461</v>
      </c>
      <c r="H11" t="n">
        <v>1.11566310396018</v>
      </c>
      <c r="I11" t="n">
        <v>1.62229450316581</v>
      </c>
      <c r="J11" t="n">
        <v>0.0955868743730176</v>
      </c>
      <c r="K11" t="n">
        <v>0.846863629303253</v>
      </c>
      <c r="L11" t="n">
        <v>0.375985067894757</v>
      </c>
      <c r="M11" t="n">
        <v>0.86784617317265</v>
      </c>
      <c r="N11" t="n">
        <v>1.73705392839457</v>
      </c>
      <c r="O11" t="n">
        <v>0.309513200499463</v>
      </c>
      <c r="P11" t="n">
        <v>0.565060370424496</v>
      </c>
      <c r="Q11" t="n">
        <v>0.329440109561779</v>
      </c>
      <c r="R11" t="n">
        <v>1.65111063197574</v>
      </c>
      <c r="S11" t="n">
        <v>0.443372609834226</v>
      </c>
      <c r="T11" t="n">
        <v>0.355900206205408</v>
      </c>
      <c r="U11" t="n">
        <v>-0.16758582779514</v>
      </c>
      <c r="V11" t="n">
        <v>0.759169459379125</v>
      </c>
      <c r="W11" t="n">
        <v>1.43192258375945</v>
      </c>
      <c r="X11" t="n">
        <v>1.86879765409383</v>
      </c>
      <c r="Y11" t="n">
        <v>0.613006610966916</v>
      </c>
      <c r="Z11" t="n">
        <v>0.866668881697048</v>
      </c>
      <c r="AA11" t="n">
        <v>2.24962737410945</v>
      </c>
      <c r="AB11" t="n">
        <v>1.81093391165936</v>
      </c>
      <c r="AC11" t="n">
        <v>0.978613895816827</v>
      </c>
      <c r="AD11" t="n">
        <v>-0.104699054725332</v>
      </c>
      <c r="AE11" t="n">
        <v>0.131136973704662</v>
      </c>
      <c r="AF11"/>
    </row>
    <row r="12">
      <c r="A12" t="s">
        <v>128</v>
      </c>
      <c r="B12" t="s">
        <v>283</v>
      </c>
      <c r="C12" t="s">
        <v>129</v>
      </c>
      <c r="D12" t="s">
        <v>284</v>
      </c>
      <c r="E12" t="s">
        <v>57</v>
      </c>
      <c r="F12" t="n">
        <v>0.390224002374858</v>
      </c>
      <c r="G12" t="n">
        <v>0.243591901751576</v>
      </c>
      <c r="H12" t="n">
        <v>0.393988904451134</v>
      </c>
      <c r="I12" t="n">
        <v>1.3658450669203</v>
      </c>
      <c r="J12" t="n">
        <v>-0.032911188787101</v>
      </c>
      <c r="K12" t="n">
        <v>0.106254613503933</v>
      </c>
      <c r="L12" t="n">
        <v>0.469645596380607</v>
      </c>
      <c r="M12" t="n">
        <v>0.368313449090352</v>
      </c>
      <c r="N12" t="n">
        <v>0.540487838891575</v>
      </c>
      <c r="O12" t="n">
        <v>0.646328734521975</v>
      </c>
      <c r="P12" t="n">
        <v>0.642620429411027</v>
      </c>
      <c r="Q12" t="n">
        <v>0.366444882326679</v>
      </c>
      <c r="R12" t="n">
        <v>-0.0352730113708926</v>
      </c>
      <c r="S12" t="n">
        <v>0.684873473051984</v>
      </c>
      <c r="T12" t="n">
        <v>0.846954973072292</v>
      </c>
      <c r="U12" t="n">
        <v>-0.787950083126194</v>
      </c>
      <c r="V12" t="n">
        <v>-0.55578777969273</v>
      </c>
      <c r="W12" t="n">
        <v>-0.197734520638981</v>
      </c>
      <c r="X12" t="n">
        <v>0.193446286593603</v>
      </c>
      <c r="Y12" t="n">
        <v>-0.177760415080524</v>
      </c>
      <c r="Z12" t="n">
        <v>0.16167109921504</v>
      </c>
      <c r="AA12" t="n">
        <v>-0.191174337536995</v>
      </c>
      <c r="AB12" t="n">
        <v>-0.099540762198871</v>
      </c>
      <c r="AC12" t="n">
        <v>-0.121615217464139</v>
      </c>
      <c r="AD12" t="n">
        <v>-0.0801696843371124</v>
      </c>
      <c r="AE12" t="n">
        <v>0.221867080301494</v>
      </c>
      <c r="AF12"/>
    </row>
    <row r="13">
      <c r="A13" t="s">
        <v>130</v>
      </c>
      <c r="B13" t="s">
        <v>283</v>
      </c>
      <c r="C13" t="s">
        <v>131</v>
      </c>
      <c r="D13" t="s">
        <v>284</v>
      </c>
      <c r="E13" t="s">
        <v>57</v>
      </c>
      <c r="F13" t="n">
        <v>0.0604468191503061</v>
      </c>
      <c r="G13" t="n">
        <v>-0.0027769996957737</v>
      </c>
      <c r="H13" t="n">
        <v>-0.333394564082645</v>
      </c>
      <c r="I13" t="n">
        <v>1.06072138743111</v>
      </c>
      <c r="J13" t="n">
        <v>0.390213582982608</v>
      </c>
      <c r="K13" t="n">
        <v>-0.382085521745357</v>
      </c>
      <c r="L13" t="n">
        <v>0.605723309006628</v>
      </c>
      <c r="M13" t="n">
        <v>0.132029192377903</v>
      </c>
      <c r="N13" t="n">
        <v>-0.0199758167109533</v>
      </c>
      <c r="O13" t="n">
        <v>-0.097145464788132</v>
      </c>
      <c r="P13" t="n">
        <v>-0.244607453025509</v>
      </c>
      <c r="Q13" t="n">
        <v>-0.295528490589428</v>
      </c>
      <c r="R13" t="n">
        <v>0.683459903086086</v>
      </c>
      <c r="S13" t="n">
        <v>0.690194552612416</v>
      </c>
      <c r="T13" t="n">
        <v>1.6152559250965</v>
      </c>
      <c r="U13" t="n">
        <v>-0.0821727707357587</v>
      </c>
      <c r="V13" t="n">
        <v>-0.33338739332899</v>
      </c>
      <c r="W13" t="n">
        <v>-0.277656411705495</v>
      </c>
      <c r="X13" t="n">
        <v>0.0690319262352719</v>
      </c>
      <c r="Y13" t="n">
        <v>-0.24680389002334</v>
      </c>
      <c r="Z13" t="n">
        <v>0.556990724853222</v>
      </c>
      <c r="AA13" t="n">
        <v>-0.151036565987089</v>
      </c>
      <c r="AB13" t="n">
        <v>0.307896109564678</v>
      </c>
      <c r="AC13" t="n">
        <v>-0.0500340524804403</v>
      </c>
      <c r="AD13" t="n">
        <v>0.250445518667948</v>
      </c>
      <c r="AE13" t="n">
        <v>0.315527967413642</v>
      </c>
      <c r="AF13"/>
    </row>
    <row r="14">
      <c r="A14" t="s">
        <v>132</v>
      </c>
      <c r="B14" t="s">
        <v>283</v>
      </c>
      <c r="C14" t="s">
        <v>133</v>
      </c>
      <c r="D14" t="s">
        <v>284</v>
      </c>
      <c r="E14" t="s">
        <v>57</v>
      </c>
      <c r="F14" t="n">
        <v>1.18529876990994</v>
      </c>
      <c r="G14" t="n">
        <v>0.949729841941473</v>
      </c>
      <c r="H14" t="n">
        <v>0.208138109812285</v>
      </c>
      <c r="I14" t="n">
        <v>1.16584673373429</v>
      </c>
      <c r="J14" t="n">
        <v>0.37532956364527</v>
      </c>
      <c r="K14" t="n">
        <v>1.11530171773219</v>
      </c>
      <c r="L14" t="n">
        <v>2.05776686627923</v>
      </c>
      <c r="M14" t="n">
        <v>1.2724276834946</v>
      </c>
      <c r="N14" t="n">
        <v>0.187126230873617</v>
      </c>
      <c r="O14" t="n">
        <v>1.20140337958543</v>
      </c>
      <c r="P14" t="n">
        <v>1.19490999933467</v>
      </c>
      <c r="Q14" t="n">
        <v>0.245956003280865</v>
      </c>
      <c r="R14" t="n">
        <v>-0.162579028297726</v>
      </c>
      <c r="S14" t="n">
        <v>0.992711098848957</v>
      </c>
      <c r="T14" t="n">
        <v>0.945030968669319</v>
      </c>
      <c r="U14" t="n">
        <v>-0.368009678397289</v>
      </c>
      <c r="V14" t="n">
        <v>-0.0778837868763775</v>
      </c>
      <c r="W14" t="n">
        <v>1.74943136522592</v>
      </c>
      <c r="X14" t="n">
        <v>0.394958917830439</v>
      </c>
      <c r="Y14" t="n">
        <v>0.125649661063505</v>
      </c>
      <c r="Z14" t="n">
        <v>0.777675193059554</v>
      </c>
      <c r="AA14" t="n">
        <v>0.0807214100732665</v>
      </c>
      <c r="AB14" t="n">
        <v>0.0280283304360558</v>
      </c>
      <c r="AC14" t="n">
        <v>0.674737610826592</v>
      </c>
      <c r="AD14" t="n">
        <v>0.319127389165795</v>
      </c>
      <c r="AE14" t="n">
        <v>0.287033190968224</v>
      </c>
      <c r="AF14"/>
    </row>
    <row r="15">
      <c r="A15" t="s">
        <v>134</v>
      </c>
      <c r="B15" t="s">
        <v>283</v>
      </c>
      <c r="C15" t="s">
        <v>135</v>
      </c>
      <c r="D15" t="s">
        <v>284</v>
      </c>
      <c r="E15" t="s">
        <v>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283</v>
      </c>
      <c r="C16" t="s">
        <v>137</v>
      </c>
      <c r="D16" t="s">
        <v>284</v>
      </c>
      <c r="E16" t="s">
        <v>57</v>
      </c>
      <c r="F16" t="n">
        <v>1.8603451593913</v>
      </c>
      <c r="G16" t="n">
        <v>1.39920326261231</v>
      </c>
      <c r="H16" t="n">
        <v>0.926669591351112</v>
      </c>
      <c r="I16" t="n">
        <v>1.88195983021537</v>
      </c>
      <c r="J16" t="n">
        <v>0.801149083252358</v>
      </c>
      <c r="K16" t="n">
        <v>0.798006247273685</v>
      </c>
      <c r="L16" t="n">
        <v>1.2474633677164</v>
      </c>
      <c r="M16" t="n">
        <v>1.03611396160576</v>
      </c>
      <c r="N16" t="n">
        <v>1.13137752146238</v>
      </c>
      <c r="O16" t="n">
        <v>0.540189267389236</v>
      </c>
      <c r="P16" t="n">
        <v>-0.276605226822384</v>
      </c>
      <c r="Q16" t="n">
        <v>-0.402072182403482</v>
      </c>
      <c r="R16" t="n">
        <v>0.554200407774677</v>
      </c>
      <c r="S16" t="n">
        <v>0.755952237116477</v>
      </c>
      <c r="T16" t="n">
        <v>0.19574261395764</v>
      </c>
      <c r="U16" t="n">
        <v>-0.743352651765148</v>
      </c>
      <c r="V16" t="n">
        <v>-0.0990915469323865</v>
      </c>
      <c r="W16" t="n">
        <v>0.214802486220172</v>
      </c>
      <c r="X16" t="n">
        <v>-0.0235513023069488</v>
      </c>
      <c r="Y16" t="n">
        <v>-0.354210040346828</v>
      </c>
      <c r="Z16" t="n">
        <v>0.229463620254965</v>
      </c>
      <c r="AA16" t="n">
        <v>0.430052002860835</v>
      </c>
      <c r="AB16" t="n">
        <v>0.817126453473582</v>
      </c>
      <c r="AC16" t="n">
        <v>-0.0663771614780359</v>
      </c>
      <c r="AD16" t="n">
        <v>-0.417310952108114</v>
      </c>
      <c r="AE16" t="n">
        <v>0.0628860543931505</v>
      </c>
      <c r="AF16"/>
    </row>
    <row r="17">
      <c r="A17" t="s">
        <v>138</v>
      </c>
      <c r="B17" t="s">
        <v>283</v>
      </c>
      <c r="C17" t="s">
        <v>139</v>
      </c>
      <c r="D17" t="s">
        <v>284</v>
      </c>
      <c r="E17" t="s">
        <v>57</v>
      </c>
      <c r="F17" t="n">
        <v>0.0724840139826972</v>
      </c>
      <c r="G17" t="n">
        <v>-0.155816441085065</v>
      </c>
      <c r="H17" t="n">
        <v>0.138023295811661</v>
      </c>
      <c r="I17" t="n">
        <v>1.15889976135268</v>
      </c>
      <c r="J17" t="n">
        <v>0.422756388200436</v>
      </c>
      <c r="K17" t="n">
        <v>0.0880642190339764</v>
      </c>
      <c r="L17" t="n">
        <v>0.556951723944248</v>
      </c>
      <c r="M17" t="n">
        <v>0.459706714899768</v>
      </c>
      <c r="N17" t="n">
        <v>0.252152282431357</v>
      </c>
      <c r="O17" t="n">
        <v>0.352659408801191</v>
      </c>
      <c r="P17" t="n">
        <v>0.719093866140559</v>
      </c>
      <c r="Q17" t="n">
        <v>-0.384552963168952</v>
      </c>
      <c r="R17" t="n">
        <v>0.469269107735751</v>
      </c>
      <c r="S17" t="n">
        <v>0.668004072367992</v>
      </c>
      <c r="T17" t="n">
        <v>1.28377653165172</v>
      </c>
      <c r="U17" t="n">
        <v>-0.877818597447489</v>
      </c>
      <c r="V17" t="n">
        <v>-0.380632736490954</v>
      </c>
      <c r="W17" t="n">
        <v>0.123650201687856</v>
      </c>
      <c r="X17" t="n">
        <v>-0.0129704028388518</v>
      </c>
      <c r="Y17" t="n">
        <v>-0.217273319712962</v>
      </c>
      <c r="Z17" t="n">
        <v>0.453096371828765</v>
      </c>
      <c r="AA17" t="n">
        <v>-0.190569622248056</v>
      </c>
      <c r="AB17" t="n">
        <v>-0.69869868891346</v>
      </c>
      <c r="AC17" t="n">
        <v>0.00878453300782537</v>
      </c>
      <c r="AD17" t="n">
        <v>0.0934448329689796</v>
      </c>
      <c r="AE17" t="n">
        <v>-0.35652093418833</v>
      </c>
      <c r="AF17"/>
    </row>
    <row r="18">
      <c r="A18" t="s">
        <v>140</v>
      </c>
      <c r="B18" t="s">
        <v>283</v>
      </c>
      <c r="C18" t="s">
        <v>141</v>
      </c>
      <c r="D18" t="s">
        <v>284</v>
      </c>
      <c r="E18" t="s">
        <v>57</v>
      </c>
      <c r="F18" t="n">
        <v>0.450701482997473</v>
      </c>
      <c r="G18" t="n">
        <v>-0.348713293627868</v>
      </c>
      <c r="H18" t="n">
        <v>0.327197003256512</v>
      </c>
      <c r="I18" t="n">
        <v>2.1376270171789</v>
      </c>
      <c r="J18" t="n">
        <v>0.71963305380938</v>
      </c>
      <c r="K18" t="n">
        <v>0.0307631779461396</v>
      </c>
      <c r="L18" t="n">
        <v>0.108309095118611</v>
      </c>
      <c r="M18" t="n">
        <v>0.156883993372983</v>
      </c>
      <c r="N18" t="n">
        <v>0.767936470557811</v>
      </c>
      <c r="O18" t="n">
        <v>0.324307768952964</v>
      </c>
      <c r="P18" t="n">
        <v>0.628394604747541</v>
      </c>
      <c r="Q18" t="n">
        <v>-0.0695098011751472</v>
      </c>
      <c r="R18" t="n">
        <v>0.533906641714383</v>
      </c>
      <c r="S18" t="n">
        <v>1.22224477672221</v>
      </c>
      <c r="T18" t="n">
        <v>1.24739505286996</v>
      </c>
      <c r="U18" t="n">
        <v>-1.13825409029408</v>
      </c>
      <c r="V18" t="n">
        <v>-1.45936531063887</v>
      </c>
      <c r="W18" t="n">
        <v>-0.0464471915174464</v>
      </c>
      <c r="X18" t="n">
        <v>-0.236173910536674</v>
      </c>
      <c r="Y18" t="n">
        <v>-0.337266664498561</v>
      </c>
      <c r="Z18" t="n">
        <v>-0.16142932483553</v>
      </c>
      <c r="AA18" t="n">
        <v>0.493865807723495</v>
      </c>
      <c r="AB18" t="n">
        <v>0.433626479116733</v>
      </c>
      <c r="AC18" t="n">
        <v>0.251265818437228</v>
      </c>
      <c r="AD18" t="n">
        <v>0.384516713397528</v>
      </c>
      <c r="AE18" t="n">
        <v>0.280778306639765</v>
      </c>
      <c r="AF18"/>
    </row>
    <row r="19">
      <c r="A19" t="s">
        <v>142</v>
      </c>
      <c r="B19" t="s">
        <v>283</v>
      </c>
      <c r="C19" t="s">
        <v>143</v>
      </c>
      <c r="D19" t="s">
        <v>284</v>
      </c>
      <c r="E19" t="s">
        <v>57</v>
      </c>
      <c r="F19" t="n">
        <v>-0.156800043670617</v>
      </c>
      <c r="G19" t="n">
        <v>-0.0217641910594841</v>
      </c>
      <c r="H19" t="n">
        <v>0.467032446055691</v>
      </c>
      <c r="I19" t="n">
        <v>0.812602016774044</v>
      </c>
      <c r="J19" t="n">
        <v>0.763841660697131</v>
      </c>
      <c r="K19" t="n">
        <v>-0.104180403529796</v>
      </c>
      <c r="L19" t="n">
        <v>0.344411411945402</v>
      </c>
      <c r="M19" t="n">
        <v>0.546880656242291</v>
      </c>
      <c r="N19" t="n">
        <v>0.480154639817618</v>
      </c>
      <c r="O19" t="n">
        <v>0.661381157299704</v>
      </c>
      <c r="P19" t="n">
        <v>0.599812491880808</v>
      </c>
      <c r="Q19" t="n">
        <v>0.0933875552503728</v>
      </c>
      <c r="R19" t="n">
        <v>0.189427289610665</v>
      </c>
      <c r="S19" t="n">
        <v>0.18688148561476</v>
      </c>
      <c r="T19" t="n">
        <v>-0.200050694987117</v>
      </c>
      <c r="U19" t="n">
        <v>0.862480361578917</v>
      </c>
      <c r="V19" t="n">
        <v>0.399253324550995</v>
      </c>
      <c r="W19" t="n">
        <v>-0.271237316749824</v>
      </c>
      <c r="X19" t="n">
        <v>0.57588928626097</v>
      </c>
      <c r="Y19" t="n">
        <v>0.222084256905874</v>
      </c>
      <c r="Z19" t="n">
        <v>0.717820671505965</v>
      </c>
      <c r="AA19" t="n">
        <v>0.355977231246654</v>
      </c>
      <c r="AB19" t="n">
        <v>-0.164602870960481</v>
      </c>
      <c r="AC19" t="n">
        <v>-0.361092938323337</v>
      </c>
      <c r="AD19" t="n">
        <v>0.0539493297612698</v>
      </c>
      <c r="AE19" t="n">
        <v>0.827887611625477</v>
      </c>
      <c r="AF19"/>
    </row>
    <row r="20">
      <c r="A20" t="s">
        <v>144</v>
      </c>
      <c r="B20" t="s">
        <v>283</v>
      </c>
      <c r="C20" t="s">
        <v>145</v>
      </c>
      <c r="D20" t="s">
        <v>284</v>
      </c>
      <c r="E20" t="s">
        <v>57</v>
      </c>
      <c r="F20" t="n">
        <v>-1.51798197854607</v>
      </c>
      <c r="G20" t="n">
        <v>11.0578976708376</v>
      </c>
      <c r="H20" t="n">
        <v>7.14436802550419</v>
      </c>
      <c r="I20" t="n">
        <v>0.274331246642338</v>
      </c>
      <c r="J20" t="n">
        <v>1.94511485363812</v>
      </c>
      <c r="K20" t="n">
        <v>5.11132909855252</v>
      </c>
      <c r="L20" t="n">
        <v>3.03705203324818</v>
      </c>
      <c r="M20" t="n">
        <v>-0.00658784094191113</v>
      </c>
      <c r="N20" t="n">
        <v>4.55718117501008</v>
      </c>
      <c r="O20" t="n">
        <v>1.64917469381624</v>
      </c>
      <c r="P20" t="n">
        <v>-9.56895237381929</v>
      </c>
      <c r="Q20" t="n">
        <v>-3.18955822007801</v>
      </c>
      <c r="R20" t="n">
        <v>7.92185103668245</v>
      </c>
      <c r="S20" t="n">
        <v>-0.311939894014343</v>
      </c>
      <c r="T20" t="n">
        <v>-4.80752466851893</v>
      </c>
      <c r="U20" t="n">
        <v>-0.427963650837921</v>
      </c>
      <c r="V20" t="n">
        <v>5.05012506097433</v>
      </c>
      <c r="W20" t="n">
        <v>-1.528140438862</v>
      </c>
      <c r="X20" t="n">
        <v>3.87064728272783</v>
      </c>
      <c r="Y20" t="n">
        <v>1.43052704904547</v>
      </c>
      <c r="Z20" t="n">
        <v>-0.54774290496036</v>
      </c>
      <c r="AA20" t="n">
        <v>-2.64445657242192</v>
      </c>
      <c r="AB20" t="n">
        <v>4.78061445903224</v>
      </c>
      <c r="AC20" t="n">
        <v>-0.326954328700034</v>
      </c>
      <c r="AD20" t="n">
        <v>1.80620613229321</v>
      </c>
      <c r="AE20" t="n">
        <v>-10.3836466122308</v>
      </c>
      <c r="AF20"/>
    </row>
    <row r="21">
      <c r="A21" t="s">
        <v>146</v>
      </c>
      <c r="B21" t="s">
        <v>283</v>
      </c>
      <c r="C21" t="s">
        <v>147</v>
      </c>
      <c r="D21" t="s">
        <v>284</v>
      </c>
      <c r="E21" t="s">
        <v>57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283</v>
      </c>
      <c r="C22" t="s">
        <v>149</v>
      </c>
      <c r="D22" t="s">
        <v>284</v>
      </c>
      <c r="E22" t="s">
        <v>57</v>
      </c>
      <c r="F22" t="n">
        <v>-1.72848889246694</v>
      </c>
      <c r="G22" t="n">
        <v>3.91690946811246</v>
      </c>
      <c r="H22" t="n">
        <v>0.303415982789327</v>
      </c>
      <c r="I22" t="n">
        <v>-1.04276518596282</v>
      </c>
      <c r="J22" t="n">
        <v>-0.109536927471923</v>
      </c>
      <c r="K22" t="n">
        <v>0.837403681941331</v>
      </c>
      <c r="L22" t="n">
        <v>0.411278873221598</v>
      </c>
      <c r="M22" t="n">
        <v>0.6159866757813</v>
      </c>
      <c r="N22" t="n">
        <v>0.84728409543504</v>
      </c>
      <c r="O22" t="n">
        <v>-0.346609011445294</v>
      </c>
      <c r="P22" t="n">
        <v>-4.40627711621605</v>
      </c>
      <c r="Q22" t="n">
        <v>-1.52911963476086</v>
      </c>
      <c r="R22" t="n">
        <v>0.906423846655151</v>
      </c>
      <c r="S22" t="n">
        <v>-1.44668366452605</v>
      </c>
      <c r="T22" t="n">
        <v>-2.7697567719529</v>
      </c>
      <c r="U22" t="n">
        <v>-1.51217752711554</v>
      </c>
      <c r="V22" t="n">
        <v>1.20657455053068</v>
      </c>
      <c r="W22" t="n">
        <v>1.31436966557488</v>
      </c>
      <c r="X22" t="n">
        <v>1.22128720286152</v>
      </c>
      <c r="Y22" t="n">
        <v>0.910202634555595</v>
      </c>
      <c r="Z22" t="n">
        <v>-0.323406896383711</v>
      </c>
      <c r="AA22" t="n">
        <v>0.0756204672688437</v>
      </c>
      <c r="AB22" t="n">
        <v>1.04393406441271</v>
      </c>
      <c r="AC22" t="n">
        <v>-0.529377526191644</v>
      </c>
      <c r="AD22" t="n">
        <v>-0.0753334490774968</v>
      </c>
      <c r="AE22" t="n">
        <v>-1.11226253864571</v>
      </c>
      <c r="AF22"/>
    </row>
    <row r="23">
      <c r="A23" t="s">
        <v>150</v>
      </c>
      <c r="B23" t="s">
        <v>283</v>
      </c>
      <c r="C23" t="s">
        <v>151</v>
      </c>
      <c r="D23" t="s">
        <v>284</v>
      </c>
      <c r="E23" t="s">
        <v>57</v>
      </c>
      <c r="F23" t="n">
        <v>0.197968551138032</v>
      </c>
      <c r="G23" t="n">
        <v>-0.0472048047400348</v>
      </c>
      <c r="H23" t="n">
        <v>0.0675475854333016</v>
      </c>
      <c r="I23" t="n">
        <v>-0.545013615550679</v>
      </c>
      <c r="J23" t="n">
        <v>-0.0712763368054294</v>
      </c>
      <c r="K23" t="n">
        <v>0.0565121574331955</v>
      </c>
      <c r="L23" t="n">
        <v>0.13732174809817</v>
      </c>
      <c r="M23" t="n">
        <v>0.0152587107526961</v>
      </c>
      <c r="N23" t="n">
        <v>-0.194022535012512</v>
      </c>
      <c r="O23" t="n">
        <v>0.0131493526862242</v>
      </c>
      <c r="P23" t="n">
        <v>0.00715235281737184</v>
      </c>
      <c r="Q23" t="n">
        <v>-0.164623419096619</v>
      </c>
      <c r="R23" t="n">
        <v>0.348466092988424</v>
      </c>
      <c r="S23" t="n">
        <v>0.0980207164704913</v>
      </c>
      <c r="T23" t="n">
        <v>0.0480085870687452</v>
      </c>
      <c r="U23" t="n">
        <v>0.381776961144681</v>
      </c>
      <c r="V23" t="n">
        <v>-0.0821676785523242</v>
      </c>
      <c r="W23" t="n">
        <v>0.0654481512590291</v>
      </c>
      <c r="X23" t="n">
        <v>0.479573155764985</v>
      </c>
      <c r="Y23" t="n">
        <v>0.227534787871384</v>
      </c>
      <c r="Z23" t="n">
        <v>0.292143249904072</v>
      </c>
      <c r="AA23" t="n">
        <v>0.19723369686055</v>
      </c>
      <c r="AB23" t="n">
        <v>0.319338515915996</v>
      </c>
      <c r="AC23" t="n">
        <v>0.0676241044521456</v>
      </c>
      <c r="AD23" t="n">
        <v>0.2273030904471</v>
      </c>
      <c r="AE23" t="n">
        <v>0.418634549855198</v>
      </c>
      <c r="AF23"/>
    </row>
    <row r="24">
      <c r="A24" t="s">
        <v>152</v>
      </c>
      <c r="B24" t="s">
        <v>283</v>
      </c>
      <c r="C24" t="s">
        <v>153</v>
      </c>
      <c r="D24" t="s">
        <v>284</v>
      </c>
      <c r="E24" t="s">
        <v>57</v>
      </c>
      <c r="F24" t="n">
        <v>0.393781923182587</v>
      </c>
      <c r="G24" t="n">
        <v>0.174483897021354</v>
      </c>
      <c r="H24" t="n">
        <v>0.169178491086584</v>
      </c>
      <c r="I24" t="n">
        <v>-0.0631242710511957</v>
      </c>
      <c r="J24" t="n">
        <v>0.0638392217975605</v>
      </c>
      <c r="K24" t="n">
        <v>0.35600822185706</v>
      </c>
      <c r="L24" t="n">
        <v>-0.0776407525166272</v>
      </c>
      <c r="M24" t="n">
        <v>0.227498738705915</v>
      </c>
      <c r="N24" t="n">
        <v>-0.124698437855058</v>
      </c>
      <c r="O24" t="n">
        <v>0.145135071394274</v>
      </c>
      <c r="P24" t="n">
        <v>0.219899480759575</v>
      </c>
      <c r="Q24" t="n">
        <v>0.251023375667385</v>
      </c>
      <c r="R24" t="n">
        <v>-0.0742140695467031</v>
      </c>
      <c r="S24" t="n">
        <v>0.0522441939228949</v>
      </c>
      <c r="T24" t="n">
        <v>-0.087158029503455</v>
      </c>
      <c r="U24" t="n">
        <v>-0.397613546966074</v>
      </c>
      <c r="V24" t="n">
        <v>-0.118169470234594</v>
      </c>
      <c r="W24" t="n">
        <v>0.296964927444662</v>
      </c>
      <c r="X24" t="n">
        <v>-0.015667824284595</v>
      </c>
      <c r="Y24" t="n">
        <v>0.235320161286493</v>
      </c>
      <c r="Z24" t="n">
        <v>0.0260863784435839</v>
      </c>
      <c r="AA24" t="n">
        <v>-0.0356054585970165</v>
      </c>
      <c r="AB24" t="n">
        <v>-0.0866815559223046</v>
      </c>
      <c r="AC24" t="n">
        <v>-0.186247904383998</v>
      </c>
      <c r="AD24" t="n">
        <v>0.119560255142531</v>
      </c>
      <c r="AE24" t="n">
        <v>-0.111093147510557</v>
      </c>
      <c r="AF24"/>
    </row>
    <row r="25">
      <c r="A25" t="s">
        <v>154</v>
      </c>
      <c r="B25" t="s">
        <v>283</v>
      </c>
      <c r="C25" t="s">
        <v>155</v>
      </c>
      <c r="D25" t="s">
        <v>284</v>
      </c>
      <c r="E25" t="s">
        <v>57</v>
      </c>
      <c r="F25" t="n">
        <v>1.17275937118028</v>
      </c>
      <c r="G25" t="n">
        <v>1.67806789993948</v>
      </c>
      <c r="H25" t="n">
        <v>1.13433859033946</v>
      </c>
      <c r="I25" t="n">
        <v>-0.305986548971654</v>
      </c>
      <c r="J25" t="n">
        <v>0.86982673238155</v>
      </c>
      <c r="K25" t="n">
        <v>1.49863025055666</v>
      </c>
      <c r="L25" t="n">
        <v>0.480688116767001</v>
      </c>
      <c r="M25" t="n">
        <v>0.0682750531244286</v>
      </c>
      <c r="N25" t="n">
        <v>0.0760528514507283</v>
      </c>
      <c r="O25" t="n">
        <v>0.793344959620153</v>
      </c>
      <c r="P25" t="n">
        <v>0.821627902217375</v>
      </c>
      <c r="Q25" t="n">
        <v>-0.0272614286803744</v>
      </c>
      <c r="R25" t="n">
        <v>-0.157493475062446</v>
      </c>
      <c r="S25" t="n">
        <v>1.30525728954825</v>
      </c>
      <c r="T25" t="n">
        <v>-0.117072447536383</v>
      </c>
      <c r="U25" t="n">
        <v>-1.58688532675293</v>
      </c>
      <c r="V25" t="n">
        <v>-1.38325143028622</v>
      </c>
      <c r="W25" t="n">
        <v>-0.606018552698087</v>
      </c>
      <c r="X25" t="n">
        <v>-0.966254329200679</v>
      </c>
      <c r="Y25" t="n">
        <v>0.329898969456625</v>
      </c>
      <c r="Z25" t="n">
        <v>-0.271293424508369</v>
      </c>
      <c r="AA25" t="n">
        <v>-0.583855192962959</v>
      </c>
      <c r="AB25" t="n">
        <v>-0.380490493791836</v>
      </c>
      <c r="AC25" t="n">
        <v>-0.985388390471822</v>
      </c>
      <c r="AD25" t="n">
        <v>0.516775356908503</v>
      </c>
      <c r="AE25" t="n">
        <v>-0.302887618741341</v>
      </c>
      <c r="AF25"/>
    </row>
    <row r="26">
      <c r="A26" t="s">
        <v>156</v>
      </c>
      <c r="B26" t="s">
        <v>283</v>
      </c>
      <c r="C26" t="s">
        <v>157</v>
      </c>
      <c r="D26" t="s">
        <v>284</v>
      </c>
      <c r="E26" t="s">
        <v>57</v>
      </c>
      <c r="F26" t="n">
        <v>0.42439118733827</v>
      </c>
      <c r="G26" t="n">
        <v>0.229545453144286</v>
      </c>
      <c r="H26" t="n">
        <v>0.515804675136506</v>
      </c>
      <c r="I26" t="n">
        <v>0.26475469284373</v>
      </c>
      <c r="J26" t="n">
        <v>0.276717924100501</v>
      </c>
      <c r="K26" t="n">
        <v>0.459817649080898</v>
      </c>
      <c r="L26" t="n">
        <v>0.172922374383945</v>
      </c>
      <c r="M26" t="n">
        <v>0.495038333242321</v>
      </c>
      <c r="N26" t="n">
        <v>-0.07101391131915</v>
      </c>
      <c r="O26" t="n">
        <v>-0.00190027377028164</v>
      </c>
      <c r="P26" t="n">
        <v>-0.0474149132567449</v>
      </c>
      <c r="Q26" t="n">
        <v>0.202495838042233</v>
      </c>
      <c r="R26" t="n">
        <v>-0.127337477555056</v>
      </c>
      <c r="S26" t="n">
        <v>0.0141588491112421</v>
      </c>
      <c r="T26" t="n">
        <v>0.0625219983599755</v>
      </c>
      <c r="U26" t="n">
        <v>-0.0882645565651396</v>
      </c>
      <c r="V26" t="n">
        <v>-0.0864695298335565</v>
      </c>
      <c r="W26" t="n">
        <v>0.340160422332405</v>
      </c>
      <c r="X26" t="n">
        <v>-0.0297499400679374</v>
      </c>
      <c r="Y26" t="n">
        <v>-0.0429015421271965</v>
      </c>
      <c r="Z26" t="n">
        <v>-0.170544020339589</v>
      </c>
      <c r="AA26" t="n">
        <v>-0.16663975404307</v>
      </c>
      <c r="AB26" t="n">
        <v>-0.120660506145115</v>
      </c>
      <c r="AC26" t="n">
        <v>-0.37889790250902</v>
      </c>
      <c r="AD26" t="n">
        <v>-0.0306024758417029</v>
      </c>
      <c r="AE26" t="n">
        <v>-0.164989189083944</v>
      </c>
      <c r="AF26"/>
    </row>
    <row r="27">
      <c r="A27" t="s">
        <v>158</v>
      </c>
      <c r="B27" t="s">
        <v>283</v>
      </c>
      <c r="C27" t="s">
        <v>159</v>
      </c>
      <c r="D27" t="s">
        <v>284</v>
      </c>
      <c r="E27" t="s">
        <v>57</v>
      </c>
      <c r="F27" t="n">
        <v>0.261410397132045</v>
      </c>
      <c r="G27" t="n">
        <v>-0.0749786655603014</v>
      </c>
      <c r="H27" t="n">
        <v>-0.389032476848413</v>
      </c>
      <c r="I27" t="n">
        <v>-0.393691961453493</v>
      </c>
      <c r="J27" t="n">
        <v>-0.242717873844765</v>
      </c>
      <c r="K27" t="n">
        <v>0.214711202232289</v>
      </c>
      <c r="L27" t="n">
        <v>-0.299340170231232</v>
      </c>
      <c r="M27" t="n">
        <v>0.0747508850178973</v>
      </c>
      <c r="N27" t="n">
        <v>-0.136496874935155</v>
      </c>
      <c r="O27" t="n">
        <v>0.285894938398527</v>
      </c>
      <c r="P27" t="n">
        <v>0.435235019047535</v>
      </c>
      <c r="Q27" t="n">
        <v>0.363506820171563</v>
      </c>
      <c r="R27" t="n">
        <v>-0.0272800892492554</v>
      </c>
      <c r="S27" t="n">
        <v>-0.100629420271415</v>
      </c>
      <c r="T27" t="n">
        <v>-0.229435223288022</v>
      </c>
      <c r="U27" t="n">
        <v>-0.481821919640152</v>
      </c>
      <c r="V27" t="n">
        <v>0.00812317849512741</v>
      </c>
      <c r="W27" t="n">
        <v>0.400934298918151</v>
      </c>
      <c r="X27" t="n">
        <v>0.135294297095022</v>
      </c>
      <c r="Y27" t="n">
        <v>0.482296363542117</v>
      </c>
      <c r="Z27" t="n">
        <v>0.249302048714893</v>
      </c>
      <c r="AA27" t="n">
        <v>0.166447095184202</v>
      </c>
      <c r="AB27" t="n">
        <v>-0.0163996178127907</v>
      </c>
      <c r="AC27" t="n">
        <v>0.0836101849988744</v>
      </c>
      <c r="AD27" t="n">
        <v>0.27099167890166</v>
      </c>
      <c r="AE27" t="n">
        <v>-0.0238829019679626</v>
      </c>
      <c r="AF27"/>
    </row>
    <row r="28">
      <c r="A28" t="s">
        <v>160</v>
      </c>
      <c r="B28" t="s">
        <v>283</v>
      </c>
      <c r="C28" t="s">
        <v>161</v>
      </c>
      <c r="D28" t="s">
        <v>284</v>
      </c>
      <c r="E28" t="s">
        <v>57</v>
      </c>
      <c r="F28" t="n">
        <v>-0.244818265889897</v>
      </c>
      <c r="G28" t="n">
        <v>-0.246701998796428</v>
      </c>
      <c r="H28" t="n">
        <v>0.457345443343401</v>
      </c>
      <c r="I28" t="n">
        <v>0.246864207541336</v>
      </c>
      <c r="J28" t="n">
        <v>0.0379765503144693</v>
      </c>
      <c r="K28" t="n">
        <v>-0.439000947688541</v>
      </c>
      <c r="L28" t="n">
        <v>0.27585186900431</v>
      </c>
      <c r="M28" t="n">
        <v>-0.168363007307091</v>
      </c>
      <c r="N28" t="n">
        <v>0.609160452836371</v>
      </c>
      <c r="O28" t="n">
        <v>0.283528072393066</v>
      </c>
      <c r="P28" t="n">
        <v>1.20508902108187</v>
      </c>
      <c r="Q28" t="n">
        <v>-0.847822502456194</v>
      </c>
      <c r="R28" t="n">
        <v>0.347015965750439</v>
      </c>
      <c r="S28" t="n">
        <v>0.861436953130375</v>
      </c>
      <c r="T28" t="n">
        <v>-0.335725381662093</v>
      </c>
      <c r="U28" t="n">
        <v>-0.232315862119136</v>
      </c>
      <c r="V28" t="n">
        <v>-0.0423788897216315</v>
      </c>
      <c r="W28" t="n">
        <v>0.955988910222586</v>
      </c>
      <c r="X28" t="n">
        <v>-0.620782938958755</v>
      </c>
      <c r="Y28" t="n">
        <v>0.310831176956153</v>
      </c>
      <c r="Z28" t="n">
        <v>0.262399302832442</v>
      </c>
      <c r="AA28" t="n">
        <v>0.0950973692279338</v>
      </c>
      <c r="AB28" t="n">
        <v>0.120627408775513</v>
      </c>
      <c r="AC28" t="n">
        <v>0.254021263680493</v>
      </c>
      <c r="AD28" t="n">
        <v>0.32645244088586</v>
      </c>
      <c r="AE28" t="n">
        <v>-0.0362667389661637</v>
      </c>
      <c r="AF28"/>
    </row>
    <row r="29">
      <c r="A29" t="s">
        <v>162</v>
      </c>
      <c r="B29" t="s">
        <v>283</v>
      </c>
      <c r="C29" t="s">
        <v>163</v>
      </c>
      <c r="D29" t="s">
        <v>284</v>
      </c>
      <c r="E29" t="s">
        <v>57</v>
      </c>
      <c r="F29" t="n">
        <v>0.0607963185149949</v>
      </c>
      <c r="G29" t="n">
        <v>-0.192471516984957</v>
      </c>
      <c r="H29" t="n">
        <v>0.6166744393342</v>
      </c>
      <c r="I29" t="n">
        <v>0.0199036596671912</v>
      </c>
      <c r="J29" t="n">
        <v>-0.322374330190083</v>
      </c>
      <c r="K29" t="n">
        <v>-0.306106259885003</v>
      </c>
      <c r="L29" t="n">
        <v>0.072111527004149</v>
      </c>
      <c r="M29" t="n">
        <v>-0.363417480552631</v>
      </c>
      <c r="N29" t="n">
        <v>0.0836545562509625</v>
      </c>
      <c r="O29" t="n">
        <v>-0.0349047255653889</v>
      </c>
      <c r="P29" t="n">
        <v>1.05770585255269</v>
      </c>
      <c r="Q29" t="n">
        <v>-0.719816793560527</v>
      </c>
      <c r="R29" t="n">
        <v>-0.225061366753204</v>
      </c>
      <c r="S29" t="n">
        <v>0.384020566999134</v>
      </c>
      <c r="T29" t="n">
        <v>-0.565911070900307</v>
      </c>
      <c r="U29" t="n">
        <v>-0.274685071220524</v>
      </c>
      <c r="V29" t="n">
        <v>-0.10601211037639</v>
      </c>
      <c r="W29" t="n">
        <v>0.546786123602947</v>
      </c>
      <c r="X29" t="n">
        <v>-0.562630028030756</v>
      </c>
      <c r="Y29" t="n">
        <v>0.304322212262907</v>
      </c>
      <c r="Z29" t="n">
        <v>0.170349113082215</v>
      </c>
      <c r="AA29" t="n">
        <v>-0.0659206588789288</v>
      </c>
      <c r="AB29" t="n">
        <v>-0.16866283525502</v>
      </c>
      <c r="AC29" t="n">
        <v>0.354953263045579</v>
      </c>
      <c r="AD29" t="n">
        <v>0.589122889259409</v>
      </c>
      <c r="AE29" t="n">
        <v>-0.214135558295321</v>
      </c>
      <c r="AF29"/>
    </row>
    <row r="30">
      <c r="A30" t="s">
        <v>164</v>
      </c>
      <c r="B30" t="s">
        <v>283</v>
      </c>
      <c r="C30" t="s">
        <v>165</v>
      </c>
      <c r="D30" t="s">
        <v>284</v>
      </c>
      <c r="E30" t="s">
        <v>57</v>
      </c>
      <c r="F30" t="n">
        <v>-4.43457291222563</v>
      </c>
      <c r="G30" t="n">
        <v>-2.51957674349921</v>
      </c>
      <c r="H30" t="n">
        <v>-0.7038512482556</v>
      </c>
      <c r="I30" t="n">
        <v>0.973017465935763</v>
      </c>
      <c r="J30" t="n">
        <v>0.852227548619547</v>
      </c>
      <c r="K30" t="n">
        <v>-1.68121242021615</v>
      </c>
      <c r="L30" t="n">
        <v>1.29055047289163</v>
      </c>
      <c r="M30" t="n">
        <v>2.52415586327451</v>
      </c>
      <c r="N30" t="n">
        <v>4.72845923775643</v>
      </c>
      <c r="O30" t="n">
        <v>3.60213712023507</v>
      </c>
      <c r="P30" t="n">
        <v>-0.450849436991198</v>
      </c>
      <c r="Q30" t="n">
        <v>-3.30811310356185</v>
      </c>
      <c r="R30" t="n">
        <v>-1.05408055366282</v>
      </c>
      <c r="S30" t="n">
        <v>1.57951678148538</v>
      </c>
      <c r="T30" t="n">
        <v>1.18611552186381</v>
      </c>
      <c r="U30" t="n">
        <v>-0.25575111902223</v>
      </c>
      <c r="V30" t="n">
        <v>1.33497022245752</v>
      </c>
      <c r="W30" t="n">
        <v>1.71668352705843</v>
      </c>
      <c r="X30" t="n">
        <v>-1.5546096981619</v>
      </c>
      <c r="Y30" t="n">
        <v>-0.673180734491332</v>
      </c>
      <c r="Z30" t="n">
        <v>2.12277549859482</v>
      </c>
      <c r="AA30" t="n">
        <v>3.51360575592271</v>
      </c>
      <c r="AB30" t="n">
        <v>1.58444261215711</v>
      </c>
      <c r="AC30" t="n">
        <v>-0.221653868376796</v>
      </c>
      <c r="AD30" t="n">
        <v>-0.560945832592432</v>
      </c>
      <c r="AE30" t="n">
        <v>2.59476872932665</v>
      </c>
      <c r="AF30"/>
    </row>
    <row r="31">
      <c r="A31" t="s">
        <v>166</v>
      </c>
      <c r="B31" t="s">
        <v>283</v>
      </c>
      <c r="C31" t="s">
        <v>167</v>
      </c>
      <c r="D31" t="s">
        <v>284</v>
      </c>
      <c r="E31" t="s">
        <v>57</v>
      </c>
      <c r="F31" t="n">
        <v>-2.29352769561246</v>
      </c>
      <c r="G31" t="n">
        <v>-1.77904618769054</v>
      </c>
      <c r="H31" t="n">
        <v>3.77101462733404</v>
      </c>
      <c r="I31" t="n">
        <v>2.07617134262581</v>
      </c>
      <c r="J31" t="n">
        <v>1.02228745262613</v>
      </c>
      <c r="K31" t="n">
        <v>-1.79697489935974</v>
      </c>
      <c r="L31" t="n">
        <v>-0.715266623062858</v>
      </c>
      <c r="M31" t="n">
        <v>-0.892451973837692</v>
      </c>
      <c r="N31" t="n">
        <v>2.51794518827628</v>
      </c>
      <c r="O31" t="n">
        <v>2.64513417272568</v>
      </c>
      <c r="P31" t="n">
        <v>5.89888467282006</v>
      </c>
      <c r="Q31" t="n">
        <v>1.67750741702145</v>
      </c>
      <c r="R31" t="n">
        <v>3.66457765761296</v>
      </c>
      <c r="S31" t="n">
        <v>6.84789653874931</v>
      </c>
      <c r="T31" t="n">
        <v>-0.224167765678899</v>
      </c>
      <c r="U31" t="n">
        <v>-0.646554093226394</v>
      </c>
      <c r="V31" t="n">
        <v>-4.32041034048332</v>
      </c>
      <c r="W31" t="n">
        <v>0.391004033046122</v>
      </c>
      <c r="X31" t="n">
        <v>4.59284521812016</v>
      </c>
      <c r="Y31" t="n">
        <v>5.40311715315388</v>
      </c>
      <c r="Z31" t="n">
        <v>1.80642788940293</v>
      </c>
      <c r="AA31" t="n">
        <v>1.99947195559476</v>
      </c>
      <c r="AB31" t="n">
        <v>1.91730268249764</v>
      </c>
      <c r="AC31" t="n">
        <v>-0.195857110669667</v>
      </c>
      <c r="AD31" t="n">
        <v>0.715391572725488</v>
      </c>
      <c r="AE31" t="n">
        <v>2.47020484096395</v>
      </c>
      <c r="AF31"/>
    </row>
    <row r="32">
      <c r="A32" t="s">
        <v>168</v>
      </c>
      <c r="B32" t="s">
        <v>283</v>
      </c>
      <c r="C32" t="s">
        <v>169</v>
      </c>
      <c r="D32" t="s">
        <v>284</v>
      </c>
      <c r="E32" t="s">
        <v>57</v>
      </c>
      <c r="F32" t="n">
        <v>1.08201850484139</v>
      </c>
      <c r="G32" t="n">
        <v>1.39192692501027</v>
      </c>
      <c r="H32" t="n">
        <v>1.31401464914014</v>
      </c>
      <c r="I32" t="n">
        <v>2.27205268055851</v>
      </c>
      <c r="J32" t="n">
        <v>2.69372682560739</v>
      </c>
      <c r="K32" t="n">
        <v>-1.03023129586606</v>
      </c>
      <c r="L32" t="n">
        <v>0.156639614968703</v>
      </c>
      <c r="M32" t="n">
        <v>0.142247166557545</v>
      </c>
      <c r="N32" t="n">
        <v>1.67022005457583</v>
      </c>
      <c r="O32" t="n">
        <v>1.33668565731705</v>
      </c>
      <c r="P32" t="n">
        <v>1.00496896369932</v>
      </c>
      <c r="Q32" t="n">
        <v>-2.71850445198254</v>
      </c>
      <c r="R32" t="n">
        <v>-1.12577536558524</v>
      </c>
      <c r="S32" t="n">
        <v>0.303405865525867</v>
      </c>
      <c r="T32" t="n">
        <v>-1.23474745798525</v>
      </c>
      <c r="U32" t="n">
        <v>1.16047485518339</v>
      </c>
      <c r="V32" t="n">
        <v>1.71430516847093</v>
      </c>
      <c r="W32" t="n">
        <v>2.79452081331521</v>
      </c>
      <c r="X32" t="n">
        <v>-2.40549547475763</v>
      </c>
      <c r="Y32" t="n">
        <v>-0.0411504748048617</v>
      </c>
      <c r="Z32" t="n">
        <v>0.0259580573692674</v>
      </c>
      <c r="AA32" t="n">
        <v>-0.596490417421092</v>
      </c>
      <c r="AB32" t="n">
        <v>-0.34763217204506</v>
      </c>
      <c r="AC32" t="n">
        <v>-0.128690872023205</v>
      </c>
      <c r="AD32" t="n">
        <v>-1.77241539587825</v>
      </c>
      <c r="AE32" t="n">
        <v>0.29094855711497</v>
      </c>
      <c r="AF32"/>
    </row>
    <row r="33">
      <c r="A33" t="s">
        <v>170</v>
      </c>
      <c r="B33" t="s">
        <v>283</v>
      </c>
      <c r="C33" t="s">
        <v>171</v>
      </c>
      <c r="D33" t="s">
        <v>284</v>
      </c>
      <c r="E33" t="s">
        <v>57</v>
      </c>
      <c r="F33" t="n">
        <v>0.861885909823058</v>
      </c>
      <c r="G33" t="n">
        <v>0.767630738827212</v>
      </c>
      <c r="H33" t="n">
        <v>0.820385785444562</v>
      </c>
      <c r="I33" t="n">
        <v>0.517578428594759</v>
      </c>
      <c r="J33" t="n">
        <v>0.740320066698589</v>
      </c>
      <c r="K33" t="n">
        <v>0.233804739793187</v>
      </c>
      <c r="L33" t="n">
        <v>0.676117405013382</v>
      </c>
      <c r="M33" t="n">
        <v>0.21352726751472</v>
      </c>
      <c r="N33" t="n">
        <v>0.189960485719028</v>
      </c>
      <c r="O33" t="n">
        <v>-0.190011618344415</v>
      </c>
      <c r="P33" t="n">
        <v>0.302376591250482</v>
      </c>
      <c r="Q33" t="n">
        <v>0.436351324237492</v>
      </c>
      <c r="R33" t="n">
        <v>3.64652186771344</v>
      </c>
      <c r="S33" t="n">
        <v>-0.597407767573238</v>
      </c>
      <c r="T33" t="n">
        <v>-0.965490661208109</v>
      </c>
      <c r="U33" t="n">
        <v>-0.990234210423788</v>
      </c>
      <c r="V33" t="n">
        <v>-0.402182101302856</v>
      </c>
      <c r="W33" t="n">
        <v>0.498734731866242</v>
      </c>
      <c r="X33" t="n">
        <v>-0.723759161239846</v>
      </c>
      <c r="Y33" t="n">
        <v>-0.459147165251997</v>
      </c>
      <c r="Z33" t="n">
        <v>0.20029195416429</v>
      </c>
      <c r="AA33" t="n">
        <v>-0.303008390007768</v>
      </c>
      <c r="AB33" t="n">
        <v>-0.233684928118104</v>
      </c>
      <c r="AC33" t="n">
        <v>-0.615222604550886</v>
      </c>
      <c r="AD33" t="n">
        <v>-0.268988100561304</v>
      </c>
      <c r="AE33" t="n">
        <v>-0.452464724749221</v>
      </c>
      <c r="AF33"/>
    </row>
    <row r="34">
      <c r="A34" t="s">
        <v>172</v>
      </c>
      <c r="B34" t="s">
        <v>283</v>
      </c>
      <c r="C34" t="s">
        <v>173</v>
      </c>
      <c r="D34" t="s">
        <v>284</v>
      </c>
      <c r="E34" t="s">
        <v>57</v>
      </c>
      <c r="F34" t="n">
        <v>-0.15526893653344</v>
      </c>
      <c r="G34" t="n">
        <v>-0.0414224490082798</v>
      </c>
      <c r="H34" t="n">
        <v>-0.0623931354646044</v>
      </c>
      <c r="I34" t="n">
        <v>-0.300129212736375</v>
      </c>
      <c r="J34" t="n">
        <v>-0.103148951472365</v>
      </c>
      <c r="K34" t="n">
        <v>0.0422337635329283</v>
      </c>
      <c r="L34" t="n">
        <v>-0.36582883487413</v>
      </c>
      <c r="M34" t="n">
        <v>-0.102848329331324</v>
      </c>
      <c r="N34" t="n">
        <v>-0.300759466501837</v>
      </c>
      <c r="O34" t="n">
        <v>-0.0329787368021325</v>
      </c>
      <c r="P34" t="n">
        <v>-0.851186799904829</v>
      </c>
      <c r="Q34" t="n">
        <v>0.575092734196366</v>
      </c>
      <c r="R34" t="n">
        <v>0.366614548019152</v>
      </c>
      <c r="S34" t="n">
        <v>0.0989691278037584</v>
      </c>
      <c r="T34" t="n">
        <v>-1.04565067808266</v>
      </c>
      <c r="U34" t="n">
        <v>-0.696663540860263</v>
      </c>
      <c r="V34" t="n">
        <v>0.00135438693922323</v>
      </c>
      <c r="W34" t="n">
        <v>-0.117418729424393</v>
      </c>
      <c r="X34" t="n">
        <v>-1.28344676223307</v>
      </c>
      <c r="Y34" t="n">
        <v>-0.398086308255887</v>
      </c>
      <c r="Z34" t="n">
        <v>0.0640744849564402</v>
      </c>
      <c r="AA34" t="n">
        <v>-0.741801125095609</v>
      </c>
      <c r="AB34" t="n">
        <v>-0.483696487139613</v>
      </c>
      <c r="AC34" t="n">
        <v>-0.991892596278167</v>
      </c>
      <c r="AD34" t="n">
        <v>-0.582285426029574</v>
      </c>
      <c r="AE34" t="n">
        <v>0.276978560421311</v>
      </c>
      <c r="AF34"/>
    </row>
    <row r="35">
      <c r="A35" t="s">
        <v>174</v>
      </c>
      <c r="B35" t="s">
        <v>283</v>
      </c>
      <c r="C35" t="s">
        <v>175</v>
      </c>
      <c r="D35" t="s">
        <v>284</v>
      </c>
      <c r="E35" t="s">
        <v>57</v>
      </c>
      <c r="F35" t="n">
        <v>0.474904132493574</v>
      </c>
      <c r="G35" t="n">
        <v>0.472939905964986</v>
      </c>
      <c r="H35" t="n">
        <v>0.448733179433757</v>
      </c>
      <c r="I35" t="n">
        <v>0.233416798272637</v>
      </c>
      <c r="J35" t="n">
        <v>0.515778948029578</v>
      </c>
      <c r="K35" t="n">
        <v>-0.145959718650196</v>
      </c>
      <c r="L35" t="n">
        <v>0.364102001925168</v>
      </c>
      <c r="M35" t="n">
        <v>0.587505965934253</v>
      </c>
      <c r="N35" t="n">
        <v>0.170651692883541</v>
      </c>
      <c r="O35" t="n">
        <v>0.00397649391903693</v>
      </c>
      <c r="P35" t="n">
        <v>-0.645414139897591</v>
      </c>
      <c r="Q35" t="n">
        <v>-0.338836558467243</v>
      </c>
      <c r="R35" t="n">
        <v>-0.135116767975325</v>
      </c>
      <c r="S35" t="n">
        <v>-0.349090528992811</v>
      </c>
      <c r="T35" t="n">
        <v>0.08257056014433</v>
      </c>
      <c r="U35" t="n">
        <v>-0.284179595316474</v>
      </c>
      <c r="V35" t="n">
        <v>0.0307799625238896</v>
      </c>
      <c r="W35" t="n">
        <v>0.668845330467862</v>
      </c>
      <c r="X35" t="n">
        <v>-0.214351098084149</v>
      </c>
      <c r="Y35" t="n">
        <v>-0.176215453224877</v>
      </c>
      <c r="Z35" t="n">
        <v>-0.184864593221778</v>
      </c>
      <c r="AA35" t="n">
        <v>-0.323402288861593</v>
      </c>
      <c r="AB35" t="n">
        <v>-0.129038589656378</v>
      </c>
      <c r="AC35" t="n">
        <v>-0.314006448123959</v>
      </c>
      <c r="AD35" t="n">
        <v>-0.16777398344023</v>
      </c>
      <c r="AE35" t="n">
        <v>-0.154745104041476</v>
      </c>
      <c r="AF35"/>
    </row>
    <row r="36">
      <c r="A36" t="s">
        <v>176</v>
      </c>
      <c r="B36" t="s">
        <v>283</v>
      </c>
      <c r="C36" t="s">
        <v>177</v>
      </c>
      <c r="D36" t="s">
        <v>284</v>
      </c>
      <c r="E36" t="s">
        <v>57</v>
      </c>
      <c r="F36" t="n">
        <v>1.0900214778498</v>
      </c>
      <c r="G36" t="n">
        <v>1.76195569011009</v>
      </c>
      <c r="H36" t="n">
        <v>1.12618095212664</v>
      </c>
      <c r="I36" t="n">
        <v>0.924048729134217</v>
      </c>
      <c r="J36" t="n">
        <v>1.0388817295059</v>
      </c>
      <c r="K36" t="n">
        <v>0.450944228226659</v>
      </c>
      <c r="L36" t="n">
        <v>0.906333680525672</v>
      </c>
      <c r="M36" t="n">
        <v>0.989382267520729</v>
      </c>
      <c r="N36" t="n">
        <v>1.13699022015493</v>
      </c>
      <c r="O36" t="n">
        <v>0.27103425993666</v>
      </c>
      <c r="P36" t="n">
        <v>0.157157681062659</v>
      </c>
      <c r="Q36" t="n">
        <v>0.451714941311495</v>
      </c>
      <c r="R36" t="n">
        <v>-0.194764047284156</v>
      </c>
      <c r="S36" t="n">
        <v>-0.636533655245987</v>
      </c>
      <c r="T36" t="n">
        <v>-0.137089685543921</v>
      </c>
      <c r="U36" t="n">
        <v>-0.151978183024585</v>
      </c>
      <c r="V36" t="n">
        <v>-0.0528654576192929</v>
      </c>
      <c r="W36" t="n">
        <v>1.56335719750869</v>
      </c>
      <c r="X36" t="n">
        <v>0.150585215161666</v>
      </c>
      <c r="Y36" t="n">
        <v>-0.16283327822058</v>
      </c>
      <c r="Z36" t="n">
        <v>-0.389049391564898</v>
      </c>
      <c r="AA36" t="n">
        <v>-0.178853077975835</v>
      </c>
      <c r="AB36" t="n">
        <v>-0.313892382611376</v>
      </c>
      <c r="AC36" t="n">
        <v>-0.580595687725537</v>
      </c>
      <c r="AD36" t="n">
        <v>-0.269270927425049</v>
      </c>
      <c r="AE36" t="n">
        <v>-0.166771022288196</v>
      </c>
      <c r="AF36"/>
    </row>
    <row r="37">
      <c r="A37" t="s">
        <v>178</v>
      </c>
      <c r="B37" t="s">
        <v>283</v>
      </c>
      <c r="C37" t="s">
        <v>179</v>
      </c>
      <c r="D37" t="s">
        <v>284</v>
      </c>
      <c r="E37" t="s">
        <v>57</v>
      </c>
      <c r="F37" t="n">
        <v>0.572397667326104</v>
      </c>
      <c r="G37" t="n">
        <v>-1.81859047768293</v>
      </c>
      <c r="H37" t="n">
        <v>2.18584963563303</v>
      </c>
      <c r="I37" t="n">
        <v>2.16529621733466</v>
      </c>
      <c r="J37" t="n">
        <v>0.548598802357964</v>
      </c>
      <c r="K37" t="n">
        <v>-3.09939828440009</v>
      </c>
      <c r="L37" t="n">
        <v>0.64708153815806</v>
      </c>
      <c r="M37" t="n">
        <v>2.30175781037288</v>
      </c>
      <c r="N37" t="n">
        <v>1.80771902447562</v>
      </c>
      <c r="O37" t="n">
        <v>2.10350383715202</v>
      </c>
      <c r="P37" t="n">
        <v>-2.36514506278678</v>
      </c>
      <c r="Q37" t="n">
        <v>-2.33246544450464</v>
      </c>
      <c r="R37" t="n">
        <v>0.594609169485301</v>
      </c>
      <c r="S37" t="n">
        <v>-0.213891283168042</v>
      </c>
      <c r="T37" t="n">
        <v>1.39710516161478</v>
      </c>
      <c r="U37" t="n">
        <v>-0.532639674936363</v>
      </c>
      <c r="V37" t="n">
        <v>0.44700049651083</v>
      </c>
      <c r="W37" t="n">
        <v>1.30321315705111</v>
      </c>
      <c r="X37" t="n">
        <v>-1.53988141459313</v>
      </c>
      <c r="Y37" t="n">
        <v>0.683454704337495</v>
      </c>
      <c r="Z37" t="n">
        <v>-0.0426557217091429</v>
      </c>
      <c r="AA37" t="n">
        <v>-2.73874344060498</v>
      </c>
      <c r="AB37" t="n">
        <v>-0.386601589838218</v>
      </c>
      <c r="AC37" t="n">
        <v>-1.86380072325865</v>
      </c>
      <c r="AD37" t="n">
        <v>-0.467523541363074</v>
      </c>
      <c r="AE37" t="n">
        <v>-0.475729510361447</v>
      </c>
      <c r="AF37"/>
    </row>
    <row r="38">
      <c r="A38" t="s">
        <v>180</v>
      </c>
      <c r="B38" t="s">
        <v>283</v>
      </c>
      <c r="C38" t="s">
        <v>181</v>
      </c>
      <c r="D38" t="s">
        <v>284</v>
      </c>
      <c r="E38" t="s">
        <v>57</v>
      </c>
      <c r="F38" t="n">
        <v>-0.20479433094169</v>
      </c>
      <c r="G38" t="n">
        <v>-0.219793979003285</v>
      </c>
      <c r="H38" t="n">
        <v>-0.35032940959853</v>
      </c>
      <c r="I38" t="n">
        <v>-0.420047258497348</v>
      </c>
      <c r="J38" t="n">
        <v>-0.0452015209022359</v>
      </c>
      <c r="K38" t="n">
        <v>-0.0152648597570823</v>
      </c>
      <c r="L38" t="n">
        <v>0.132196114913127</v>
      </c>
      <c r="M38" t="n">
        <v>0.214769560680558</v>
      </c>
      <c r="N38" t="n">
        <v>-0.0529106650594037</v>
      </c>
      <c r="O38" t="n">
        <v>-0.0311587003315355</v>
      </c>
      <c r="P38" t="n">
        <v>-0.390939877106814</v>
      </c>
      <c r="Q38" t="n">
        <v>-0.210680392384887</v>
      </c>
      <c r="R38" t="n">
        <v>-0.254826096534275</v>
      </c>
      <c r="S38" t="n">
        <v>-0.219131447561422</v>
      </c>
      <c r="T38" t="n">
        <v>-0.144803417181765</v>
      </c>
      <c r="U38" t="n">
        <v>-0.182933034957855</v>
      </c>
      <c r="V38" t="n">
        <v>-0.114149517942134</v>
      </c>
      <c r="W38" t="n">
        <v>-0.0319772138095731</v>
      </c>
      <c r="X38" t="n">
        <v>-0.153112365532438</v>
      </c>
      <c r="Y38" t="n">
        <v>-0.123803008083934</v>
      </c>
      <c r="Z38" t="n">
        <v>-0.0108764633190134</v>
      </c>
      <c r="AA38" t="n">
        <v>-0.0673262385785941</v>
      </c>
      <c r="AB38" t="n">
        <v>-0.0254490956983216</v>
      </c>
      <c r="AC38" t="n">
        <v>0.0713787088591053</v>
      </c>
      <c r="AD38" t="n">
        <v>-0.0229821011945841</v>
      </c>
      <c r="AE38" t="n">
        <v>-0.0427060267380494</v>
      </c>
      <c r="AF38"/>
    </row>
    <row r="39">
      <c r="A39" t="s">
        <v>182</v>
      </c>
      <c r="B39" t="s">
        <v>283</v>
      </c>
      <c r="C39" t="s">
        <v>183</v>
      </c>
      <c r="D39" t="s">
        <v>284</v>
      </c>
      <c r="E39" t="s">
        <v>57</v>
      </c>
      <c r="F39" t="n">
        <v>0.00600877395932587</v>
      </c>
      <c r="G39" t="n">
        <v>0.0850511899528535</v>
      </c>
      <c r="H39" t="n">
        <v>0.0224488410445348</v>
      </c>
      <c r="I39" t="n">
        <v>-0.0357769864290773</v>
      </c>
      <c r="J39" t="n">
        <v>0.0500546254985531</v>
      </c>
      <c r="K39" t="n">
        <v>0.0358748132158303</v>
      </c>
      <c r="L39" t="n">
        <v>0.150591874933941</v>
      </c>
      <c r="M39" t="n">
        <v>0.0127369350920219</v>
      </c>
      <c r="N39" t="n">
        <v>0.160523578152879</v>
      </c>
      <c r="O39" t="n">
        <v>0.0552403630963594</v>
      </c>
      <c r="P39" t="n">
        <v>-0.0565983289391331</v>
      </c>
      <c r="Q39" t="n">
        <v>-0.0399126501607455</v>
      </c>
      <c r="R39" t="n">
        <v>-0.101250619785975</v>
      </c>
      <c r="S39" t="n">
        <v>-0.137893328736417</v>
      </c>
      <c r="T39" t="n">
        <v>0.0499411554799229</v>
      </c>
      <c r="U39" t="n">
        <v>-0.0189100913854942</v>
      </c>
      <c r="V39" t="n">
        <v>-0.0168218488717098</v>
      </c>
      <c r="W39" t="n">
        <v>0.0519330211904593</v>
      </c>
      <c r="X39" t="n">
        <v>0.124193150358559</v>
      </c>
      <c r="Y39" t="n">
        <v>0.248491783466992</v>
      </c>
      <c r="Z39" t="n">
        <v>-0.00112253577435692</v>
      </c>
      <c r="AA39" t="n">
        <v>-0.0272581013051716</v>
      </c>
      <c r="AB39" t="n">
        <v>0.0372737234858629</v>
      </c>
      <c r="AC39" t="n">
        <v>-0.0142490539175962</v>
      </c>
      <c r="AD39" t="n">
        <v>-0.0526152369653108</v>
      </c>
      <c r="AE39" t="n">
        <v>-0.0777895313194615</v>
      </c>
      <c r="AF39"/>
    </row>
    <row r="40">
      <c r="A40" t="s">
        <v>184</v>
      </c>
      <c r="B40" t="s">
        <v>283</v>
      </c>
      <c r="C40" t="s">
        <v>185</v>
      </c>
      <c r="D40" t="s">
        <v>284</v>
      </c>
      <c r="E40" t="s">
        <v>57</v>
      </c>
      <c r="F40" t="n">
        <v>-1.18308570064208</v>
      </c>
      <c r="G40" t="n">
        <v>1.90413576909282</v>
      </c>
      <c r="H40" t="n">
        <v>-0.202371286518047</v>
      </c>
      <c r="I40" t="n">
        <v>-3.02649210905564</v>
      </c>
      <c r="J40" t="n">
        <v>1.43087057101186</v>
      </c>
      <c r="K40" t="n">
        <v>-0.978466033056763</v>
      </c>
      <c r="L40" t="n">
        <v>-0.582474650325945</v>
      </c>
      <c r="M40" t="n">
        <v>-2.13865400215677</v>
      </c>
      <c r="N40" t="n">
        <v>0.732689882637181</v>
      </c>
      <c r="O40" t="n">
        <v>-1.83789565962968</v>
      </c>
      <c r="P40" t="n">
        <v>-2.23974481520571</v>
      </c>
      <c r="Q40" t="n">
        <v>-2.86594949082688</v>
      </c>
      <c r="R40" t="n">
        <v>-5.74638049233524</v>
      </c>
      <c r="S40" t="n">
        <v>-4.178059987871</v>
      </c>
      <c r="T40" t="n">
        <v>-3.26411185339541</v>
      </c>
      <c r="U40" t="n">
        <v>0.921904348580667</v>
      </c>
      <c r="V40" t="n">
        <v>-2.21888884702482</v>
      </c>
      <c r="W40" t="n">
        <v>-2.46483911841009</v>
      </c>
      <c r="X40" t="n">
        <v>0.945412271170711</v>
      </c>
      <c r="Y40" t="n">
        <v>2.52079211352643</v>
      </c>
      <c r="Z40" t="n">
        <v>-4.25494606482779</v>
      </c>
      <c r="AA40" t="n">
        <v>-5.6890873708797</v>
      </c>
      <c r="AB40" t="n">
        <v>-4.34665904162707</v>
      </c>
      <c r="AC40" t="n">
        <v>-2.51419895941592</v>
      </c>
      <c r="AD40" t="n">
        <v>-0.417458077789598</v>
      </c>
      <c r="AE40" t="n">
        <v>-2.4836263910766</v>
      </c>
      <c r="AF40"/>
    </row>
    <row r="41">
      <c r="A41" t="s">
        <v>186</v>
      </c>
      <c r="B41" t="s">
        <v>283</v>
      </c>
      <c r="C41" t="s">
        <v>187</v>
      </c>
      <c r="D41" t="s">
        <v>284</v>
      </c>
      <c r="E41" t="s">
        <v>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283</v>
      </c>
      <c r="C42" t="s">
        <v>189</v>
      </c>
      <c r="D42" t="s">
        <v>284</v>
      </c>
      <c r="E42" t="s">
        <v>57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283</v>
      </c>
      <c r="C43" t="s">
        <v>191</v>
      </c>
      <c r="D43" t="s">
        <v>284</v>
      </c>
      <c r="E43" t="s">
        <v>57</v>
      </c>
      <c r="F43" t="n">
        <v>-0.488969148055003</v>
      </c>
      <c r="G43" t="n">
        <v>-0.33202073456104</v>
      </c>
      <c r="H43" t="n">
        <v>0.229360519180892</v>
      </c>
      <c r="I43" t="n">
        <v>-0.218658821996783</v>
      </c>
      <c r="J43" t="n">
        <v>-0.373076437498098</v>
      </c>
      <c r="K43" t="n">
        <v>-0.489301714556652</v>
      </c>
      <c r="L43" t="n">
        <v>-0.420097470671604</v>
      </c>
      <c r="M43" t="n">
        <v>0.393333159275983</v>
      </c>
      <c r="N43" t="n">
        <v>0.139657930836704</v>
      </c>
      <c r="O43" t="n">
        <v>0.0974060158556846</v>
      </c>
      <c r="P43" t="n">
        <v>0.441926007389076</v>
      </c>
      <c r="Q43" t="n">
        <v>1.28013044655733</v>
      </c>
      <c r="R43" t="n">
        <v>0.31592749424672</v>
      </c>
      <c r="S43" t="n">
        <v>-0.294125692057924</v>
      </c>
      <c r="T43" t="n">
        <v>0.563829245822062</v>
      </c>
      <c r="U43" t="n">
        <v>0.116564802730614</v>
      </c>
      <c r="V43" t="n">
        <v>-0.2240862123095</v>
      </c>
      <c r="W43" t="n">
        <v>-0.954591244166507</v>
      </c>
      <c r="X43" t="n">
        <v>0.0524444377984135</v>
      </c>
      <c r="Y43" t="n">
        <v>-0.140181988406067</v>
      </c>
      <c r="Z43" t="n">
        <v>-0.106643468226844</v>
      </c>
      <c r="AA43" t="n">
        <v>0.0477157435829615</v>
      </c>
      <c r="AB43" t="n">
        <v>0.233001470014755</v>
      </c>
      <c r="AC43" t="n">
        <v>0.0758973535154641</v>
      </c>
      <c r="AD43" t="n">
        <v>0.180780158602987</v>
      </c>
      <c r="AE43" t="n">
        <v>0.154409479064526</v>
      </c>
      <c r="AF43"/>
    </row>
    <row r="44">
      <c r="A44" t="s">
        <v>192</v>
      </c>
      <c r="B44" t="s">
        <v>283</v>
      </c>
      <c r="C44" t="s">
        <v>193</v>
      </c>
      <c r="D44" t="s">
        <v>284</v>
      </c>
      <c r="E44" t="s">
        <v>57</v>
      </c>
      <c r="F44" t="n">
        <v>0.304110936169759</v>
      </c>
      <c r="G44" t="n">
        <v>0.166862290268256</v>
      </c>
      <c r="H44" t="n">
        <v>0.353982876192479</v>
      </c>
      <c r="I44" t="n">
        <v>0.273112982310754</v>
      </c>
      <c r="J44" t="n">
        <v>0.297423073653632</v>
      </c>
      <c r="K44" t="n">
        <v>0.122144533739983</v>
      </c>
      <c r="L44" t="n">
        <v>0.159162822932714</v>
      </c>
      <c r="M44" t="n">
        <v>0.246642585597196</v>
      </c>
      <c r="N44" t="n">
        <v>0.166330517632962</v>
      </c>
      <c r="O44" t="n">
        <v>0.194644301553327</v>
      </c>
      <c r="P44" t="n">
        <v>0.163449626246188</v>
      </c>
      <c r="Q44" t="n">
        <v>-0.0688011551916904</v>
      </c>
      <c r="R44" t="n">
        <v>0.088881675977228</v>
      </c>
      <c r="S44" t="n">
        <v>0.181487033374685</v>
      </c>
      <c r="T44" t="n">
        <v>0.0811332419661408</v>
      </c>
      <c r="U44" t="n">
        <v>-0.296570676033856</v>
      </c>
      <c r="V44" t="n">
        <v>-0.147044854476434</v>
      </c>
      <c r="W44" t="n">
        <v>0.0251362909088761</v>
      </c>
      <c r="X44" t="n">
        <v>-0.0917977481148238</v>
      </c>
      <c r="Y44" t="n">
        <v>-0.0144598809716024</v>
      </c>
      <c r="Z44" t="n">
        <v>0.0496325473410097</v>
      </c>
      <c r="AA44" t="n">
        <v>-0.131688086102746</v>
      </c>
      <c r="AB44" t="n">
        <v>-0.0348413008635668</v>
      </c>
      <c r="AC44" t="n">
        <v>-0.16247050200056</v>
      </c>
      <c r="AD44" t="n">
        <v>-0.0235736570488416</v>
      </c>
      <c r="AE44" t="n">
        <v>0.0958948681535088</v>
      </c>
      <c r="AF44"/>
    </row>
    <row r="45">
      <c r="A45" t="s">
        <v>194</v>
      </c>
      <c r="B45" t="s">
        <v>283</v>
      </c>
      <c r="C45" t="s">
        <v>195</v>
      </c>
      <c r="D45" t="s">
        <v>284</v>
      </c>
      <c r="E45" t="s">
        <v>57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283</v>
      </c>
      <c r="C46" t="s">
        <v>197</v>
      </c>
      <c r="D46" t="s">
        <v>284</v>
      </c>
      <c r="E46" t="s">
        <v>57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283</v>
      </c>
      <c r="C47" t="s">
        <v>199</v>
      </c>
      <c r="D47" t="s">
        <v>284</v>
      </c>
      <c r="E47" t="s">
        <v>57</v>
      </c>
      <c r="F47" t="n">
        <v>1.28082539007839</v>
      </c>
      <c r="G47" t="n">
        <v>3.15271721773516</v>
      </c>
      <c r="H47" t="n">
        <v>1.02709468211287</v>
      </c>
      <c r="I47" t="n">
        <v>0.61894367385419</v>
      </c>
      <c r="J47" t="n">
        <v>1.91733821674247</v>
      </c>
      <c r="K47" t="n">
        <v>1.2378528329997</v>
      </c>
      <c r="L47" t="n">
        <v>1.02698469855035</v>
      </c>
      <c r="M47" t="n">
        <v>-0.402407443308655</v>
      </c>
      <c r="N47" t="n">
        <v>-1.25995419862216</v>
      </c>
      <c r="O47" t="n">
        <v>-0.993404284992504</v>
      </c>
      <c r="P47" t="n">
        <v>0.899916565759185</v>
      </c>
      <c r="Q47" t="n">
        <v>1.46007369592246</v>
      </c>
      <c r="R47" t="n">
        <v>-1.06052035972389</v>
      </c>
      <c r="S47" t="n">
        <v>0.652253017437967</v>
      </c>
      <c r="T47" t="n">
        <v>0.282395916280558</v>
      </c>
      <c r="U47" t="n">
        <v>0.391837850820457</v>
      </c>
      <c r="V47" t="n">
        <v>-0.109568805292941</v>
      </c>
      <c r="W47" t="n">
        <v>-0.54586706132762</v>
      </c>
      <c r="X47" t="n">
        <v>-0.784268610600125</v>
      </c>
      <c r="Y47" t="n">
        <v>-0.976598859365739</v>
      </c>
      <c r="Z47" t="n">
        <v>0.95429225610794</v>
      </c>
      <c r="AA47" t="n">
        <v>0.083514403573685</v>
      </c>
      <c r="AB47" t="n">
        <v>0.444979336197547</v>
      </c>
      <c r="AC47" t="n">
        <v>-0.456814284820183</v>
      </c>
      <c r="AD47" t="n">
        <v>-1.22841449243895</v>
      </c>
      <c r="AE47" t="n">
        <v>-0.515602953522823</v>
      </c>
      <c r="AF47"/>
    </row>
    <row r="48">
      <c r="A48" t="s">
        <v>200</v>
      </c>
      <c r="B48" t="s">
        <v>283</v>
      </c>
      <c r="C48" t="s">
        <v>201</v>
      </c>
      <c r="D48" t="s">
        <v>284</v>
      </c>
      <c r="E48" t="s">
        <v>57</v>
      </c>
      <c r="F48" t="n">
        <v>0.787877297245083</v>
      </c>
      <c r="G48" t="n">
        <v>0.660289644772121</v>
      </c>
      <c r="H48" t="n">
        <v>-0.361697724615287</v>
      </c>
      <c r="I48" t="n">
        <v>-0.185045059768838</v>
      </c>
      <c r="J48" t="n">
        <v>0.45434914491836</v>
      </c>
      <c r="K48" t="n">
        <v>0.132705372995689</v>
      </c>
      <c r="L48" t="n">
        <v>-0.127338713950913</v>
      </c>
      <c r="M48" t="n">
        <v>-0.499201637353459</v>
      </c>
      <c r="N48" t="n">
        <v>-1.14230133263795</v>
      </c>
      <c r="O48" t="n">
        <v>-1.02650041846915</v>
      </c>
      <c r="P48" t="n">
        <v>-0.521253348946281</v>
      </c>
      <c r="Q48" t="n">
        <v>-0.236434090949001</v>
      </c>
      <c r="R48" t="n">
        <v>-0.415723141702344</v>
      </c>
      <c r="S48" t="n">
        <v>-0.516803518686147</v>
      </c>
      <c r="T48" t="n">
        <v>-0.658263523278616</v>
      </c>
      <c r="U48" t="n">
        <v>-0.542474177916734</v>
      </c>
      <c r="V48" t="n">
        <v>-0.508332898409971</v>
      </c>
      <c r="W48" t="n">
        <v>-0.187088936060972</v>
      </c>
      <c r="X48" t="n">
        <v>-0.820475251936508</v>
      </c>
      <c r="Y48" t="n">
        <v>-0.548713527268257</v>
      </c>
      <c r="Z48" t="n">
        <v>-0.319934679657359</v>
      </c>
      <c r="AA48" t="n">
        <v>-0.40010755161126</v>
      </c>
      <c r="AB48" t="n">
        <v>-0.158748475965508</v>
      </c>
      <c r="AC48" t="n">
        <v>-0.308962246550316</v>
      </c>
      <c r="AD48" t="n">
        <v>-0.36360822487321</v>
      </c>
      <c r="AE48" t="n">
        <v>-0.0587455620065889</v>
      </c>
      <c r="AF48"/>
    </row>
    <row r="49">
      <c r="A49" t="s">
        <v>202</v>
      </c>
      <c r="B49" t="s">
        <v>283</v>
      </c>
      <c r="C49" t="s">
        <v>203</v>
      </c>
      <c r="D49" t="s">
        <v>284</v>
      </c>
      <c r="E49" t="s">
        <v>57</v>
      </c>
      <c r="F49" t="n">
        <v>0.245385643778986</v>
      </c>
      <c r="G49" t="n">
        <v>0.0696803142838866</v>
      </c>
      <c r="H49" t="n">
        <v>-0.47595426569772</v>
      </c>
      <c r="I49" t="n">
        <v>-0.188631814169956</v>
      </c>
      <c r="J49" t="n">
        <v>0.0281628654122039</v>
      </c>
      <c r="K49" t="n">
        <v>0.224696083318975</v>
      </c>
      <c r="L49" t="n">
        <v>-0.027303999446295</v>
      </c>
      <c r="M49" t="n">
        <v>-0.397173023333656</v>
      </c>
      <c r="N49" t="n">
        <v>-0.758484244015244</v>
      </c>
      <c r="O49" t="n">
        <v>-0.593608945113102</v>
      </c>
      <c r="P49" t="n">
        <v>-0.0186151419359563</v>
      </c>
      <c r="Q49" t="n">
        <v>0.0160142577984324</v>
      </c>
      <c r="R49" t="n">
        <v>-0.286348755591705</v>
      </c>
      <c r="S49" t="n">
        <v>-0.421708373895515</v>
      </c>
      <c r="T49" t="n">
        <v>-0.238107559867344</v>
      </c>
      <c r="U49" t="n">
        <v>-0.156688691707304</v>
      </c>
      <c r="V49" t="n">
        <v>-0.192419659605019</v>
      </c>
      <c r="W49" t="n">
        <v>0.194595163282385</v>
      </c>
      <c r="X49" t="n">
        <v>-0.0778016344655465</v>
      </c>
      <c r="Y49" t="n">
        <v>-0.0766907847455412</v>
      </c>
      <c r="Z49" t="n">
        <v>-0.33852479621896</v>
      </c>
      <c r="AA49" t="n">
        <v>-0.315035223394009</v>
      </c>
      <c r="AB49" t="n">
        <v>-0.29021468825381</v>
      </c>
      <c r="AC49" t="n">
        <v>-0.537376190405186</v>
      </c>
      <c r="AD49" t="n">
        <v>-0.265396085892549</v>
      </c>
      <c r="AE49" t="n">
        <v>-0.047085137518901</v>
      </c>
      <c r="AF49"/>
    </row>
    <row r="50">
      <c r="A50" t="s">
        <v>204</v>
      </c>
      <c r="B50" t="s">
        <v>283</v>
      </c>
      <c r="C50" t="s">
        <v>205</v>
      </c>
      <c r="D50" t="s">
        <v>284</v>
      </c>
      <c r="E50" t="s">
        <v>57</v>
      </c>
      <c r="F50" t="n">
        <v>0.930808069942424</v>
      </c>
      <c r="G50" t="n">
        <v>0.574598971986451</v>
      </c>
      <c r="H50" t="n">
        <v>0.0288564943855211</v>
      </c>
      <c r="I50" t="n">
        <v>0.14217915702659</v>
      </c>
      <c r="J50" t="n">
        <v>0.417417511366847</v>
      </c>
      <c r="K50" t="n">
        <v>-0.0669455764808613</v>
      </c>
      <c r="L50" t="n">
        <v>-0.206012020057483</v>
      </c>
      <c r="M50" t="n">
        <v>-0.135913068811006</v>
      </c>
      <c r="N50" t="n">
        <v>-0.677682537339207</v>
      </c>
      <c r="O50" t="n">
        <v>-0.464125653668126</v>
      </c>
      <c r="P50" t="n">
        <v>-0.436863595606676</v>
      </c>
      <c r="Q50" t="n">
        <v>-0.342691823599452</v>
      </c>
      <c r="R50" t="n">
        <v>-0.142592576276827</v>
      </c>
      <c r="S50" t="n">
        <v>-0.506388233351568</v>
      </c>
      <c r="T50" t="n">
        <v>-0.627445110493374</v>
      </c>
      <c r="U50" t="n">
        <v>-0.312693984558885</v>
      </c>
      <c r="V50" t="n">
        <v>-0.145912607307784</v>
      </c>
      <c r="W50" t="n">
        <v>-0.0188950162271734</v>
      </c>
      <c r="X50" t="n">
        <v>-0.396428991181905</v>
      </c>
      <c r="Y50" t="n">
        <v>-0.220184984449765</v>
      </c>
      <c r="Z50" t="n">
        <v>-0.24784882328308</v>
      </c>
      <c r="AA50" t="n">
        <v>-0.269890786312949</v>
      </c>
      <c r="AB50" t="n">
        <v>-0.0669905171699496</v>
      </c>
      <c r="AC50" t="n">
        <v>-0.188627781868802</v>
      </c>
      <c r="AD50" t="n">
        <v>-0.202947665100449</v>
      </c>
      <c r="AE50" t="n">
        <v>-0.0826571271213581</v>
      </c>
      <c r="AF50"/>
    </row>
    <row r="51">
      <c r="A51" t="s">
        <v>206</v>
      </c>
      <c r="B51" t="s">
        <v>283</v>
      </c>
      <c r="C51" t="s">
        <v>207</v>
      </c>
      <c r="D51" t="s">
        <v>284</v>
      </c>
      <c r="E51" t="s">
        <v>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283</v>
      </c>
      <c r="C52" t="s">
        <v>209</v>
      </c>
      <c r="D52" t="s">
        <v>284</v>
      </c>
      <c r="E52" t="s">
        <v>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283</v>
      </c>
      <c r="C53" t="s">
        <v>211</v>
      </c>
      <c r="D53" t="s">
        <v>284</v>
      </c>
      <c r="E53" t="s">
        <v>57</v>
      </c>
      <c r="F53" t="n">
        <v>-0.627452457688907</v>
      </c>
      <c r="G53" t="n">
        <v>-0.499855246513724</v>
      </c>
      <c r="H53" t="n">
        <v>2.51003565590243</v>
      </c>
      <c r="I53" t="n">
        <v>2.42891470041811</v>
      </c>
      <c r="J53" t="n">
        <v>1.78673961686566</v>
      </c>
      <c r="K53" t="n">
        <v>1.75342892017093</v>
      </c>
      <c r="L53" t="n">
        <v>2.09453459406914</v>
      </c>
      <c r="M53" t="n">
        <v>-0.0359436989472401</v>
      </c>
      <c r="N53" t="n">
        <v>2.25245067515218</v>
      </c>
      <c r="O53" t="n">
        <v>1.85754698689224</v>
      </c>
      <c r="P53" t="n">
        <v>3.40689461543149</v>
      </c>
      <c r="Q53" t="n">
        <v>1.93529999139388</v>
      </c>
      <c r="R53" t="n">
        <v>-0.0115564689898153</v>
      </c>
      <c r="S53" t="n">
        <v>-0.824735249684381</v>
      </c>
      <c r="T53" t="n">
        <v>-4.08384439050528</v>
      </c>
      <c r="U53" t="n">
        <v>-1.42536474960348</v>
      </c>
      <c r="V53" t="n">
        <v>0.722384713711467</v>
      </c>
      <c r="W53" t="n">
        <v>1.10767525970368</v>
      </c>
      <c r="X53" t="n">
        <v>0.0560665351768334</v>
      </c>
      <c r="Y53" t="n">
        <v>-0.278302137173332</v>
      </c>
      <c r="Z53" t="n">
        <v>-1.66352473669291</v>
      </c>
      <c r="AA53" t="n">
        <v>-3.30049247645455</v>
      </c>
      <c r="AB53" t="n">
        <v>-3.02288779725355</v>
      </c>
      <c r="AC53" t="n">
        <v>-1.85909302642858</v>
      </c>
      <c r="AD53" t="n">
        <v>-1.78469101793683</v>
      </c>
      <c r="AE53" t="n">
        <v>-2.3805522796783</v>
      </c>
      <c r="AF53"/>
    </row>
    <row r="54">
      <c r="A54" t="s">
        <v>212</v>
      </c>
      <c r="B54" t="s">
        <v>283</v>
      </c>
      <c r="C54" t="s">
        <v>213</v>
      </c>
      <c r="D54" t="s">
        <v>284</v>
      </c>
      <c r="E54" t="s">
        <v>57</v>
      </c>
      <c r="F54" t="n">
        <v>0.561480225441518</v>
      </c>
      <c r="G54" t="n">
        <v>0.59605669453996</v>
      </c>
      <c r="H54" t="n">
        <v>1.25646922771068</v>
      </c>
      <c r="I54" t="n">
        <v>0.811096444204344</v>
      </c>
      <c r="J54" t="n">
        <v>1.36166347663842</v>
      </c>
      <c r="K54" t="n">
        <v>0.483183568775156</v>
      </c>
      <c r="L54" t="n">
        <v>0.035947375854431</v>
      </c>
      <c r="M54" t="n">
        <v>0.0808352066690332</v>
      </c>
      <c r="N54" t="n">
        <v>1.04194970778119</v>
      </c>
      <c r="O54" t="n">
        <v>0.926879619906918</v>
      </c>
      <c r="P54" t="n">
        <v>0.418925864986787</v>
      </c>
      <c r="Q54" t="n">
        <v>-0.354683542791592</v>
      </c>
      <c r="R54" t="n">
        <v>-0.122284246532388</v>
      </c>
      <c r="S54" t="n">
        <v>0.127011114555035</v>
      </c>
      <c r="T54" t="n">
        <v>-1.05156678346617</v>
      </c>
      <c r="U54" t="n">
        <v>-0.795009608456386</v>
      </c>
      <c r="V54" t="n">
        <v>-0.315164243794329</v>
      </c>
      <c r="W54" t="n">
        <v>0.379289531661953</v>
      </c>
      <c r="X54" t="n">
        <v>-0.125328287445999</v>
      </c>
      <c r="Y54" t="n">
        <v>-0.150129396798975</v>
      </c>
      <c r="Z54" t="n">
        <v>-0.272015812626819</v>
      </c>
      <c r="AA54" t="n">
        <v>-1.04818548433977</v>
      </c>
      <c r="AB54" t="n">
        <v>-0.901236056515408</v>
      </c>
      <c r="AC54" t="n">
        <v>-0.986348427709612</v>
      </c>
      <c r="AD54" t="n">
        <v>-1.09963584067474</v>
      </c>
      <c r="AE54" t="n">
        <v>-0.766060050078907</v>
      </c>
      <c r="AF54"/>
    </row>
    <row r="55">
      <c r="A55" t="s">
        <v>214</v>
      </c>
      <c r="B55" t="s">
        <v>283</v>
      </c>
      <c r="C55" t="s">
        <v>215</v>
      </c>
      <c r="D55" t="s">
        <v>284</v>
      </c>
      <c r="E55" t="s">
        <v>57</v>
      </c>
      <c r="F55" t="n">
        <v>0.459634996876376</v>
      </c>
      <c r="G55" t="n">
        <v>0.515504887757806</v>
      </c>
      <c r="H55" t="n">
        <v>0.598212432484572</v>
      </c>
      <c r="I55" t="n">
        <v>0.316520651038142</v>
      </c>
      <c r="J55" t="n">
        <v>0.980538175655864</v>
      </c>
      <c r="K55" t="n">
        <v>0.319780356245114</v>
      </c>
      <c r="L55" t="n">
        <v>-0.313700938530911</v>
      </c>
      <c r="M55" t="n">
        <v>-0.135439537081615</v>
      </c>
      <c r="N55" t="n">
        <v>0.34849823799254</v>
      </c>
      <c r="O55" t="n">
        <v>0.500278198992316</v>
      </c>
      <c r="P55" t="n">
        <v>-0.0116751467598679</v>
      </c>
      <c r="Q55" t="n">
        <v>-0.460173670644966</v>
      </c>
      <c r="R55" t="n">
        <v>0.0161982143867322</v>
      </c>
      <c r="S55" t="n">
        <v>0.213848194095534</v>
      </c>
      <c r="T55" t="n">
        <v>-0.335633370792928</v>
      </c>
      <c r="U55" t="n">
        <v>-0.336694009115408</v>
      </c>
      <c r="V55" t="n">
        <v>-0.26273070542739</v>
      </c>
      <c r="W55" t="n">
        <v>0.0946078104786115</v>
      </c>
      <c r="X55" t="n">
        <v>0.00708286906978168</v>
      </c>
      <c r="Y55" t="n">
        <v>-0.0591822378389665</v>
      </c>
      <c r="Z55" t="n">
        <v>-0.0614578103717935</v>
      </c>
      <c r="AA55" t="n">
        <v>-0.34203394941847</v>
      </c>
      <c r="AB55" t="n">
        <v>-0.176777642621898</v>
      </c>
      <c r="AC55" t="n">
        <v>-0.483318707981277</v>
      </c>
      <c r="AD55" t="n">
        <v>-0.571769594278215</v>
      </c>
      <c r="AE55" t="n">
        <v>0.149869093628996</v>
      </c>
      <c r="AF55"/>
    </row>
    <row r="56">
      <c r="A56" t="s">
        <v>216</v>
      </c>
      <c r="B56" t="s">
        <v>283</v>
      </c>
      <c r="C56" t="s">
        <v>217</v>
      </c>
      <c r="D56" t="s">
        <v>284</v>
      </c>
      <c r="E56" t="s">
        <v>57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283</v>
      </c>
      <c r="C57" t="s">
        <v>219</v>
      </c>
      <c r="D57" t="s">
        <v>284</v>
      </c>
      <c r="E57" t="s">
        <v>57</v>
      </c>
      <c r="F57" t="n">
        <v>0.553790423882299</v>
      </c>
      <c r="G57" t="n">
        <v>0.438008118166359</v>
      </c>
      <c r="H57" t="n">
        <v>0.381611117083235</v>
      </c>
      <c r="I57" t="n">
        <v>0.281279432974854</v>
      </c>
      <c r="J57" t="n">
        <v>0.497119209526675</v>
      </c>
      <c r="K57" t="n">
        <v>0.170770477115235</v>
      </c>
      <c r="L57" t="n">
        <v>0.15539119079158</v>
      </c>
      <c r="M57" t="n">
        <v>0.26316237732372</v>
      </c>
      <c r="N57" t="n">
        <v>0.00218007634062501</v>
      </c>
      <c r="O57" t="n">
        <v>-0.000711608564284902</v>
      </c>
      <c r="P57" t="n">
        <v>0.025883740675536</v>
      </c>
      <c r="Q57" t="n">
        <v>-0.211240191101466</v>
      </c>
      <c r="R57" t="n">
        <v>-0.134756233673884</v>
      </c>
      <c r="S57" t="n">
        <v>-0.0229913178725794</v>
      </c>
      <c r="T57" t="n">
        <v>-0.0464399758863037</v>
      </c>
      <c r="U57" t="n">
        <v>-0.396274910517152</v>
      </c>
      <c r="V57" t="n">
        <v>-0.279965545433186</v>
      </c>
      <c r="W57" t="n">
        <v>-0.082629612861092</v>
      </c>
      <c r="X57" t="n">
        <v>-0.295982694442009</v>
      </c>
      <c r="Y57" t="n">
        <v>-0.162478811760328</v>
      </c>
      <c r="Z57" t="n">
        <v>-0.104332872855782</v>
      </c>
      <c r="AA57" t="n">
        <v>-0.299828299033451</v>
      </c>
      <c r="AB57" t="n">
        <v>-0.159671096788424</v>
      </c>
      <c r="AC57" t="n">
        <v>-0.295129604029001</v>
      </c>
      <c r="AD57" t="n">
        <v>-0.119701897015158</v>
      </c>
      <c r="AE57" t="n">
        <v>0.0755128493244252</v>
      </c>
      <c r="AF57"/>
    </row>
    <row r="58">
      <c r="A58" t="s">
        <v>220</v>
      </c>
      <c r="B58" t="s">
        <v>283</v>
      </c>
      <c r="C58" t="s">
        <v>221</v>
      </c>
      <c r="D58" t="s">
        <v>284</v>
      </c>
      <c r="E58" t="s">
        <v>57</v>
      </c>
      <c r="F58" t="n">
        <v>0.553814723203498</v>
      </c>
      <c r="G58" t="n">
        <v>0.437984081742841</v>
      </c>
      <c r="H58" t="n">
        <v>0.381585925978023</v>
      </c>
      <c r="I58" t="n">
        <v>0.281201997645253</v>
      </c>
      <c r="J58" t="n">
        <v>0.497012103156745</v>
      </c>
      <c r="K58" t="n">
        <v>0.170482778970793</v>
      </c>
      <c r="L58" t="n">
        <v>0.155235786269772</v>
      </c>
      <c r="M58" t="n">
        <v>0.262817608088793</v>
      </c>
      <c r="N58" t="n">
        <v>0.00190195917555563</v>
      </c>
      <c r="O58" t="n">
        <v>-0.00104913654076426</v>
      </c>
      <c r="P58" t="n">
        <v>0.0259873697761036</v>
      </c>
      <c r="Q58" t="n">
        <v>-0.211215695974374</v>
      </c>
      <c r="R58" t="n">
        <v>-0.134838653893396</v>
      </c>
      <c r="S58" t="n">
        <v>-0.0229765994526627</v>
      </c>
      <c r="T58" t="n">
        <v>-0.0463513584311611</v>
      </c>
      <c r="U58" t="n">
        <v>-0.39613881245628</v>
      </c>
      <c r="V58" t="n">
        <v>-0.279885920406661</v>
      </c>
      <c r="W58" t="n">
        <v>-0.0826818817646082</v>
      </c>
      <c r="X58" t="n">
        <v>-0.295797404071679</v>
      </c>
      <c r="Y58" t="n">
        <v>-0.162312648140717</v>
      </c>
      <c r="Z58" t="n">
        <v>-0.1047246521431</v>
      </c>
      <c r="AA58" t="n">
        <v>-0.300258547259157</v>
      </c>
      <c r="AB58" t="n">
        <v>-0.159750859970822</v>
      </c>
      <c r="AC58" t="n">
        <v>-0.295183479180542</v>
      </c>
      <c r="AD58" t="n">
        <v>-0.119752138487752</v>
      </c>
      <c r="AE58" t="n">
        <v>0.0755144698230392</v>
      </c>
      <c r="AF58"/>
    </row>
    <row r="59">
      <c r="A59" t="s">
        <v>222</v>
      </c>
      <c r="B59" t="s">
        <v>283</v>
      </c>
      <c r="C59" t="s">
        <v>223</v>
      </c>
      <c r="D59" t="s">
        <v>284</v>
      </c>
      <c r="E59" t="s">
        <v>57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283</v>
      </c>
      <c r="C2" t="s">
        <v>108</v>
      </c>
      <c r="D2" t="s">
        <v>284</v>
      </c>
      <c r="E2" t="s">
        <v>58</v>
      </c>
      <c r="F2" t="n">
        <v>0.671686449141497</v>
      </c>
      <c r="G2" t="n">
        <v>0.440609127531348</v>
      </c>
      <c r="H2" t="n">
        <v>0.408062246735908</v>
      </c>
      <c r="I2" t="n">
        <v>0.316355730897592</v>
      </c>
      <c r="J2" t="n">
        <v>0.118208291696206</v>
      </c>
      <c r="K2" t="n">
        <v>-0.198644655006587</v>
      </c>
      <c r="L2" t="n">
        <v>-0.147429972389895</v>
      </c>
      <c r="M2" t="n">
        <v>-0.116711025402804</v>
      </c>
      <c r="N2" t="n">
        <v>-0.182523322301289</v>
      </c>
      <c r="O2" t="n">
        <v>-0.0815060812367209</v>
      </c>
      <c r="P2" t="n">
        <v>-0.14934005409508</v>
      </c>
      <c r="Q2" t="n">
        <v>-0.142273706869062</v>
      </c>
      <c r="R2" t="n">
        <v>-0.0905149317095671</v>
      </c>
      <c r="S2" t="n">
        <v>-0.0595349075312448</v>
      </c>
      <c r="T2" t="n">
        <v>-0.0356610783199639</v>
      </c>
      <c r="U2" t="n">
        <v>0.0140349495267333</v>
      </c>
      <c r="V2" t="n">
        <v>0.0306577220259141</v>
      </c>
      <c r="W2" t="n">
        <v>0.00410919417014766</v>
      </c>
      <c r="X2" t="n">
        <v>0.026741919020984</v>
      </c>
      <c r="Y2" t="n">
        <v>0.000183440157847656</v>
      </c>
      <c r="Z2" t="n">
        <v>0.00746289792437092</v>
      </c>
      <c r="AA2" t="n">
        <v>-0.038095004650719</v>
      </c>
      <c r="AB2" t="n">
        <v>0.0197144283127079</v>
      </c>
      <c r="AC2" t="n">
        <v>-0.0288074578963915</v>
      </c>
      <c r="AD2" t="n">
        <v>-0.0176537444557261</v>
      </c>
      <c r="AE2" t="n">
        <v>0.0127913783105025</v>
      </c>
      <c r="AF2"/>
    </row>
    <row r="3">
      <c r="A3" t="s">
        <v>110</v>
      </c>
      <c r="B3" t="s">
        <v>283</v>
      </c>
      <c r="C3" t="s">
        <v>111</v>
      </c>
      <c r="D3" t="s">
        <v>284</v>
      </c>
      <c r="E3" t="s">
        <v>58</v>
      </c>
      <c r="F3" t="n">
        <v>0.277128330803863</v>
      </c>
      <c r="G3" t="n">
        <v>0.132944273588758</v>
      </c>
      <c r="H3" t="n">
        <v>0.0555333044035649</v>
      </c>
      <c r="I3" t="n">
        <v>0.183409268150199</v>
      </c>
      <c r="J3" t="n">
        <v>0.0100635678125665</v>
      </c>
      <c r="K3" t="n">
        <v>0.0674406267225957</v>
      </c>
      <c r="L3" t="n">
        <v>0.00564984488768437</v>
      </c>
      <c r="M3" t="n">
        <v>0.256716174722568</v>
      </c>
      <c r="N3" t="n">
        <v>-0.0104983479007833</v>
      </c>
      <c r="O3" t="n">
        <v>0.139786126456822</v>
      </c>
      <c r="P3" t="n">
        <v>0.0114611095529914</v>
      </c>
      <c r="Q3" t="n">
        <v>0.028711301203913</v>
      </c>
      <c r="R3" t="n">
        <v>0.185292366246671</v>
      </c>
      <c r="S3" t="n">
        <v>0.441981282090749</v>
      </c>
      <c r="T3" t="n">
        <v>-0.151334963959853</v>
      </c>
      <c r="U3" t="n">
        <v>0.0829855072300142</v>
      </c>
      <c r="V3" t="n">
        <v>0.14939910318103</v>
      </c>
      <c r="W3" t="n">
        <v>-0.0605330857042304</v>
      </c>
      <c r="X3" t="n">
        <v>0.054509397230558</v>
      </c>
      <c r="Y3" t="n">
        <v>-0.0931425310384282</v>
      </c>
      <c r="Z3" t="n">
        <v>0.00746623576169186</v>
      </c>
      <c r="AA3" t="n">
        <v>0.107590706058418</v>
      </c>
      <c r="AB3" t="n">
        <v>-0.0919425015839736</v>
      </c>
      <c r="AC3" t="n">
        <v>0.103053623386696</v>
      </c>
      <c r="AD3" t="n">
        <v>-0.0328050337406424</v>
      </c>
      <c r="AE3" t="n">
        <v>-0.0314772001564473</v>
      </c>
      <c r="AF3"/>
    </row>
    <row r="4">
      <c r="A4" t="s">
        <v>112</v>
      </c>
      <c r="B4" t="s">
        <v>283</v>
      </c>
      <c r="C4" t="s">
        <v>113</v>
      </c>
      <c r="D4" t="s">
        <v>284</v>
      </c>
      <c r="E4" t="s">
        <v>58</v>
      </c>
      <c r="F4" t="n">
        <v>0.787107522760305</v>
      </c>
      <c r="G4" t="n">
        <v>0.7266793657453</v>
      </c>
      <c r="H4" t="n">
        <v>0.486478882220233</v>
      </c>
      <c r="I4" t="n">
        <v>0.451918755207023</v>
      </c>
      <c r="J4" t="n">
        <v>0.232021358929449</v>
      </c>
      <c r="K4" t="n">
        <v>0.247735696068508</v>
      </c>
      <c r="L4" t="n">
        <v>0.244428919936833</v>
      </c>
      <c r="M4" t="n">
        <v>0.0284985912676677</v>
      </c>
      <c r="N4" t="n">
        <v>0.054067441060393</v>
      </c>
      <c r="O4" t="n">
        <v>0.0835380370660462</v>
      </c>
      <c r="P4" t="n">
        <v>0.172197044436731</v>
      </c>
      <c r="Q4" t="n">
        <v>-0.0770934375725538</v>
      </c>
      <c r="R4" t="n">
        <v>0.208795670593218</v>
      </c>
      <c r="S4" t="n">
        <v>0.272811681442659</v>
      </c>
      <c r="T4" t="n">
        <v>0.093127905297457</v>
      </c>
      <c r="U4" t="n">
        <v>0.0959628995743421</v>
      </c>
      <c r="V4" t="n">
        <v>0.0796685276531961</v>
      </c>
      <c r="W4" t="n">
        <v>0.065548422898361</v>
      </c>
      <c r="X4" t="n">
        <v>0.0454754483908305</v>
      </c>
      <c r="Y4" t="n">
        <v>0.0349856511352334</v>
      </c>
      <c r="Z4" t="n">
        <v>0.0335770148444045</v>
      </c>
      <c r="AA4" t="n">
        <v>-0.00780727931175795</v>
      </c>
      <c r="AB4" t="n">
        <v>0.006587787815693</v>
      </c>
      <c r="AC4" t="n">
        <v>0.0248242471199979</v>
      </c>
      <c r="AD4" t="n">
        <v>0.0382242547743762</v>
      </c>
      <c r="AE4" t="n">
        <v>0.0661985522481272</v>
      </c>
      <c r="AF4"/>
    </row>
    <row r="5">
      <c r="A5" t="s">
        <v>114</v>
      </c>
      <c r="B5" t="s">
        <v>283</v>
      </c>
      <c r="C5" t="s">
        <v>115</v>
      </c>
      <c r="D5" t="s">
        <v>284</v>
      </c>
      <c r="E5" t="s">
        <v>58</v>
      </c>
      <c r="F5" t="n">
        <v>0.454918985225663</v>
      </c>
      <c r="G5" t="n">
        <v>0.446176080121415</v>
      </c>
      <c r="H5" t="n">
        <v>0.380698139768144</v>
      </c>
      <c r="I5" t="n">
        <v>0.246305530893395</v>
      </c>
      <c r="J5" t="n">
        <v>0.177496093990276</v>
      </c>
      <c r="K5" t="n">
        <v>0.133981144644994</v>
      </c>
      <c r="L5" t="n">
        <v>0.0705381048117628</v>
      </c>
      <c r="M5" t="n">
        <v>0.228306306409797</v>
      </c>
      <c r="N5" t="n">
        <v>0.135304906977848</v>
      </c>
      <c r="O5" t="n">
        <v>0.242239026427662</v>
      </c>
      <c r="P5" t="n">
        <v>0.384281566602605</v>
      </c>
      <c r="Q5" t="n">
        <v>0.0455255382143089</v>
      </c>
      <c r="R5" t="n">
        <v>0.259160396907581</v>
      </c>
      <c r="S5" t="n">
        <v>0.157997801257365</v>
      </c>
      <c r="T5" t="n">
        <v>0.112379420243492</v>
      </c>
      <c r="U5" t="n">
        <v>0.177463933903715</v>
      </c>
      <c r="V5" t="n">
        <v>0.247725204961891</v>
      </c>
      <c r="W5" t="n">
        <v>-0.0338634865092999</v>
      </c>
      <c r="X5" t="n">
        <v>-0.0110468001860791</v>
      </c>
      <c r="Y5" t="n">
        <v>0.0260389676986595</v>
      </c>
      <c r="Z5" t="n">
        <v>0.0109446670908473</v>
      </c>
      <c r="AA5" t="n">
        <v>-0.00140725658891036</v>
      </c>
      <c r="AB5" t="n">
        <v>0.0840189841308205</v>
      </c>
      <c r="AC5" t="n">
        <v>0.049879152829722</v>
      </c>
      <c r="AD5" t="n">
        <v>0.032501932939334</v>
      </c>
      <c r="AE5" t="n">
        <v>0.0290368872757934</v>
      </c>
      <c r="AF5"/>
    </row>
    <row r="6">
      <c r="A6" t="s">
        <v>116</v>
      </c>
      <c r="B6" t="s">
        <v>283</v>
      </c>
      <c r="C6" t="s">
        <v>117</v>
      </c>
      <c r="D6" t="s">
        <v>284</v>
      </c>
      <c r="E6" t="s">
        <v>58</v>
      </c>
      <c r="F6" t="n">
        <v>0.158275550444769</v>
      </c>
      <c r="G6" t="n">
        <v>0.127440503644395</v>
      </c>
      <c r="H6" t="n">
        <v>0.133001687815149</v>
      </c>
      <c r="I6" t="n">
        <v>0.124160178519486</v>
      </c>
      <c r="J6" t="n">
        <v>0.0640457056118215</v>
      </c>
      <c r="K6" t="n">
        <v>0.135205319742346</v>
      </c>
      <c r="L6" t="n">
        <v>0.128116048684472</v>
      </c>
      <c r="M6" t="n">
        <v>0.123710573962012</v>
      </c>
      <c r="N6" t="n">
        <v>-0.0236961997403403</v>
      </c>
      <c r="O6" t="n">
        <v>0.0324597331711837</v>
      </c>
      <c r="P6" t="n">
        <v>0.135611440503434</v>
      </c>
      <c r="Q6" t="n">
        <v>-0.0358738352826935</v>
      </c>
      <c r="R6" t="n">
        <v>0.179486343970861</v>
      </c>
      <c r="S6" t="n">
        <v>0.273223538531178</v>
      </c>
      <c r="T6" t="n">
        <v>0.0397281186183586</v>
      </c>
      <c r="U6" t="n">
        <v>0.206048413395254</v>
      </c>
      <c r="V6" t="n">
        <v>0.122318734864328</v>
      </c>
      <c r="W6" t="n">
        <v>-0.0654093467234456</v>
      </c>
      <c r="X6" t="n">
        <v>0.0271446794329</v>
      </c>
      <c r="Y6" t="n">
        <v>0.00508244064479669</v>
      </c>
      <c r="Z6" t="n">
        <v>0.00241762519381968</v>
      </c>
      <c r="AA6" t="n">
        <v>-0.0494724416051212</v>
      </c>
      <c r="AB6" t="n">
        <v>-0.0180014618336034</v>
      </c>
      <c r="AC6" t="n">
        <v>-0.017775634535513</v>
      </c>
      <c r="AD6" t="n">
        <v>0.085043619182445</v>
      </c>
      <c r="AE6" t="n">
        <v>0.091330343205534</v>
      </c>
      <c r="AF6"/>
    </row>
    <row r="7">
      <c r="A7" t="s">
        <v>118</v>
      </c>
      <c r="B7" t="s">
        <v>283</v>
      </c>
      <c r="C7" t="s">
        <v>119</v>
      </c>
      <c r="D7" t="s">
        <v>284</v>
      </c>
      <c r="E7" t="s">
        <v>58</v>
      </c>
      <c r="F7" t="n">
        <v>0.42622083261399</v>
      </c>
      <c r="G7" t="n">
        <v>0.439342531863129</v>
      </c>
      <c r="H7" t="n">
        <v>0.347723520287278</v>
      </c>
      <c r="I7" t="n">
        <v>0.241312522863307</v>
      </c>
      <c r="J7" t="n">
        <v>0.104925498281767</v>
      </c>
      <c r="K7" t="n">
        <v>0.140395184140544</v>
      </c>
      <c r="L7" t="n">
        <v>0.158984056489187</v>
      </c>
      <c r="M7" t="n">
        <v>0.0958636676004448</v>
      </c>
      <c r="N7" t="n">
        <v>0.106374716637142</v>
      </c>
      <c r="O7" t="n">
        <v>0.0501364509531398</v>
      </c>
      <c r="P7" t="n">
        <v>0.218843903538905</v>
      </c>
      <c r="Q7" t="n">
        <v>0.0519797418722428</v>
      </c>
      <c r="R7" t="n">
        <v>0.332483475655612</v>
      </c>
      <c r="S7" t="n">
        <v>0.264508927049291</v>
      </c>
      <c r="T7" t="n">
        <v>0.121001877864114</v>
      </c>
      <c r="U7" t="n">
        <v>0.233835158915266</v>
      </c>
      <c r="V7" t="n">
        <v>0.0152850255996471</v>
      </c>
      <c r="W7" t="n">
        <v>-0.0372516440900274</v>
      </c>
      <c r="X7" t="n">
        <v>0.0699309248943023</v>
      </c>
      <c r="Y7" t="n">
        <v>0.0252917696277804</v>
      </c>
      <c r="Z7" t="n">
        <v>0.029950090758053</v>
      </c>
      <c r="AA7" t="n">
        <v>-0.0364869744989896</v>
      </c>
      <c r="AB7" t="n">
        <v>-0.0347149104731325</v>
      </c>
      <c r="AC7" t="n">
        <v>-0.00375306092750519</v>
      </c>
      <c r="AD7" t="n">
        <v>0.00652878452763711</v>
      </c>
      <c r="AE7" t="n">
        <v>0.11331344330014</v>
      </c>
      <c r="AF7"/>
    </row>
    <row r="8">
      <c r="A8" t="s">
        <v>120</v>
      </c>
      <c r="B8" t="s">
        <v>283</v>
      </c>
      <c r="C8" t="s">
        <v>121</v>
      </c>
      <c r="D8" t="s">
        <v>284</v>
      </c>
      <c r="E8" t="s">
        <v>58</v>
      </c>
      <c r="F8" t="n">
        <v>0.788962017090547</v>
      </c>
      <c r="G8" t="n">
        <v>1.00657451614497</v>
      </c>
      <c r="H8" t="n">
        <v>-0.0663471432680792</v>
      </c>
      <c r="I8" t="n">
        <v>0.0430867291854332</v>
      </c>
      <c r="J8" t="n">
        <v>0.247769295024596</v>
      </c>
      <c r="K8" t="n">
        <v>-0.142275065368584</v>
      </c>
      <c r="L8" t="n">
        <v>-0.258166531189872</v>
      </c>
      <c r="M8" t="n">
        <v>0.138190490781726</v>
      </c>
      <c r="N8" t="n">
        <v>0.125456755904908</v>
      </c>
      <c r="O8" t="n">
        <v>0.194877640806477</v>
      </c>
      <c r="P8" t="n">
        <v>0.0493558053835946</v>
      </c>
      <c r="Q8" t="n">
        <v>0.0614191006442822</v>
      </c>
      <c r="R8" t="n">
        <v>0.147514907304756</v>
      </c>
      <c r="S8" t="n">
        <v>0.37799273536632</v>
      </c>
      <c r="T8" t="n">
        <v>0.036648312612404</v>
      </c>
      <c r="U8" t="n">
        <v>-0.0349343074873564</v>
      </c>
      <c r="V8" t="n">
        <v>-0.237157886759788</v>
      </c>
      <c r="W8" t="n">
        <v>0.00433266820789661</v>
      </c>
      <c r="X8" t="n">
        <v>0.0647153675029757</v>
      </c>
      <c r="Y8" t="n">
        <v>0.0455471025284683</v>
      </c>
      <c r="Z8" t="n">
        <v>0.139715737291891</v>
      </c>
      <c r="AA8" t="n">
        <v>-0.0387029940017062</v>
      </c>
      <c r="AB8" t="n">
        <v>0.0279885769760127</v>
      </c>
      <c r="AC8" t="n">
        <v>-0.0262691803507775</v>
      </c>
      <c r="AD8" t="n">
        <v>-0.0688128268741968</v>
      </c>
      <c r="AE8" t="n">
        <v>0.061481533956993</v>
      </c>
      <c r="AF8"/>
    </row>
    <row r="9">
      <c r="A9" t="s">
        <v>122</v>
      </c>
      <c r="B9" t="s">
        <v>283</v>
      </c>
      <c r="C9" t="s">
        <v>123</v>
      </c>
      <c r="D9" t="s">
        <v>284</v>
      </c>
      <c r="E9" t="s">
        <v>58</v>
      </c>
      <c r="F9" t="n">
        <v>1.02734988584742</v>
      </c>
      <c r="G9" t="n">
        <v>1.0685878819375</v>
      </c>
      <c r="H9" t="n">
        <v>0.670476643593217</v>
      </c>
      <c r="I9" t="n">
        <v>0.584435212173074</v>
      </c>
      <c r="J9" t="n">
        <v>0.1477763086926</v>
      </c>
      <c r="K9" t="n">
        <v>0.0205807973667849</v>
      </c>
      <c r="L9" t="n">
        <v>0.104325690346305</v>
      </c>
      <c r="M9" t="n">
        <v>0.00245151452539927</v>
      </c>
      <c r="N9" t="n">
        <v>0.0726473787405438</v>
      </c>
      <c r="O9" t="n">
        <v>-0.0565474329317176</v>
      </c>
      <c r="P9" t="n">
        <v>0.0825130197279619</v>
      </c>
      <c r="Q9" t="n">
        <v>-0.172818180112222</v>
      </c>
      <c r="R9" t="n">
        <v>0.197006058773026</v>
      </c>
      <c r="S9" t="n">
        <v>0.30029858292198</v>
      </c>
      <c r="T9" t="n">
        <v>0.00413961543727018</v>
      </c>
      <c r="U9" t="n">
        <v>0.105043884258912</v>
      </c>
      <c r="V9" t="n">
        <v>0.0429457325119106</v>
      </c>
      <c r="W9" t="n">
        <v>-0.0148403265019959</v>
      </c>
      <c r="X9" t="n">
        <v>-0.0242613280934866</v>
      </c>
      <c r="Y9" t="n">
        <v>-0.00235014680302405</v>
      </c>
      <c r="Z9" t="n">
        <v>-0.0326785201377141</v>
      </c>
      <c r="AA9" t="n">
        <v>-0.0814095874274162</v>
      </c>
      <c r="AB9" t="n">
        <v>-0.0379086008890695</v>
      </c>
      <c r="AC9" t="n">
        <v>0.028931313177395</v>
      </c>
      <c r="AD9" t="n">
        <v>0.121158492858086</v>
      </c>
      <c r="AE9" t="n">
        <v>0.0642886335769944</v>
      </c>
      <c r="AF9"/>
    </row>
    <row r="10">
      <c r="A10" t="s">
        <v>124</v>
      </c>
      <c r="B10" t="s">
        <v>283</v>
      </c>
      <c r="C10" t="s">
        <v>125</v>
      </c>
      <c r="D10" t="s">
        <v>284</v>
      </c>
      <c r="E10" t="s">
        <v>58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283</v>
      </c>
      <c r="C11" t="s">
        <v>127</v>
      </c>
      <c r="D11" t="s">
        <v>284</v>
      </c>
      <c r="E11" t="s">
        <v>58</v>
      </c>
      <c r="F11" t="n">
        <v>1.21364293736968</v>
      </c>
      <c r="G11" t="n">
        <v>1.17598933008144</v>
      </c>
      <c r="H11" t="n">
        <v>1.08433354103284</v>
      </c>
      <c r="I11" t="n">
        <v>0.717196276125332</v>
      </c>
      <c r="J11" t="n">
        <v>0.389600649078653</v>
      </c>
      <c r="K11" t="n">
        <v>0.31144676474868</v>
      </c>
      <c r="L11" t="n">
        <v>0.268757069556892</v>
      </c>
      <c r="M11" t="n">
        <v>0.144187372084593</v>
      </c>
      <c r="N11" t="n">
        <v>0.397982813945197</v>
      </c>
      <c r="O11" t="n">
        <v>0.0228309901650561</v>
      </c>
      <c r="P11" t="n">
        <v>0.102239992252176</v>
      </c>
      <c r="Q11" t="n">
        <v>-0.1311000361147</v>
      </c>
      <c r="R11" t="n">
        <v>0.281572813203731</v>
      </c>
      <c r="S11" t="n">
        <v>0.245093917502775</v>
      </c>
      <c r="T11" t="n">
        <v>0.0736031419659123</v>
      </c>
      <c r="U11" t="n">
        <v>0.0954149653230742</v>
      </c>
      <c r="V11" t="n">
        <v>0.187833273580803</v>
      </c>
      <c r="W11" t="n">
        <v>0.379275323511715</v>
      </c>
      <c r="X11" t="n">
        <v>0.318591646117175</v>
      </c>
      <c r="Y11" t="n">
        <v>0.143338883222908</v>
      </c>
      <c r="Z11" t="n">
        <v>0.00685986552270079</v>
      </c>
      <c r="AA11" t="n">
        <v>0.0976223243202625</v>
      </c>
      <c r="AB11" t="n">
        <v>0.0607590135479244</v>
      </c>
      <c r="AC11" t="n">
        <v>0.0167406312102913</v>
      </c>
      <c r="AD11" t="n">
        <v>0.000634190568575308</v>
      </c>
      <c r="AE11" t="n">
        <v>0.134685286476208</v>
      </c>
      <c r="AF11"/>
    </row>
    <row r="12">
      <c r="A12" t="s">
        <v>128</v>
      </c>
      <c r="B12" t="s">
        <v>283</v>
      </c>
      <c r="C12" t="s">
        <v>129</v>
      </c>
      <c r="D12" t="s">
        <v>284</v>
      </c>
      <c r="E12" t="s">
        <v>58</v>
      </c>
      <c r="F12" t="n">
        <v>0.465706546814132</v>
      </c>
      <c r="G12" t="n">
        <v>0.428883479048468</v>
      </c>
      <c r="H12" t="n">
        <v>0.347515205392564</v>
      </c>
      <c r="I12" t="n">
        <v>0.318959594236193</v>
      </c>
      <c r="J12" t="n">
        <v>0.109009794313278</v>
      </c>
      <c r="K12" t="n">
        <v>0.192013723167519</v>
      </c>
      <c r="L12" t="n">
        <v>0.221575961608453</v>
      </c>
      <c r="M12" t="n">
        <v>0.0436328595010604</v>
      </c>
      <c r="N12" t="n">
        <v>0.164931240301374</v>
      </c>
      <c r="O12" t="n">
        <v>0.151765001131366</v>
      </c>
      <c r="P12" t="n">
        <v>0.166039287302583</v>
      </c>
      <c r="Q12" t="n">
        <v>0.0323837040880794</v>
      </c>
      <c r="R12" t="n">
        <v>0.170898061751667</v>
      </c>
      <c r="S12" t="n">
        <v>0.197810428261002</v>
      </c>
      <c r="T12" t="n">
        <v>0.112259575896898</v>
      </c>
      <c r="U12" t="n">
        <v>0.0672704385138471</v>
      </c>
      <c r="V12" t="n">
        <v>-0.00237925630021467</v>
      </c>
      <c r="W12" t="n">
        <v>-0.0190607440177627</v>
      </c>
      <c r="X12" t="n">
        <v>0.0283570846841812</v>
      </c>
      <c r="Y12" t="n">
        <v>0.0103582528481624</v>
      </c>
      <c r="Z12" t="n">
        <v>0.00332419700417046</v>
      </c>
      <c r="AA12" t="n">
        <v>-0.0363824318736341</v>
      </c>
      <c r="AB12" t="n">
        <v>-0.00812934396961783</v>
      </c>
      <c r="AC12" t="n">
        <v>0.021309981370498</v>
      </c>
      <c r="AD12" t="n">
        <v>0.0286098307595825</v>
      </c>
      <c r="AE12" t="n">
        <v>0.0688840645106196</v>
      </c>
      <c r="AF12"/>
    </row>
    <row r="13">
      <c r="A13" t="s">
        <v>130</v>
      </c>
      <c r="B13" t="s">
        <v>283</v>
      </c>
      <c r="C13" t="s">
        <v>131</v>
      </c>
      <c r="D13" t="s">
        <v>284</v>
      </c>
      <c r="E13" t="s">
        <v>58</v>
      </c>
      <c r="F13" t="n">
        <v>0.432347913262767</v>
      </c>
      <c r="G13" t="n">
        <v>0.463015679625522</v>
      </c>
      <c r="H13" t="n">
        <v>0.245163476916426</v>
      </c>
      <c r="I13" t="n">
        <v>0.210169837088283</v>
      </c>
      <c r="J13" t="n">
        <v>0.162727477310222</v>
      </c>
      <c r="K13" t="n">
        <v>0.173996998407147</v>
      </c>
      <c r="L13" t="n">
        <v>0.248471507502762</v>
      </c>
      <c r="M13" t="n">
        <v>0.0239387352639252</v>
      </c>
      <c r="N13" t="n">
        <v>-0.053316618661983</v>
      </c>
      <c r="O13" t="n">
        <v>0.0161064961487699</v>
      </c>
      <c r="P13" t="n">
        <v>0.0602739163729358</v>
      </c>
      <c r="Q13" t="n">
        <v>-0.0557025690500612</v>
      </c>
      <c r="R13" t="n">
        <v>0.255181025582422</v>
      </c>
      <c r="S13" t="n">
        <v>0.263682630434166</v>
      </c>
      <c r="T13" t="n">
        <v>0.15917391568891</v>
      </c>
      <c r="U13" t="n">
        <v>0.0921861464364405</v>
      </c>
      <c r="V13" t="n">
        <v>0.0484435126393642</v>
      </c>
      <c r="W13" t="n">
        <v>0.0034478612353949</v>
      </c>
      <c r="X13" t="n">
        <v>-0.00284675408577235</v>
      </c>
      <c r="Y13" t="n">
        <v>0.0267714160795757</v>
      </c>
      <c r="Z13" t="n">
        <v>0.0353343081792476</v>
      </c>
      <c r="AA13" t="n">
        <v>-0.0253617974457368</v>
      </c>
      <c r="AB13" t="n">
        <v>0.0467304236990434</v>
      </c>
      <c r="AC13" t="n">
        <v>0.00960918128131799</v>
      </c>
      <c r="AD13" t="n">
        <v>0.051114036823388</v>
      </c>
      <c r="AE13" t="n">
        <v>0.084508312887098</v>
      </c>
      <c r="AF13"/>
    </row>
    <row r="14">
      <c r="A14" t="s">
        <v>132</v>
      </c>
      <c r="B14" t="s">
        <v>283</v>
      </c>
      <c r="C14" t="s">
        <v>133</v>
      </c>
      <c r="D14" t="s">
        <v>284</v>
      </c>
      <c r="E14" t="s">
        <v>58</v>
      </c>
      <c r="F14" t="n">
        <v>1.79623561858548</v>
      </c>
      <c r="G14" t="n">
        <v>1.38111544873771</v>
      </c>
      <c r="H14" t="n">
        <v>0.677821276499873</v>
      </c>
      <c r="I14" t="n">
        <v>0.775096372296609</v>
      </c>
      <c r="J14" t="n">
        <v>0.342983314847967</v>
      </c>
      <c r="K14" t="n">
        <v>0.588126424087431</v>
      </c>
      <c r="L14" t="n">
        <v>0.623612992101882</v>
      </c>
      <c r="M14" t="n">
        <v>-0.0232574090610233</v>
      </c>
      <c r="N14" t="n">
        <v>-0.225410690525522</v>
      </c>
      <c r="O14" t="n">
        <v>0.100698073026939</v>
      </c>
      <c r="P14" t="n">
        <v>0.257014693603707</v>
      </c>
      <c r="Q14" t="n">
        <v>-0.146701243577747</v>
      </c>
      <c r="R14" t="n">
        <v>0.104603229799208</v>
      </c>
      <c r="S14" t="n">
        <v>0.500735290157772</v>
      </c>
      <c r="T14" t="n">
        <v>0.197204548988328</v>
      </c>
      <c r="U14" t="n">
        <v>0.211611848404976</v>
      </c>
      <c r="V14" t="n">
        <v>0.182357246500326</v>
      </c>
      <c r="W14" t="n">
        <v>0.452066997274876</v>
      </c>
      <c r="X14" t="n">
        <v>0.145804477696038</v>
      </c>
      <c r="Y14" t="n">
        <v>0.112704049526066</v>
      </c>
      <c r="Z14" t="n">
        <v>0.108430498757249</v>
      </c>
      <c r="AA14" t="n">
        <v>0.0158418191867374</v>
      </c>
      <c r="AB14" t="n">
        <v>-0.0196951866238702</v>
      </c>
      <c r="AC14" t="n">
        <v>0.0977409642279253</v>
      </c>
      <c r="AD14" t="n">
        <v>0.077319284541963</v>
      </c>
      <c r="AE14" t="n">
        <v>0.0528317766412687</v>
      </c>
      <c r="AF14"/>
    </row>
    <row r="15">
      <c r="A15" t="s">
        <v>134</v>
      </c>
      <c r="B15" t="s">
        <v>283</v>
      </c>
      <c r="C15" t="s">
        <v>135</v>
      </c>
      <c r="D15" t="s">
        <v>284</v>
      </c>
      <c r="E15" t="s">
        <v>58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283</v>
      </c>
      <c r="C16" t="s">
        <v>137</v>
      </c>
      <c r="D16" t="s">
        <v>284</v>
      </c>
      <c r="E16" t="s">
        <v>58</v>
      </c>
      <c r="F16" t="n">
        <v>2.00719818001889</v>
      </c>
      <c r="G16" t="n">
        <v>1.71583416047032</v>
      </c>
      <c r="H16" t="n">
        <v>1.04379296874518</v>
      </c>
      <c r="I16" t="n">
        <v>0.9303769882955</v>
      </c>
      <c r="J16" t="n">
        <v>0.439996899057729</v>
      </c>
      <c r="K16" t="n">
        <v>0.523307689872377</v>
      </c>
      <c r="L16" t="n">
        <v>0.404228288710806</v>
      </c>
      <c r="M16" t="n">
        <v>0.0474569046516426</v>
      </c>
      <c r="N16" t="n">
        <v>0.240187357915926</v>
      </c>
      <c r="O16" t="n">
        <v>0.127210153225019</v>
      </c>
      <c r="P16" t="n">
        <v>0.0482760709217115</v>
      </c>
      <c r="Q16" t="n">
        <v>-0.333728769482692</v>
      </c>
      <c r="R16" t="n">
        <v>0.264979919777195</v>
      </c>
      <c r="S16" t="n">
        <v>0.404417102749365</v>
      </c>
      <c r="T16" t="n">
        <v>0.0087169823604839</v>
      </c>
      <c r="U16" t="n">
        <v>0.0824753513085649</v>
      </c>
      <c r="V16" t="n">
        <v>0.190131449780776</v>
      </c>
      <c r="W16" t="n">
        <v>0.244863302113682</v>
      </c>
      <c r="X16" t="n">
        <v>0.111246539741025</v>
      </c>
      <c r="Y16" t="n">
        <v>0.0517629691306566</v>
      </c>
      <c r="Z16" t="n">
        <v>-0.0250483342019719</v>
      </c>
      <c r="AA16" t="n">
        <v>0.0401340984632884</v>
      </c>
      <c r="AB16" t="n">
        <v>0.0821649288446368</v>
      </c>
      <c r="AC16" t="n">
        <v>-0.0250936454831455</v>
      </c>
      <c r="AD16" t="n">
        <v>-0.0632868743568781</v>
      </c>
      <c r="AE16" t="n">
        <v>-0.00197447180248665</v>
      </c>
      <c r="AF16"/>
    </row>
    <row r="17">
      <c r="A17" t="s">
        <v>138</v>
      </c>
      <c r="B17" t="s">
        <v>283</v>
      </c>
      <c r="C17" t="s">
        <v>139</v>
      </c>
      <c r="D17" t="s">
        <v>284</v>
      </c>
      <c r="E17" t="s">
        <v>58</v>
      </c>
      <c r="F17" t="n">
        <v>0.454273266425726</v>
      </c>
      <c r="G17" t="n">
        <v>0.397398165495499</v>
      </c>
      <c r="H17" t="n">
        <v>0.243877187582788</v>
      </c>
      <c r="I17" t="n">
        <v>0.257664353124066</v>
      </c>
      <c r="J17" t="n">
        <v>0.109500635592125</v>
      </c>
      <c r="K17" t="n">
        <v>0.106462022803955</v>
      </c>
      <c r="L17" t="n">
        <v>0.119971833647503</v>
      </c>
      <c r="M17" t="n">
        <v>0.0539068799824351</v>
      </c>
      <c r="N17" t="n">
        <v>0.0449423740760143</v>
      </c>
      <c r="O17" t="n">
        <v>0.0964018727573652</v>
      </c>
      <c r="P17" t="n">
        <v>0.152883726870762</v>
      </c>
      <c r="Q17" t="n">
        <v>-0.0899091466073151</v>
      </c>
      <c r="R17" t="n">
        <v>0.156901034497849</v>
      </c>
      <c r="S17" t="n">
        <v>0.191980488510116</v>
      </c>
      <c r="T17" t="n">
        <v>0.0963548031106271</v>
      </c>
      <c r="U17" t="n">
        <v>-0.0321265717033879</v>
      </c>
      <c r="V17" t="n">
        <v>0.00650479702656217</v>
      </c>
      <c r="W17" t="n">
        <v>0.0209058760986429</v>
      </c>
      <c r="X17" t="n">
        <v>0.00314468120671217</v>
      </c>
      <c r="Y17" t="n">
        <v>-0.00546689175459717</v>
      </c>
      <c r="Z17" t="n">
        <v>0.0385020898086808</v>
      </c>
      <c r="AA17" t="n">
        <v>-0.0260812953316473</v>
      </c>
      <c r="AB17" t="n">
        <v>-0.0495992002710357</v>
      </c>
      <c r="AC17" t="n">
        <v>-0.000314853027408262</v>
      </c>
      <c r="AD17" t="n">
        <v>0.00872238778835054</v>
      </c>
      <c r="AE17" t="n">
        <v>-0.00707370985622636</v>
      </c>
      <c r="AF17"/>
    </row>
    <row r="18">
      <c r="A18" t="s">
        <v>140</v>
      </c>
      <c r="B18" t="s">
        <v>283</v>
      </c>
      <c r="C18" t="s">
        <v>141</v>
      </c>
      <c r="D18" t="s">
        <v>284</v>
      </c>
      <c r="E18" t="s">
        <v>58</v>
      </c>
      <c r="F18" t="n">
        <v>0.459878924539913</v>
      </c>
      <c r="G18" t="n">
        <v>0.508809395785053</v>
      </c>
      <c r="H18" t="n">
        <v>0.438056323188522</v>
      </c>
      <c r="I18" t="n">
        <v>0.465796601091125</v>
      </c>
      <c r="J18" t="n">
        <v>0.216233145867965</v>
      </c>
      <c r="K18" t="n">
        <v>0.115993743300834</v>
      </c>
      <c r="L18" t="n">
        <v>0.150639902212705</v>
      </c>
      <c r="M18" t="n">
        <v>-0.00205696157787194</v>
      </c>
      <c r="N18" t="n">
        <v>0.12423417476181</v>
      </c>
      <c r="O18" t="n">
        <v>0.00632150297512143</v>
      </c>
      <c r="P18" t="n">
        <v>0.136401456851375</v>
      </c>
      <c r="Q18" t="n">
        <v>-0.0785473977841874</v>
      </c>
      <c r="R18" t="n">
        <v>0.169011705791327</v>
      </c>
      <c r="S18" t="n">
        <v>0.202053274666905</v>
      </c>
      <c r="T18" t="n">
        <v>0.0589085956008959</v>
      </c>
      <c r="U18" t="n">
        <v>-0.0555217641531948</v>
      </c>
      <c r="V18" t="n">
        <v>-0.0290288188636253</v>
      </c>
      <c r="W18" t="n">
        <v>0.0425435831550676</v>
      </c>
      <c r="X18" t="n">
        <v>0.0476014336699112</v>
      </c>
      <c r="Y18" t="n">
        <v>0.0342869950619195</v>
      </c>
      <c r="Z18" t="n">
        <v>0.0412916882761256</v>
      </c>
      <c r="AA18" t="n">
        <v>0.0357763007702932</v>
      </c>
      <c r="AB18" t="n">
        <v>0.0237760037979576</v>
      </c>
      <c r="AC18" t="n">
        <v>0.0225887893688554</v>
      </c>
      <c r="AD18" t="n">
        <v>0.0402799048946123</v>
      </c>
      <c r="AE18" t="n">
        <v>0.0635270752263098</v>
      </c>
      <c r="AF18"/>
    </row>
    <row r="19">
      <c r="A19" t="s">
        <v>142</v>
      </c>
      <c r="B19" t="s">
        <v>283</v>
      </c>
      <c r="C19" t="s">
        <v>143</v>
      </c>
      <c r="D19" t="s">
        <v>284</v>
      </c>
      <c r="E19" t="s">
        <v>58</v>
      </c>
      <c r="F19" t="n">
        <v>0.556557439655631</v>
      </c>
      <c r="G19" t="n">
        <v>0.739395325746274</v>
      </c>
      <c r="H19" t="n">
        <v>0.542289010358966</v>
      </c>
      <c r="I19" t="n">
        <v>0.574766044445648</v>
      </c>
      <c r="J19" t="n">
        <v>0.308058081628581</v>
      </c>
      <c r="K19" t="n">
        <v>0.0351607140375447</v>
      </c>
      <c r="L19" t="n">
        <v>0.436976035769276</v>
      </c>
      <c r="M19" t="n">
        <v>0.116558217847362</v>
      </c>
      <c r="N19" t="n">
        <v>0.427384775239475</v>
      </c>
      <c r="O19" t="n">
        <v>0.28526779908156</v>
      </c>
      <c r="P19" t="n">
        <v>0.533325819943993</v>
      </c>
      <c r="Q19" t="n">
        <v>0.0445462920289945</v>
      </c>
      <c r="R19" t="n">
        <v>0.435183006858264</v>
      </c>
      <c r="S19" t="n">
        <v>0.259717455547694</v>
      </c>
      <c r="T19" t="n">
        <v>0.0529203989552439</v>
      </c>
      <c r="U19" t="n">
        <v>0.559802899594468</v>
      </c>
      <c r="V19" t="n">
        <v>0.204727077583731</v>
      </c>
      <c r="W19" t="n">
        <v>-0.0984680239365816</v>
      </c>
      <c r="X19" t="n">
        <v>0.103116637329361</v>
      </c>
      <c r="Y19" t="n">
        <v>-0.00526980537413607</v>
      </c>
      <c r="Z19" t="n">
        <v>0.123763388073171</v>
      </c>
      <c r="AA19" t="n">
        <v>-0.0892927415631059</v>
      </c>
      <c r="AB19" t="n">
        <v>-0.128470778329738</v>
      </c>
      <c r="AC19" t="n">
        <v>-0.0754031119246563</v>
      </c>
      <c r="AD19" t="n">
        <v>0.0586611895178949</v>
      </c>
      <c r="AE19" t="n">
        <v>0.259278865687192</v>
      </c>
      <c r="AF19"/>
    </row>
    <row r="20">
      <c r="A20" t="s">
        <v>144</v>
      </c>
      <c r="B20" t="s">
        <v>283</v>
      </c>
      <c r="C20" t="s">
        <v>145</v>
      </c>
      <c r="D20" t="s">
        <v>284</v>
      </c>
      <c r="E20" t="s">
        <v>58</v>
      </c>
      <c r="F20" t="n">
        <v>0.839774615481293</v>
      </c>
      <c r="G20" t="n">
        <v>1.12382725296018</v>
      </c>
      <c r="H20" t="n">
        <v>0.725064138031364</v>
      </c>
      <c r="I20" t="n">
        <v>0.408099320536185</v>
      </c>
      <c r="J20" t="n">
        <v>0.248048075053534</v>
      </c>
      <c r="K20" t="n">
        <v>0.154605416822964</v>
      </c>
      <c r="L20" t="n">
        <v>-0.0318767063933931</v>
      </c>
      <c r="M20" t="n">
        <v>-0.203599627485453</v>
      </c>
      <c r="N20" t="n">
        <v>0.0334522250797064</v>
      </c>
      <c r="O20" t="n">
        <v>-0.147439532118545</v>
      </c>
      <c r="P20" t="n">
        <v>-0.382198719543373</v>
      </c>
      <c r="Q20" t="n">
        <v>-0.281119119973701</v>
      </c>
      <c r="R20" t="n">
        <v>0.0929041637829435</v>
      </c>
      <c r="S20" t="n">
        <v>-0.0147817445377951</v>
      </c>
      <c r="T20" t="n">
        <v>-0.159303138227563</v>
      </c>
      <c r="U20" t="n">
        <v>-0.0169269334981181</v>
      </c>
      <c r="V20" t="n">
        <v>0.0974708436432861</v>
      </c>
      <c r="W20" t="n">
        <v>-0.0351150251716353</v>
      </c>
      <c r="X20" t="n">
        <v>0.0822747982324128</v>
      </c>
      <c r="Y20" t="n">
        <v>0.0343459007059075</v>
      </c>
      <c r="Z20" t="n">
        <v>0.0246647691051164</v>
      </c>
      <c r="AA20" t="n">
        <v>0.019165358055979</v>
      </c>
      <c r="AB20" t="n">
        <v>0.131492723416267</v>
      </c>
      <c r="AC20" t="n">
        <v>0.0957639442294819</v>
      </c>
      <c r="AD20" t="n">
        <v>0.0886152640844701</v>
      </c>
      <c r="AE20" t="n">
        <v>-0.100916512658354</v>
      </c>
      <c r="AF20"/>
    </row>
    <row r="21">
      <c r="A21" t="s">
        <v>146</v>
      </c>
      <c r="B21" t="s">
        <v>283</v>
      </c>
      <c r="C21" t="s">
        <v>147</v>
      </c>
      <c r="D21" t="s">
        <v>284</v>
      </c>
      <c r="E21" t="s">
        <v>58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283</v>
      </c>
      <c r="C22" t="s">
        <v>149</v>
      </c>
      <c r="D22" t="s">
        <v>284</v>
      </c>
      <c r="E22" t="s">
        <v>58</v>
      </c>
      <c r="F22" t="n">
        <v>-0.21742913038031</v>
      </c>
      <c r="G22" t="n">
        <v>-0.100939676652295</v>
      </c>
      <c r="H22" t="n">
        <v>-0.0892565797454432</v>
      </c>
      <c r="I22" t="n">
        <v>-0.0701137275170389</v>
      </c>
      <c r="J22" t="n">
        <v>-0.048323484801144</v>
      </c>
      <c r="K22" t="n">
        <v>-0.0311017500680202</v>
      </c>
      <c r="L22" t="n">
        <v>-0.0202969923180105</v>
      </c>
      <c r="M22" t="n">
        <v>-0.0137748844166156</v>
      </c>
      <c r="N22" t="n">
        <v>-0.0107399658010765</v>
      </c>
      <c r="O22" t="n">
        <v>-0.0135679665503234</v>
      </c>
      <c r="P22" t="n">
        <v>-0.01389879096411</v>
      </c>
      <c r="Q22" t="n">
        <v>-0.011497350107409</v>
      </c>
      <c r="R22" t="n">
        <v>-0.00322677052851848</v>
      </c>
      <c r="S22" t="n">
        <v>-0.00150604350194438</v>
      </c>
      <c r="T22" t="n">
        <v>-0.00221909766780735</v>
      </c>
      <c r="U22" t="n">
        <v>0.00438305287681873</v>
      </c>
      <c r="V22" t="n">
        <v>0.0136655725525524</v>
      </c>
      <c r="W22" t="n">
        <v>0.00840026768475435</v>
      </c>
      <c r="X22" t="n">
        <v>0.0157394518658067</v>
      </c>
      <c r="Y22" t="n">
        <v>0.010878612154844</v>
      </c>
      <c r="Z22" t="n">
        <v>0.00926891184774588</v>
      </c>
      <c r="AA22" t="n">
        <v>0.0123572111127617</v>
      </c>
      <c r="AB22" t="n">
        <v>0.0147723214935958</v>
      </c>
      <c r="AC22" t="n">
        <v>0.0157124755613666</v>
      </c>
      <c r="AD22" t="n">
        <v>0.0164411820383104</v>
      </c>
      <c r="AE22" t="n">
        <v>0.0245149186674468</v>
      </c>
      <c r="AF22"/>
    </row>
    <row r="23">
      <c r="A23" t="s">
        <v>150</v>
      </c>
      <c r="B23" t="s">
        <v>283</v>
      </c>
      <c r="C23" t="s">
        <v>151</v>
      </c>
      <c r="D23" t="s">
        <v>284</v>
      </c>
      <c r="E23" t="s">
        <v>58</v>
      </c>
      <c r="F23" t="n">
        <v>0.716628210260811</v>
      </c>
      <c r="G23" t="n">
        <v>0.489087144697325</v>
      </c>
      <c r="H23" t="n">
        <v>0.306444991630011</v>
      </c>
      <c r="I23" t="n">
        <v>0.0555086118679678</v>
      </c>
      <c r="J23" t="n">
        <v>0.112836523422868</v>
      </c>
      <c r="K23" t="n">
        <v>0.092144517405637</v>
      </c>
      <c r="L23" t="n">
        <v>0.0498268906984647</v>
      </c>
      <c r="M23" t="n">
        <v>-0.0808408444845146</v>
      </c>
      <c r="N23" t="n">
        <v>-0.124928577578593</v>
      </c>
      <c r="O23" t="n">
        <v>-0.0490875663262171</v>
      </c>
      <c r="P23" t="n">
        <v>-0.058248431530972</v>
      </c>
      <c r="Q23" t="n">
        <v>-0.0782977126028994</v>
      </c>
      <c r="R23" t="n">
        <v>0.0623212568097174</v>
      </c>
      <c r="S23" t="n">
        <v>0.0051464293997354</v>
      </c>
      <c r="T23" t="n">
        <v>0.0157063968559309</v>
      </c>
      <c r="U23" t="n">
        <v>0.0688327593590354</v>
      </c>
      <c r="V23" t="n">
        <v>0.00391463017919604</v>
      </c>
      <c r="W23" t="n">
        <v>-0.0379486842911192</v>
      </c>
      <c r="X23" t="n">
        <v>0.0228614967362857</v>
      </c>
      <c r="Y23" t="n">
        <v>0.0179361912633362</v>
      </c>
      <c r="Z23" t="n">
        <v>0.0121663317406317</v>
      </c>
      <c r="AA23" t="n">
        <v>-0.0115368009225587</v>
      </c>
      <c r="AB23" t="n">
        <v>0.0160485616361921</v>
      </c>
      <c r="AC23" t="n">
        <v>0.000296772505563094</v>
      </c>
      <c r="AD23" t="n">
        <v>0.0187109726792087</v>
      </c>
      <c r="AE23" t="n">
        <v>0.0565011626099371</v>
      </c>
      <c r="AF23"/>
    </row>
    <row r="24">
      <c r="A24" t="s">
        <v>152</v>
      </c>
      <c r="B24" t="s">
        <v>283</v>
      </c>
      <c r="C24" t="s">
        <v>153</v>
      </c>
      <c r="D24" t="s">
        <v>284</v>
      </c>
      <c r="E24" t="s">
        <v>58</v>
      </c>
      <c r="F24" t="n">
        <v>0.819889612069313</v>
      </c>
      <c r="G24" t="n">
        <v>0.701479701875336</v>
      </c>
      <c r="H24" t="n">
        <v>0.483634758202577</v>
      </c>
      <c r="I24" t="n">
        <v>0.116107063611543</v>
      </c>
      <c r="J24" t="n">
        <v>0.128125832317365</v>
      </c>
      <c r="K24" t="n">
        <v>0.166864589413216</v>
      </c>
      <c r="L24" t="n">
        <v>-0.0171323962090579</v>
      </c>
      <c r="M24" t="n">
        <v>-0.00448458554296351</v>
      </c>
      <c r="N24" t="n">
        <v>-0.112933131761381</v>
      </c>
      <c r="O24" t="n">
        <v>0.145387854426976</v>
      </c>
      <c r="P24" t="n">
        <v>0.203770289395053</v>
      </c>
      <c r="Q24" t="n">
        <v>0.0687471991350022</v>
      </c>
      <c r="R24" t="n">
        <v>0.18414308884777</v>
      </c>
      <c r="S24" t="n">
        <v>0.175330473557071</v>
      </c>
      <c r="T24" t="n">
        <v>0.0649651890736043</v>
      </c>
      <c r="U24" t="n">
        <v>0.0263321989677594</v>
      </c>
      <c r="V24" t="n">
        <v>0.0507926516392092</v>
      </c>
      <c r="W24" t="n">
        <v>0.0283956164863616</v>
      </c>
      <c r="X24" t="n">
        <v>0.0295663343260603</v>
      </c>
      <c r="Y24" t="n">
        <v>0.0974015697671329</v>
      </c>
      <c r="Z24" t="n">
        <v>0.0464235863339573</v>
      </c>
      <c r="AA24" t="n">
        <v>-0.0408774056225778</v>
      </c>
      <c r="AB24" t="n">
        <v>-0.00235327310571291</v>
      </c>
      <c r="AC24" t="n">
        <v>-0.0227634006031028</v>
      </c>
      <c r="AD24" t="n">
        <v>0.0446770897543421</v>
      </c>
      <c r="AE24" t="n">
        <v>0.0541663238013279</v>
      </c>
      <c r="AF24"/>
    </row>
    <row r="25">
      <c r="A25" t="s">
        <v>154</v>
      </c>
      <c r="B25" t="s">
        <v>283</v>
      </c>
      <c r="C25" t="s">
        <v>155</v>
      </c>
      <c r="D25" t="s">
        <v>284</v>
      </c>
      <c r="E25" t="s">
        <v>58</v>
      </c>
      <c r="F25" t="n">
        <v>0.539003144011178</v>
      </c>
      <c r="G25" t="n">
        <v>0.788961930313651</v>
      </c>
      <c r="H25" t="n">
        <v>0.573231635331664</v>
      </c>
      <c r="I25" t="n">
        <v>-0.0947256115712917</v>
      </c>
      <c r="J25" t="n">
        <v>0.344033976747168</v>
      </c>
      <c r="K25" t="n">
        <v>0.500367051258652</v>
      </c>
      <c r="L25" t="n">
        <v>0.285980400911253</v>
      </c>
      <c r="M25" t="n">
        <v>-0.13338699948249</v>
      </c>
      <c r="N25" t="n">
        <v>0.0389252146367713</v>
      </c>
      <c r="O25" t="n">
        <v>0.168527007809001</v>
      </c>
      <c r="P25" t="n">
        <v>0.0708541420474805</v>
      </c>
      <c r="Q25" t="n">
        <v>-0.0207659545318154</v>
      </c>
      <c r="R25" t="n">
        <v>0.00545407091110667</v>
      </c>
      <c r="S25" t="n">
        <v>0.467327383947516</v>
      </c>
      <c r="T25" t="n">
        <v>0.132483892657183</v>
      </c>
      <c r="U25" t="n">
        <v>-0.154535013744284</v>
      </c>
      <c r="V25" t="n">
        <v>-0.0895277190244165</v>
      </c>
      <c r="W25" t="n">
        <v>-0.0905708487663033</v>
      </c>
      <c r="X25" t="n">
        <v>-0.0497537002361592</v>
      </c>
      <c r="Y25" t="n">
        <v>0.1345154376685</v>
      </c>
      <c r="Z25" t="n">
        <v>0.0383912944303003</v>
      </c>
      <c r="AA25" t="n">
        <v>-0.0505693653285122</v>
      </c>
      <c r="AB25" t="n">
        <v>0.00625032109042088</v>
      </c>
      <c r="AC25" t="n">
        <v>-0.0353271326578358</v>
      </c>
      <c r="AD25" t="n">
        <v>0.265812639251239</v>
      </c>
      <c r="AE25" t="n">
        <v>-0.00539440387598703</v>
      </c>
      <c r="AF25"/>
    </row>
    <row r="26">
      <c r="A26" t="s">
        <v>156</v>
      </c>
      <c r="B26" t="s">
        <v>283</v>
      </c>
      <c r="C26" t="s">
        <v>157</v>
      </c>
      <c r="D26" t="s">
        <v>284</v>
      </c>
      <c r="E26" t="s">
        <v>58</v>
      </c>
      <c r="F26" t="n">
        <v>0.652070442114813</v>
      </c>
      <c r="G26" t="n">
        <v>0.578905769858569</v>
      </c>
      <c r="H26" t="n">
        <v>0.596218173730799</v>
      </c>
      <c r="I26" t="n">
        <v>0.169717234698957</v>
      </c>
      <c r="J26" t="n">
        <v>0.16286894365748</v>
      </c>
      <c r="K26" t="n">
        <v>0.133425929582542</v>
      </c>
      <c r="L26" t="n">
        <v>0.00321752552402473</v>
      </c>
      <c r="M26" t="n">
        <v>0.0631615745567295</v>
      </c>
      <c r="N26" t="n">
        <v>-0.109688003955801</v>
      </c>
      <c r="O26" t="n">
        <v>0.0337985792816901</v>
      </c>
      <c r="P26" t="n">
        <v>0.0908427683480369</v>
      </c>
      <c r="Q26" t="n">
        <v>0.0636586717200101</v>
      </c>
      <c r="R26" t="n">
        <v>0.151566756627093</v>
      </c>
      <c r="S26" t="n">
        <v>0.156836558006114</v>
      </c>
      <c r="T26" t="n">
        <v>0.08158110766213</v>
      </c>
      <c r="U26" t="n">
        <v>0.0561505212995725</v>
      </c>
      <c r="V26" t="n">
        <v>0.0363453588421198</v>
      </c>
      <c r="W26" t="n">
        <v>0.0345254944222249</v>
      </c>
      <c r="X26" t="n">
        <v>0.0173931264808388</v>
      </c>
      <c r="Y26" t="n">
        <v>0.0436544120547522</v>
      </c>
      <c r="Z26" t="n">
        <v>0.0146701560355311</v>
      </c>
      <c r="AA26" t="n">
        <v>-0.0402638343780586</v>
      </c>
      <c r="AB26" t="n">
        <v>-0.00484089922814447</v>
      </c>
      <c r="AC26" t="n">
        <v>-0.0414250049428448</v>
      </c>
      <c r="AD26" t="n">
        <v>0.00630644951598123</v>
      </c>
      <c r="AE26" t="n">
        <v>0.026180480727195</v>
      </c>
      <c r="AF26"/>
    </row>
    <row r="27">
      <c r="A27" t="s">
        <v>158</v>
      </c>
      <c r="B27" t="s">
        <v>283</v>
      </c>
      <c r="C27" t="s">
        <v>159</v>
      </c>
      <c r="D27" t="s">
        <v>284</v>
      </c>
      <c r="E27" t="s">
        <v>58</v>
      </c>
      <c r="F27" t="n">
        <v>1.07819848183892</v>
      </c>
      <c r="G27" t="n">
        <v>0.846015562133434</v>
      </c>
      <c r="H27" t="n">
        <v>0.320959829666961</v>
      </c>
      <c r="I27" t="n">
        <v>0.0737827942382812</v>
      </c>
      <c r="J27" t="n">
        <v>0.0533938899507721</v>
      </c>
      <c r="K27" t="n">
        <v>0.168057794356326</v>
      </c>
      <c r="L27" t="n">
        <v>-0.0736453718557454</v>
      </c>
      <c r="M27" t="n">
        <v>-0.0530280507640662</v>
      </c>
      <c r="N27" t="n">
        <v>-0.131643641933055</v>
      </c>
      <c r="O27" t="n">
        <v>0.265530896250813</v>
      </c>
      <c r="P27" t="n">
        <v>0.34853818520179</v>
      </c>
      <c r="Q27" t="n">
        <v>0.091672072535555</v>
      </c>
      <c r="R27" t="n">
        <v>0.241563657539325</v>
      </c>
      <c r="S27" t="n">
        <v>0.15151070785412</v>
      </c>
      <c r="T27" t="n">
        <v>0.0398481643502174</v>
      </c>
      <c r="U27" t="n">
        <v>0.0250847006369123</v>
      </c>
      <c r="V27" t="n">
        <v>0.0806454065704238</v>
      </c>
      <c r="W27" t="n">
        <v>0.0365267685186296</v>
      </c>
      <c r="X27" t="n">
        <v>0.0515220908772025</v>
      </c>
      <c r="Y27" t="n">
        <v>0.143730116899995</v>
      </c>
      <c r="Z27" t="n">
        <v>0.0779106052191519</v>
      </c>
      <c r="AA27" t="n">
        <v>-0.0415838156541223</v>
      </c>
      <c r="AB27" t="n">
        <v>-0.00150274327899343</v>
      </c>
      <c r="AC27" t="n">
        <v>-0.00244629556251981</v>
      </c>
      <c r="AD27" t="n">
        <v>0.0618714224987812</v>
      </c>
      <c r="AE27" t="n">
        <v>0.0899283956618257</v>
      </c>
      <c r="AF27"/>
    </row>
    <row r="28">
      <c r="A28" t="s">
        <v>160</v>
      </c>
      <c r="B28" t="s">
        <v>283</v>
      </c>
      <c r="C28" t="s">
        <v>161</v>
      </c>
      <c r="D28" t="s">
        <v>284</v>
      </c>
      <c r="E28" t="s">
        <v>58</v>
      </c>
      <c r="F28" t="n">
        <v>0.333322075832058</v>
      </c>
      <c r="G28" t="n">
        <v>0.266756788891265</v>
      </c>
      <c r="H28" t="n">
        <v>0.342200486357551</v>
      </c>
      <c r="I28" t="n">
        <v>0.161862373844706</v>
      </c>
      <c r="J28" t="n">
        <v>0.0928248785975462</v>
      </c>
      <c r="K28" t="n">
        <v>0.0408184325668824</v>
      </c>
      <c r="L28" t="n">
        <v>0.0159650151179577</v>
      </c>
      <c r="M28" t="n">
        <v>-0.0627325638036186</v>
      </c>
      <c r="N28" t="n">
        <v>0.0722333523451567</v>
      </c>
      <c r="O28" t="n">
        <v>0.10610062854</v>
      </c>
      <c r="P28" t="n">
        <v>0.130374579368148</v>
      </c>
      <c r="Q28" t="n">
        <v>-0.00846553399696267</v>
      </c>
      <c r="R28" t="n">
        <v>0.212401695789657</v>
      </c>
      <c r="S28" t="n">
        <v>0.288970642007363</v>
      </c>
      <c r="T28" t="n">
        <v>0.176979991369188</v>
      </c>
      <c r="U28" t="n">
        <v>0.162955720517624</v>
      </c>
      <c r="V28" t="n">
        <v>0.121543267227216</v>
      </c>
      <c r="W28" t="n">
        <v>0.167748652890361</v>
      </c>
      <c r="X28" t="n">
        <v>0.0226073491450654</v>
      </c>
      <c r="Y28" t="n">
        <v>0.088054517158184</v>
      </c>
      <c r="Z28" t="n">
        <v>0.0236807033750935</v>
      </c>
      <c r="AA28" t="n">
        <v>0.0113945765997766</v>
      </c>
      <c r="AB28" t="n">
        <v>0.0360836884545872</v>
      </c>
      <c r="AC28" t="n">
        <v>0.0607878785025876</v>
      </c>
      <c r="AD28" t="n">
        <v>0.0573519872666387</v>
      </c>
      <c r="AE28" t="n">
        <v>0.101115911964313</v>
      </c>
      <c r="AF28"/>
    </row>
    <row r="29">
      <c r="A29" t="s">
        <v>162</v>
      </c>
      <c r="B29" t="s">
        <v>283</v>
      </c>
      <c r="C29" t="s">
        <v>163</v>
      </c>
      <c r="D29" t="s">
        <v>284</v>
      </c>
      <c r="E29" t="s">
        <v>58</v>
      </c>
      <c r="F29" t="n">
        <v>0.163075732081751</v>
      </c>
      <c r="G29" t="n">
        <v>0.139197606648425</v>
      </c>
      <c r="H29" t="n">
        <v>0.20060411961203</v>
      </c>
      <c r="I29" t="n">
        <v>0.0739909065245256</v>
      </c>
      <c r="J29" t="n">
        <v>0.0052008159900966</v>
      </c>
      <c r="K29" t="n">
        <v>0.0703818083847854</v>
      </c>
      <c r="L29" t="n">
        <v>0.00807471710347056</v>
      </c>
      <c r="M29" t="n">
        <v>-0.0109628769770461</v>
      </c>
      <c r="N29" t="n">
        <v>0.113638371253141</v>
      </c>
      <c r="O29" t="n">
        <v>0.15430563025073</v>
      </c>
      <c r="P29" t="n">
        <v>0.145274605700388</v>
      </c>
      <c r="Q29" t="n">
        <v>-0.021697393515273</v>
      </c>
      <c r="R29" t="n">
        <v>0.00349590136632646</v>
      </c>
      <c r="S29" t="n">
        <v>0.360173070663497</v>
      </c>
      <c r="T29" t="n">
        <v>0.244204231784241</v>
      </c>
      <c r="U29" t="n">
        <v>0.255624047565257</v>
      </c>
      <c r="V29" t="n">
        <v>0.224976271055301</v>
      </c>
      <c r="W29" t="n">
        <v>0.189486842185697</v>
      </c>
      <c r="X29" t="n">
        <v>0.0984957034447614</v>
      </c>
      <c r="Y29" t="n">
        <v>0.127369991594754</v>
      </c>
      <c r="Z29" t="n">
        <v>0.0334510914223702</v>
      </c>
      <c r="AA29" t="n">
        <v>0.0356689072764381</v>
      </c>
      <c r="AB29" t="n">
        <v>0.054088087116454</v>
      </c>
      <c r="AC29" t="n">
        <v>0.107346346041958</v>
      </c>
      <c r="AD29" t="n">
        <v>0.116388055276925</v>
      </c>
      <c r="AE29" t="n">
        <v>0.131436646582931</v>
      </c>
      <c r="AF29"/>
    </row>
    <row r="30">
      <c r="A30" t="s">
        <v>164</v>
      </c>
      <c r="B30" t="s">
        <v>283</v>
      </c>
      <c r="C30" t="s">
        <v>165</v>
      </c>
      <c r="D30" t="s">
        <v>284</v>
      </c>
      <c r="E30" t="s">
        <v>58</v>
      </c>
      <c r="F30" t="n">
        <v>-0.0511336927000565</v>
      </c>
      <c r="G30" t="n">
        <v>-0.014831765614188</v>
      </c>
      <c r="H30" t="n">
        <v>-0.00629499396181634</v>
      </c>
      <c r="I30" t="n">
        <v>0.0218532469353117</v>
      </c>
      <c r="J30" t="n">
        <v>0.000360570576842653</v>
      </c>
      <c r="K30" t="n">
        <v>-0.0122324066615913</v>
      </c>
      <c r="L30" t="n">
        <v>0.004024180765973</v>
      </c>
      <c r="M30" t="n">
        <v>0.0124782652553077</v>
      </c>
      <c r="N30" t="n">
        <v>0.0646181862026531</v>
      </c>
      <c r="O30" t="n">
        <v>0.0789885233693706</v>
      </c>
      <c r="P30" t="n">
        <v>-0.00463244510541337</v>
      </c>
      <c r="Q30" t="n">
        <v>-0.0404498240071526</v>
      </c>
      <c r="R30" t="n">
        <v>-0.0227593191096532</v>
      </c>
      <c r="S30" t="n">
        <v>0.0759454973177786</v>
      </c>
      <c r="T30" t="n">
        <v>0.0777800749477836</v>
      </c>
      <c r="U30" t="n">
        <v>0.00939436333568631</v>
      </c>
      <c r="V30" t="n">
        <v>0.0226960369514902</v>
      </c>
      <c r="W30" t="n">
        <v>0.0150807345245834</v>
      </c>
      <c r="X30" t="n">
        <v>-0.0077675900721972</v>
      </c>
      <c r="Y30" t="n">
        <v>-0.000535195185754767</v>
      </c>
      <c r="Z30" t="n">
        <v>0.00642017689322043</v>
      </c>
      <c r="AA30" t="n">
        <v>0.0209230863211262</v>
      </c>
      <c r="AB30" t="n">
        <v>0.0205909779037942</v>
      </c>
      <c r="AC30" t="n">
        <v>0.011652851878858</v>
      </c>
      <c r="AD30" t="n">
        <v>0.0000106361520102954</v>
      </c>
      <c r="AE30" t="n">
        <v>0.0382446651866227</v>
      </c>
      <c r="AF30"/>
    </row>
    <row r="31">
      <c r="A31" t="s">
        <v>166</v>
      </c>
      <c r="B31" t="s">
        <v>283</v>
      </c>
      <c r="C31" t="s">
        <v>167</v>
      </c>
      <c r="D31" t="s">
        <v>284</v>
      </c>
      <c r="E31" t="s">
        <v>58</v>
      </c>
      <c r="F31" t="n">
        <v>-0.000743668996953012</v>
      </c>
      <c r="G31" t="n">
        <v>0.0372656506755134</v>
      </c>
      <c r="H31" t="n">
        <v>0.243655794408299</v>
      </c>
      <c r="I31" t="n">
        <v>0.10299117161609</v>
      </c>
      <c r="J31" t="n">
        <v>-0.0286790635376845</v>
      </c>
      <c r="K31" t="n">
        <v>-0.00550389138194651</v>
      </c>
      <c r="L31" t="n">
        <v>-0.040676841746142</v>
      </c>
      <c r="M31" t="n">
        <v>-0.0527718314169359</v>
      </c>
      <c r="N31" t="n">
        <v>0.0763414415870066</v>
      </c>
      <c r="O31" t="n">
        <v>0.135165847911531</v>
      </c>
      <c r="P31" t="n">
        <v>0.114426546031493</v>
      </c>
      <c r="Q31" t="n">
        <v>0.0179105931978304</v>
      </c>
      <c r="R31" t="n">
        <v>0.0401539921966764</v>
      </c>
      <c r="S31" t="n">
        <v>0.785622530353001</v>
      </c>
      <c r="T31" t="n">
        <v>0.405923590414272</v>
      </c>
      <c r="U31" t="n">
        <v>0.0593040815756427</v>
      </c>
      <c r="V31" t="n">
        <v>-0.108260278816578</v>
      </c>
      <c r="W31" t="n">
        <v>0.0192559599341356</v>
      </c>
      <c r="X31" t="n">
        <v>0.139374268172599</v>
      </c>
      <c r="Y31" t="n">
        <v>0.138345914520345</v>
      </c>
      <c r="Z31" t="n">
        <v>0.00448861561825967</v>
      </c>
      <c r="AA31" t="n">
        <v>0.0348913790368398</v>
      </c>
      <c r="AB31" t="n">
        <v>0.0918856622427619</v>
      </c>
      <c r="AC31" t="n">
        <v>0.0563758994646556</v>
      </c>
      <c r="AD31" t="n">
        <v>0.0289910602757376</v>
      </c>
      <c r="AE31" t="n">
        <v>0.271478958891487</v>
      </c>
      <c r="AF31"/>
    </row>
    <row r="32">
      <c r="A32" t="s">
        <v>168</v>
      </c>
      <c r="B32" t="s">
        <v>283</v>
      </c>
      <c r="C32" t="s">
        <v>169</v>
      </c>
      <c r="D32" t="s">
        <v>284</v>
      </c>
      <c r="E32" t="s">
        <v>58</v>
      </c>
      <c r="F32" t="n">
        <v>-0.00586866210437198</v>
      </c>
      <c r="G32" t="n">
        <v>0.0614099695583284</v>
      </c>
      <c r="H32" t="n">
        <v>0.0116378582514044</v>
      </c>
      <c r="I32" t="n">
        <v>0.108354069823682</v>
      </c>
      <c r="J32" t="n">
        <v>0.0805420703348668</v>
      </c>
      <c r="K32" t="n">
        <v>-0.0256768825811382</v>
      </c>
      <c r="L32" t="n">
        <v>-0.0748917411952722</v>
      </c>
      <c r="M32" t="n">
        <v>-0.119105118027361</v>
      </c>
      <c r="N32" t="n">
        <v>0.101184335063946</v>
      </c>
      <c r="O32" t="n">
        <v>0.120825618353706</v>
      </c>
      <c r="P32" t="n">
        <v>0.0453819115699864</v>
      </c>
      <c r="Q32" t="n">
        <v>-0.100862804080964</v>
      </c>
      <c r="R32" t="n">
        <v>-0.0304850513213818</v>
      </c>
      <c r="S32" t="n">
        <v>0.309852812841736</v>
      </c>
      <c r="T32" t="n">
        <v>0.30597200180813</v>
      </c>
      <c r="U32" t="n">
        <v>0.271850831560074</v>
      </c>
      <c r="V32" t="n">
        <v>0.193531800100573</v>
      </c>
      <c r="W32" t="n">
        <v>0.195710952083974</v>
      </c>
      <c r="X32" t="n">
        <v>-0.0442789284117652</v>
      </c>
      <c r="Y32" t="n">
        <v>0.102412037603612</v>
      </c>
      <c r="Z32" t="n">
        <v>-0.0186014573327928</v>
      </c>
      <c r="AA32" t="n">
        <v>-0.0492401215157244</v>
      </c>
      <c r="AB32" t="n">
        <v>0.0136178453034276</v>
      </c>
      <c r="AC32" t="n">
        <v>0.0644604737647766</v>
      </c>
      <c r="AD32" t="n">
        <v>-0.0292516636125054</v>
      </c>
      <c r="AE32" t="n">
        <v>0.0633524986868976</v>
      </c>
      <c r="AF32"/>
    </row>
    <row r="33">
      <c r="A33" t="s">
        <v>170</v>
      </c>
      <c r="B33" t="s">
        <v>283</v>
      </c>
      <c r="C33" t="s">
        <v>171</v>
      </c>
      <c r="D33" t="s">
        <v>284</v>
      </c>
      <c r="E33" t="s">
        <v>58</v>
      </c>
      <c r="F33" t="n">
        <v>2.79441249859518</v>
      </c>
      <c r="G33" t="n">
        <v>1.98832188877889</v>
      </c>
      <c r="H33" t="n">
        <v>2.11376734146361</v>
      </c>
      <c r="I33" t="n">
        <v>0.884702605908366</v>
      </c>
      <c r="J33" t="n">
        <v>0.691268014211373</v>
      </c>
      <c r="K33" t="n">
        <v>-0.175364081772707</v>
      </c>
      <c r="L33" t="n">
        <v>0.0787825432488387</v>
      </c>
      <c r="M33" t="n">
        <v>-0.547329583947721</v>
      </c>
      <c r="N33" t="n">
        <v>-0.165564513668883</v>
      </c>
      <c r="O33" t="n">
        <v>-0.437400510918336</v>
      </c>
      <c r="P33" t="n">
        <v>0.190974478872009</v>
      </c>
      <c r="Q33" t="n">
        <v>0.150225295127747</v>
      </c>
      <c r="R33" t="n">
        <v>2.70091314374575</v>
      </c>
      <c r="S33" t="n">
        <v>-0.506213887113093</v>
      </c>
      <c r="T33" t="n">
        <v>-0.816649756451562</v>
      </c>
      <c r="U33" t="n">
        <v>-0.84730283098995</v>
      </c>
      <c r="V33" t="n">
        <v>-0.53242494297272</v>
      </c>
      <c r="W33" t="n">
        <v>0.259139230125949</v>
      </c>
      <c r="X33" t="n">
        <v>-0.53462419123498</v>
      </c>
      <c r="Y33" t="n">
        <v>-0.264612101884444</v>
      </c>
      <c r="Z33" t="n">
        <v>0.0129872905302733</v>
      </c>
      <c r="AA33" t="n">
        <v>-0.147879049379931</v>
      </c>
      <c r="AB33" t="n">
        <v>-0.0846384488106725</v>
      </c>
      <c r="AC33" t="n">
        <v>-0.300171061213933</v>
      </c>
      <c r="AD33" t="n">
        <v>-0.198838007584205</v>
      </c>
      <c r="AE33" t="n">
        <v>-0.260595869546685</v>
      </c>
      <c r="AF33"/>
    </row>
    <row r="34">
      <c r="A34" t="s">
        <v>172</v>
      </c>
      <c r="B34" t="s">
        <v>283</v>
      </c>
      <c r="C34" t="s">
        <v>173</v>
      </c>
      <c r="D34" t="s">
        <v>284</v>
      </c>
      <c r="E34" t="s">
        <v>58</v>
      </c>
      <c r="F34" t="n">
        <v>0.0761345004675943</v>
      </c>
      <c r="G34" t="n">
        <v>0.121577436609468</v>
      </c>
      <c r="H34" t="n">
        <v>0.107300099818769</v>
      </c>
      <c r="I34" t="n">
        <v>0.0571108583719089</v>
      </c>
      <c r="J34" t="n">
        <v>0.106308817302304</v>
      </c>
      <c r="K34" t="n">
        <v>0.112614388865582</v>
      </c>
      <c r="L34" t="n">
        <v>0.0626034312695041</v>
      </c>
      <c r="M34" t="n">
        <v>0.03517719031131</v>
      </c>
      <c r="N34" t="n">
        <v>0.000523113255169101</v>
      </c>
      <c r="O34" t="n">
        <v>0.0227733164844433</v>
      </c>
      <c r="P34" t="n">
        <v>-0.0262111041727789</v>
      </c>
      <c r="Q34" t="n">
        <v>0.0731515437832347</v>
      </c>
      <c r="R34" t="n">
        <v>0.112832252018456</v>
      </c>
      <c r="S34" t="n">
        <v>0.0923024006736497</v>
      </c>
      <c r="T34" t="n">
        <v>-0.00562702187686915</v>
      </c>
      <c r="U34" t="n">
        <v>0.0517875937892034</v>
      </c>
      <c r="V34" t="n">
        <v>0.0378388971530368</v>
      </c>
      <c r="W34" t="n">
        <v>-0.0267925511651952</v>
      </c>
      <c r="X34" t="n">
        <v>-0.0585292009121152</v>
      </c>
      <c r="Y34" t="n">
        <v>-0.00323373471644416</v>
      </c>
      <c r="Z34" t="n">
        <v>0.00909844825541722</v>
      </c>
      <c r="AA34" t="n">
        <v>-0.031012026188131</v>
      </c>
      <c r="AB34" t="n">
        <v>-0.014167467106955</v>
      </c>
      <c r="AC34" t="n">
        <v>-0.028095375690531</v>
      </c>
      <c r="AD34" t="n">
        <v>-0.0153770852482263</v>
      </c>
      <c r="AE34" t="n">
        <v>0.01395604585701</v>
      </c>
      <c r="AF34"/>
    </row>
    <row r="35">
      <c r="A35" t="s">
        <v>174</v>
      </c>
      <c r="B35" t="s">
        <v>283</v>
      </c>
      <c r="C35" t="s">
        <v>175</v>
      </c>
      <c r="D35" t="s">
        <v>284</v>
      </c>
      <c r="E35" t="s">
        <v>58</v>
      </c>
      <c r="F35" t="n">
        <v>4.85114603463139</v>
      </c>
      <c r="G35" t="n">
        <v>5.49063704232791</v>
      </c>
      <c r="H35" t="n">
        <v>3.23609629774153</v>
      </c>
      <c r="I35" t="n">
        <v>1.777955753822</v>
      </c>
      <c r="J35" t="n">
        <v>2.36453723211305</v>
      </c>
      <c r="K35" t="n">
        <v>0.206613356856579</v>
      </c>
      <c r="L35" t="n">
        <v>0.692211432292307</v>
      </c>
      <c r="M35" t="n">
        <v>0.798088951072784</v>
      </c>
      <c r="N35" t="n">
        <v>0.693588214867706</v>
      </c>
      <c r="O35" t="n">
        <v>0.514010608661164</v>
      </c>
      <c r="P35" t="n">
        <v>-0.246287085392031</v>
      </c>
      <c r="Q35" t="n">
        <v>0.195849711890974</v>
      </c>
      <c r="R35" t="n">
        <v>0.407625107364143</v>
      </c>
      <c r="S35" t="n">
        <v>0.315728731871894</v>
      </c>
      <c r="T35" t="n">
        <v>0.555561403257692</v>
      </c>
      <c r="U35" t="n">
        <v>0.322915209591861</v>
      </c>
      <c r="V35" t="n">
        <v>0.856345025279552</v>
      </c>
      <c r="W35" t="n">
        <v>2.04303358044162</v>
      </c>
      <c r="X35" t="n">
        <v>0.654844341470792</v>
      </c>
      <c r="Y35" t="n">
        <v>0.555021009041994</v>
      </c>
      <c r="Z35" t="n">
        <v>0.35967419654119</v>
      </c>
      <c r="AA35" t="n">
        <v>-0.230217820399108</v>
      </c>
      <c r="AB35" t="n">
        <v>0.086909948454616</v>
      </c>
      <c r="AC35" t="n">
        <v>0.0422130404620361</v>
      </c>
      <c r="AD35" t="n">
        <v>0.159172066740274</v>
      </c>
      <c r="AE35" t="n">
        <v>0.191536049096075</v>
      </c>
      <c r="AF35"/>
    </row>
    <row r="36">
      <c r="A36" t="s">
        <v>176</v>
      </c>
      <c r="B36" t="s">
        <v>283</v>
      </c>
      <c r="C36" t="s">
        <v>177</v>
      </c>
      <c r="D36" t="s">
        <v>284</v>
      </c>
      <c r="E36" t="s">
        <v>58</v>
      </c>
      <c r="F36" t="n">
        <v>6.27621419984606</v>
      </c>
      <c r="G36" t="n">
        <v>8.49380625435259</v>
      </c>
      <c r="H36" t="n">
        <v>2.40038248751449</v>
      </c>
      <c r="I36" t="n">
        <v>0.652833961519831</v>
      </c>
      <c r="J36" t="n">
        <v>1.07278439689787</v>
      </c>
      <c r="K36" t="n">
        <v>-0.257896813896157</v>
      </c>
      <c r="L36" t="n">
        <v>0.0904161021735715</v>
      </c>
      <c r="M36" t="n">
        <v>-0.132044358538624</v>
      </c>
      <c r="N36" t="n">
        <v>1.09887670784021</v>
      </c>
      <c r="O36" t="n">
        <v>-0.172658168217262</v>
      </c>
      <c r="P36" t="n">
        <v>0.361088550413556</v>
      </c>
      <c r="Q36" t="n">
        <v>0.323060598248263</v>
      </c>
      <c r="R36" t="n">
        <v>0.0644023990973786</v>
      </c>
      <c r="S36" t="n">
        <v>-0.265433628285652</v>
      </c>
      <c r="T36" t="n">
        <v>0.104150813710038</v>
      </c>
      <c r="U36" t="n">
        <v>0.338070564408477</v>
      </c>
      <c r="V36" t="n">
        <v>0.320418070349552</v>
      </c>
      <c r="W36" t="n">
        <v>1.13363448814202</v>
      </c>
      <c r="X36" t="n">
        <v>0.487288936115531</v>
      </c>
      <c r="Y36" t="n">
        <v>0.364259899612</v>
      </c>
      <c r="Z36" t="n">
        <v>-0.110225960033862</v>
      </c>
      <c r="AA36" t="n">
        <v>-0.195391160785722</v>
      </c>
      <c r="AB36" t="n">
        <v>-0.152346586280047</v>
      </c>
      <c r="AC36" t="n">
        <v>-0.26313849174902</v>
      </c>
      <c r="AD36" t="n">
        <v>0.335984193040662</v>
      </c>
      <c r="AE36" t="n">
        <v>0.0170368626646797</v>
      </c>
      <c r="AF36"/>
    </row>
    <row r="37">
      <c r="A37" t="s">
        <v>178</v>
      </c>
      <c r="B37" t="s">
        <v>283</v>
      </c>
      <c r="C37" t="s">
        <v>179</v>
      </c>
      <c r="D37" t="s">
        <v>284</v>
      </c>
      <c r="E37" t="s">
        <v>58</v>
      </c>
      <c r="F37" t="n">
        <v>11.3929438525233</v>
      </c>
      <c r="G37" t="n">
        <v>7.80364542639997</v>
      </c>
      <c r="H37" t="n">
        <v>9.2518080327401</v>
      </c>
      <c r="I37" t="n">
        <v>7.85925445040247</v>
      </c>
      <c r="J37" t="n">
        <v>5.73981234576026</v>
      </c>
      <c r="K37" t="n">
        <v>-4.06092768263719</v>
      </c>
      <c r="L37" t="n">
        <v>1.79178909366418</v>
      </c>
      <c r="M37" t="n">
        <v>3.72092144758258</v>
      </c>
      <c r="N37" t="n">
        <v>3.21795489224321</v>
      </c>
      <c r="O37" t="n">
        <v>3.25918555652473</v>
      </c>
      <c r="P37" t="n">
        <v>-4.08103526788932</v>
      </c>
      <c r="Q37" t="n">
        <v>-2.90648202970913</v>
      </c>
      <c r="R37" t="n">
        <v>2.64820373824413</v>
      </c>
      <c r="S37" t="n">
        <v>1.31482995170059</v>
      </c>
      <c r="T37" t="n">
        <v>3.7073249090287</v>
      </c>
      <c r="U37" t="n">
        <v>0.156288384971491</v>
      </c>
      <c r="V37" t="n">
        <v>2.5455335131762</v>
      </c>
      <c r="W37" t="n">
        <v>5.62572927894194</v>
      </c>
      <c r="X37" t="n">
        <v>0.0648310790643945</v>
      </c>
      <c r="Y37" t="n">
        <v>2.68949246657456</v>
      </c>
      <c r="Z37" t="n">
        <v>0.809062880895679</v>
      </c>
      <c r="AA37" t="n">
        <v>-3.39090586330216</v>
      </c>
      <c r="AB37" t="n">
        <v>0.197034961645493</v>
      </c>
      <c r="AC37" t="n">
        <v>-2.80462530832312</v>
      </c>
      <c r="AD37" t="n">
        <v>0.0369495469441919</v>
      </c>
      <c r="AE37" t="n">
        <v>0.396658546634974</v>
      </c>
      <c r="AF37"/>
    </row>
    <row r="38">
      <c r="A38" t="s">
        <v>180</v>
      </c>
      <c r="B38" t="s">
        <v>283</v>
      </c>
      <c r="C38" t="s">
        <v>181</v>
      </c>
      <c r="D38" t="s">
        <v>284</v>
      </c>
      <c r="E38" t="s">
        <v>58</v>
      </c>
      <c r="F38" t="n">
        <v>-0.193667117178588</v>
      </c>
      <c r="G38" t="n">
        <v>0.0165254456746447</v>
      </c>
      <c r="H38" t="n">
        <v>-0.0126626010772492</v>
      </c>
      <c r="I38" t="n">
        <v>-0.102087355488586</v>
      </c>
      <c r="J38" t="n">
        <v>0.0420666581621885</v>
      </c>
      <c r="K38" t="n">
        <v>0.281769954602562</v>
      </c>
      <c r="L38" t="n">
        <v>0.576182734318892</v>
      </c>
      <c r="M38" t="n">
        <v>1.10153443842292</v>
      </c>
      <c r="N38" t="n">
        <v>1.29405472614175</v>
      </c>
      <c r="O38" t="n">
        <v>1.76174790693047</v>
      </c>
      <c r="P38" t="n">
        <v>0.69340267117063</v>
      </c>
      <c r="Q38" t="n">
        <v>0.299159814074141</v>
      </c>
      <c r="R38" t="n">
        <v>-0.273917511173429</v>
      </c>
      <c r="S38" t="n">
        <v>0.117108479451264</v>
      </c>
      <c r="T38" t="n">
        <v>-0.18916283593089</v>
      </c>
      <c r="U38" t="n">
        <v>0.338702295412108</v>
      </c>
      <c r="V38" t="n">
        <v>0.219860438446732</v>
      </c>
      <c r="W38" t="n">
        <v>0.0905848515277246</v>
      </c>
      <c r="X38" t="n">
        <v>0.0455704913237548</v>
      </c>
      <c r="Y38" t="n">
        <v>0.230450603624835</v>
      </c>
      <c r="Z38" t="n">
        <v>0.533211698008257</v>
      </c>
      <c r="AA38" t="n">
        <v>-0.095830515867972</v>
      </c>
      <c r="AB38" t="n">
        <v>0.00507188495373109</v>
      </c>
      <c r="AC38" t="n">
        <v>0.767368984155137</v>
      </c>
      <c r="AD38" t="n">
        <v>0.17333425637328</v>
      </c>
      <c r="AE38" t="n">
        <v>0.0128465369624384</v>
      </c>
      <c r="AF38"/>
    </row>
    <row r="39">
      <c r="A39" t="s">
        <v>182</v>
      </c>
      <c r="B39" t="s">
        <v>283</v>
      </c>
      <c r="C39" t="s">
        <v>183</v>
      </c>
      <c r="D39" t="s">
        <v>284</v>
      </c>
      <c r="E39" t="s">
        <v>58</v>
      </c>
      <c r="F39" t="n">
        <v>1.56013989274062</v>
      </c>
      <c r="G39" t="n">
        <v>1.62434018518626</v>
      </c>
      <c r="H39" t="n">
        <v>1.18404420608603</v>
      </c>
      <c r="I39" t="n">
        <v>0.83744131051926</v>
      </c>
      <c r="J39" t="n">
        <v>0.541941927939548</v>
      </c>
      <c r="K39" t="n">
        <v>0.35633009506934</v>
      </c>
      <c r="L39" t="n">
        <v>0.637734265825243</v>
      </c>
      <c r="M39" t="n">
        <v>0.232021174968</v>
      </c>
      <c r="N39" t="n">
        <v>0.733551377188576</v>
      </c>
      <c r="O39" t="n">
        <v>0.985517227477116</v>
      </c>
      <c r="P39" t="n">
        <v>0.330349472074944</v>
      </c>
      <c r="Q39" t="n">
        <v>0.212618752109874</v>
      </c>
      <c r="R39" t="n">
        <v>0.441526703294548</v>
      </c>
      <c r="S39" t="n">
        <v>0.225909595117202</v>
      </c>
      <c r="T39" t="n">
        <v>0.451917142208006</v>
      </c>
      <c r="U39" t="n">
        <v>0.264600656227073</v>
      </c>
      <c r="V39" t="n">
        <v>0.0798634431497354</v>
      </c>
      <c r="W39" t="n">
        <v>-0.00145529354564648</v>
      </c>
      <c r="X39" t="n">
        <v>0.196861272617201</v>
      </c>
      <c r="Y39" t="n">
        <v>0.477895130726905</v>
      </c>
      <c r="Z39" t="n">
        <v>0.0122801746396539</v>
      </c>
      <c r="AA39" t="n">
        <v>-0.279548661346969</v>
      </c>
      <c r="AB39" t="n">
        <v>-0.00185850707970245</v>
      </c>
      <c r="AC39" t="n">
        <v>-0.0490025073775601</v>
      </c>
      <c r="AD39" t="n">
        <v>-0.0513091742179258</v>
      </c>
      <c r="AE39" t="n">
        <v>0.157503925270908</v>
      </c>
      <c r="AF39"/>
    </row>
    <row r="40">
      <c r="A40" t="s">
        <v>184</v>
      </c>
      <c r="B40" t="s">
        <v>283</v>
      </c>
      <c r="C40" t="s">
        <v>185</v>
      </c>
      <c r="D40" t="s">
        <v>284</v>
      </c>
      <c r="E40" t="s">
        <v>58</v>
      </c>
      <c r="F40" t="n">
        <v>0.035444149329904</v>
      </c>
      <c r="G40" t="n">
        <v>0.0487133229818335</v>
      </c>
      <c r="H40" t="n">
        <v>0.0270115563913376</v>
      </c>
      <c r="I40" t="n">
        <v>0.0165557717978141</v>
      </c>
      <c r="J40" t="n">
        <v>0.0662923849586342</v>
      </c>
      <c r="K40" t="n">
        <v>0.084618613966174</v>
      </c>
      <c r="L40" t="n">
        <v>0.0597111477085889</v>
      </c>
      <c r="M40" t="n">
        <v>0.0286611749646811</v>
      </c>
      <c r="N40" t="n">
        <v>0.0135387256075379</v>
      </c>
      <c r="O40" t="n">
        <v>-0.0253731535793794</v>
      </c>
      <c r="P40" t="n">
        <v>0.00755216293123361</v>
      </c>
      <c r="Q40" t="n">
        <v>-0.0286044056389782</v>
      </c>
      <c r="R40" t="n">
        <v>-0.00904156023711402</v>
      </c>
      <c r="S40" t="n">
        <v>0.0167512419215513</v>
      </c>
      <c r="T40" t="n">
        <v>0.0270806472289419</v>
      </c>
      <c r="U40" t="n">
        <v>0.0655210275426386</v>
      </c>
      <c r="V40" t="n">
        <v>-0.00337478770987355</v>
      </c>
      <c r="W40" t="n">
        <v>-0.0388701433913012</v>
      </c>
      <c r="X40" t="n">
        <v>-0.0176844390395634</v>
      </c>
      <c r="Y40" t="n">
        <v>0.00405523884161874</v>
      </c>
      <c r="Z40" t="n">
        <v>-0.0127952198789219</v>
      </c>
      <c r="AA40" t="n">
        <v>-0.0277376077203003</v>
      </c>
      <c r="AB40" t="n">
        <v>-0.014336961832254</v>
      </c>
      <c r="AC40" t="n">
        <v>0.000480296160613055</v>
      </c>
      <c r="AD40" t="n">
        <v>0.0205214711691282</v>
      </c>
      <c r="AE40" t="n">
        <v>0.0179464889591337</v>
      </c>
      <c r="AF40"/>
    </row>
    <row r="41">
      <c r="A41" t="s">
        <v>186</v>
      </c>
      <c r="B41" t="s">
        <v>283</v>
      </c>
      <c r="C41" t="s">
        <v>187</v>
      </c>
      <c r="D41" t="s">
        <v>284</v>
      </c>
      <c r="E41" t="s">
        <v>58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283</v>
      </c>
      <c r="C42" t="s">
        <v>189</v>
      </c>
      <c r="D42" t="s">
        <v>284</v>
      </c>
      <c r="E42" t="s">
        <v>58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283</v>
      </c>
      <c r="C43" t="s">
        <v>191</v>
      </c>
      <c r="D43" t="s">
        <v>284</v>
      </c>
      <c r="E43" t="s">
        <v>58</v>
      </c>
      <c r="F43" t="n">
        <v>0.367487688411152</v>
      </c>
      <c r="G43" t="n">
        <v>0.696915203075468</v>
      </c>
      <c r="H43" t="n">
        <v>1.3245041117399</v>
      </c>
      <c r="I43" t="n">
        <v>0.151632259566516</v>
      </c>
      <c r="J43" t="n">
        <v>-0.318291039342609</v>
      </c>
      <c r="K43" t="n">
        <v>-0.358431536693945</v>
      </c>
      <c r="L43" t="n">
        <v>-0.222891203375444</v>
      </c>
      <c r="M43" t="n">
        <v>0.554672282626922</v>
      </c>
      <c r="N43" t="n">
        <v>0.397339318333423</v>
      </c>
      <c r="O43" t="n">
        <v>0.40279951507001</v>
      </c>
      <c r="P43" t="n">
        <v>0.335617956086229</v>
      </c>
      <c r="Q43" t="n">
        <v>0.833020479348153</v>
      </c>
      <c r="R43" t="n">
        <v>0.191192645581345</v>
      </c>
      <c r="S43" t="n">
        <v>-0.190101246083685</v>
      </c>
      <c r="T43" t="n">
        <v>0.126482114883809</v>
      </c>
      <c r="U43" t="n">
        <v>0.199302938403948</v>
      </c>
      <c r="V43" t="n">
        <v>0.0958794421776477</v>
      </c>
      <c r="W43" t="n">
        <v>-0.257222755249742</v>
      </c>
      <c r="X43" t="n">
        <v>0.0416579010498123</v>
      </c>
      <c r="Y43" t="n">
        <v>-0.000662772147533544</v>
      </c>
      <c r="Z43" t="n">
        <v>0.0115749006454477</v>
      </c>
      <c r="AA43" t="n">
        <v>0.00356036104509386</v>
      </c>
      <c r="AB43" t="n">
        <v>0.104495253320283</v>
      </c>
      <c r="AC43" t="n">
        <v>0.0295017069077235</v>
      </c>
      <c r="AD43" t="n">
        <v>0.104172656607818</v>
      </c>
      <c r="AE43" t="n">
        <v>0.0923275285322559</v>
      </c>
      <c r="AF43"/>
    </row>
    <row r="44">
      <c r="A44" t="s">
        <v>192</v>
      </c>
      <c r="B44" t="s">
        <v>283</v>
      </c>
      <c r="C44" t="s">
        <v>193</v>
      </c>
      <c r="D44" t="s">
        <v>284</v>
      </c>
      <c r="E44" t="s">
        <v>58</v>
      </c>
      <c r="F44" t="n">
        <v>0.831985101857476</v>
      </c>
      <c r="G44" t="n">
        <v>0.834103490886019</v>
      </c>
      <c r="H44" t="n">
        <v>0.646772822117633</v>
      </c>
      <c r="I44" t="n">
        <v>0.365170613959415</v>
      </c>
      <c r="J44" t="n">
        <v>0.272509414567275</v>
      </c>
      <c r="K44" t="n">
        <v>0.186256161717716</v>
      </c>
      <c r="L44" t="n">
        <v>0.143736226169481</v>
      </c>
      <c r="M44" t="n">
        <v>0.0698560437378263</v>
      </c>
      <c r="N44" t="n">
        <v>0.113559826979942</v>
      </c>
      <c r="O44" t="n">
        <v>0.180031254744128</v>
      </c>
      <c r="P44" t="n">
        <v>0.158445756602278</v>
      </c>
      <c r="Q44" t="n">
        <v>0.0846365488407441</v>
      </c>
      <c r="R44" t="n">
        <v>0.178236683213883</v>
      </c>
      <c r="S44" t="n">
        <v>0.188008872857316</v>
      </c>
      <c r="T44" t="n">
        <v>0.115178935119893</v>
      </c>
      <c r="U44" t="n">
        <v>0.125501986764239</v>
      </c>
      <c r="V44" t="n">
        <v>0.114531875520129</v>
      </c>
      <c r="W44" t="n">
        <v>0.0839014468480027</v>
      </c>
      <c r="X44" t="n">
        <v>0.0758415970508735</v>
      </c>
      <c r="Y44" t="n">
        <v>0.0870774665758583</v>
      </c>
      <c r="Z44" t="n">
        <v>0.0531283895723804</v>
      </c>
      <c r="AA44" t="n">
        <v>-0.0249080956435551</v>
      </c>
      <c r="AB44" t="n">
        <v>0.0232538215912452</v>
      </c>
      <c r="AC44" t="n">
        <v>0.0179410264202674</v>
      </c>
      <c r="AD44" t="n">
        <v>0.0509037595777317</v>
      </c>
      <c r="AE44" t="n">
        <v>0.099973991315307</v>
      </c>
      <c r="AF44"/>
    </row>
    <row r="45">
      <c r="A45" t="s">
        <v>194</v>
      </c>
      <c r="B45" t="s">
        <v>283</v>
      </c>
      <c r="C45" t="s">
        <v>195</v>
      </c>
      <c r="D45" t="s">
        <v>284</v>
      </c>
      <c r="E45" t="s">
        <v>58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283</v>
      </c>
      <c r="C46" t="s">
        <v>197</v>
      </c>
      <c r="D46" t="s">
        <v>284</v>
      </c>
      <c r="E46" t="s">
        <v>58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283</v>
      </c>
      <c r="C47" t="s">
        <v>199</v>
      </c>
      <c r="D47" t="s">
        <v>284</v>
      </c>
      <c r="E47" t="s">
        <v>58</v>
      </c>
      <c r="F47" t="n">
        <v>0.651832842836497</v>
      </c>
      <c r="G47" t="n">
        <v>0.65444630215013</v>
      </c>
      <c r="H47" t="n">
        <v>0.429779789333664</v>
      </c>
      <c r="I47" t="n">
        <v>-0.0680307179105883</v>
      </c>
      <c r="J47" t="n">
        <v>0.26452046454343</v>
      </c>
      <c r="K47" t="n">
        <v>0.117328561764083</v>
      </c>
      <c r="L47" t="n">
        <v>-0.126335090271646</v>
      </c>
      <c r="M47" t="n">
        <v>-0.140965233453203</v>
      </c>
      <c r="N47" t="n">
        <v>-0.17930965945847</v>
      </c>
      <c r="O47" t="n">
        <v>-0.173491905998044</v>
      </c>
      <c r="P47" t="n">
        <v>-0.0763293873449376</v>
      </c>
      <c r="Q47" t="n">
        <v>-0.0716050961753226</v>
      </c>
      <c r="R47" t="n">
        <v>-0.0980448386432177</v>
      </c>
      <c r="S47" t="n">
        <v>-0.0327207139209947</v>
      </c>
      <c r="T47" t="n">
        <v>0.0214843355523108</v>
      </c>
      <c r="U47" t="n">
        <v>0.0744149124896517</v>
      </c>
      <c r="V47" t="n">
        <v>-0.00108232090544871</v>
      </c>
      <c r="W47" t="n">
        <v>-0.0583031918988603</v>
      </c>
      <c r="X47" t="n">
        <v>0.0364520552366419</v>
      </c>
      <c r="Y47" t="n">
        <v>0.145611028512931</v>
      </c>
      <c r="Z47" t="n">
        <v>0.181099438395555</v>
      </c>
      <c r="AA47" t="n">
        <v>0.136884624688384</v>
      </c>
      <c r="AB47" t="n">
        <v>0.116424773504982</v>
      </c>
      <c r="AC47" t="n">
        <v>0.0707879276396865</v>
      </c>
      <c r="AD47" t="n">
        <v>0.0524476083670404</v>
      </c>
      <c r="AE47" t="n">
        <v>0.101255974283013</v>
      </c>
      <c r="AF47"/>
    </row>
    <row r="48">
      <c r="A48" t="s">
        <v>200</v>
      </c>
      <c r="B48" t="s">
        <v>283</v>
      </c>
      <c r="C48" t="s">
        <v>201</v>
      </c>
      <c r="D48" t="s">
        <v>284</v>
      </c>
      <c r="E48" t="s">
        <v>58</v>
      </c>
      <c r="F48" t="n">
        <v>0.486585418376542</v>
      </c>
      <c r="G48" t="n">
        <v>0.460470800679983</v>
      </c>
      <c r="H48" t="n">
        <v>0.237340170978819</v>
      </c>
      <c r="I48" t="n">
        <v>-0.0169563798063224</v>
      </c>
      <c r="J48" t="n">
        <v>0.127514231554063</v>
      </c>
      <c r="K48" t="n">
        <v>0.039143174575295</v>
      </c>
      <c r="L48" t="n">
        <v>-0.0814853566536606</v>
      </c>
      <c r="M48" t="n">
        <v>-0.0835967859554074</v>
      </c>
      <c r="N48" t="n">
        <v>-0.114981534180748</v>
      </c>
      <c r="O48" t="n">
        <v>-0.074059101730266</v>
      </c>
      <c r="P48" t="n">
        <v>-0.0469181755129492</v>
      </c>
      <c r="Q48" t="n">
        <v>-0.066353116849131</v>
      </c>
      <c r="R48" t="n">
        <v>-0.0313753555358976</v>
      </c>
      <c r="S48" t="n">
        <v>-0.012573552574137</v>
      </c>
      <c r="T48" t="n">
        <v>0.00977667069456709</v>
      </c>
      <c r="U48" t="n">
        <v>0.0661367741204283</v>
      </c>
      <c r="V48" t="n">
        <v>0.0323795125648257</v>
      </c>
      <c r="W48" t="n">
        <v>-0.00693773844692337</v>
      </c>
      <c r="X48" t="n">
        <v>0.0210269941047012</v>
      </c>
      <c r="Y48" t="n">
        <v>0.0686986120812774</v>
      </c>
      <c r="Z48" t="n">
        <v>0.0514135621174576</v>
      </c>
      <c r="AA48" t="n">
        <v>0.0180911030847084</v>
      </c>
      <c r="AB48" t="n">
        <v>0.0268313078811238</v>
      </c>
      <c r="AC48" t="n">
        <v>0.00611877367423625</v>
      </c>
      <c r="AD48" t="n">
        <v>0.0173598396722454</v>
      </c>
      <c r="AE48" t="n">
        <v>0.0397955235213164</v>
      </c>
      <c r="AF48"/>
    </row>
    <row r="49">
      <c r="A49" t="s">
        <v>202</v>
      </c>
      <c r="B49" t="s">
        <v>283</v>
      </c>
      <c r="C49" t="s">
        <v>203</v>
      </c>
      <c r="D49" t="s">
        <v>284</v>
      </c>
      <c r="E49" t="s">
        <v>58</v>
      </c>
      <c r="F49" t="n">
        <v>0.257688990434263</v>
      </c>
      <c r="G49" t="n">
        <v>0.244516319565384</v>
      </c>
      <c r="H49" t="n">
        <v>0.09501381281556</v>
      </c>
      <c r="I49" t="n">
        <v>0.0300939011140954</v>
      </c>
      <c r="J49" t="n">
        <v>0.0396118658586185</v>
      </c>
      <c r="K49" t="n">
        <v>0.0178327453286414</v>
      </c>
      <c r="L49" t="n">
        <v>0.0124910933948939</v>
      </c>
      <c r="M49" t="n">
        <v>-0.0276664326947379</v>
      </c>
      <c r="N49" t="n">
        <v>-0.0354826748133229</v>
      </c>
      <c r="O49" t="n">
        <v>0.00417640146544218</v>
      </c>
      <c r="P49" t="n">
        <v>0.0454771853047135</v>
      </c>
      <c r="Q49" t="n">
        <v>0.0219560964467561</v>
      </c>
      <c r="R49" t="n">
        <v>0.0546982288295831</v>
      </c>
      <c r="S49" t="n">
        <v>0.0610094197177738</v>
      </c>
      <c r="T49" t="n">
        <v>0.0721550098172349</v>
      </c>
      <c r="U49" t="n">
        <v>0.112663269547817</v>
      </c>
      <c r="V49" t="n">
        <v>0.0867532874873114</v>
      </c>
      <c r="W49" t="n">
        <v>0.0333053045731311</v>
      </c>
      <c r="X49" t="n">
        <v>0.0305613488622469</v>
      </c>
      <c r="Y49" t="n">
        <v>0.0333533852453436</v>
      </c>
      <c r="Z49" t="n">
        <v>-0.00604307579532662</v>
      </c>
      <c r="AA49" t="n">
        <v>-0.033938130008063</v>
      </c>
      <c r="AB49" t="n">
        <v>-0.0178459945886855</v>
      </c>
      <c r="AC49" t="n">
        <v>-0.0336261718237013</v>
      </c>
      <c r="AD49" t="n">
        <v>-0.00275865679637002</v>
      </c>
      <c r="AE49" t="n">
        <v>0.0253382040757278</v>
      </c>
      <c r="AF49"/>
    </row>
    <row r="50">
      <c r="A50" t="s">
        <v>204</v>
      </c>
      <c r="B50" t="s">
        <v>283</v>
      </c>
      <c r="C50" t="s">
        <v>205</v>
      </c>
      <c r="D50" t="s">
        <v>284</v>
      </c>
      <c r="E50" t="s">
        <v>58</v>
      </c>
      <c r="F50" t="n">
        <v>0.420355534331377</v>
      </c>
      <c r="G50" t="n">
        <v>0.420662730094463</v>
      </c>
      <c r="H50" t="n">
        <v>0.156537386191182</v>
      </c>
      <c r="I50" t="n">
        <v>0.0578568627065448</v>
      </c>
      <c r="J50" t="n">
        <v>0.0855876017127578</v>
      </c>
      <c r="K50" t="n">
        <v>0.00263369960396451</v>
      </c>
      <c r="L50" t="n">
        <v>-0.0523077867745791</v>
      </c>
      <c r="M50" t="n">
        <v>-0.040495777052428</v>
      </c>
      <c r="N50" t="n">
        <v>-0.0770170840421716</v>
      </c>
      <c r="O50" t="n">
        <v>0.0091628321662411</v>
      </c>
      <c r="P50" t="n">
        <v>-0.0239027710229222</v>
      </c>
      <c r="Q50" t="n">
        <v>-0.0723997857749816</v>
      </c>
      <c r="R50" t="n">
        <v>-0.0237110506428406</v>
      </c>
      <c r="S50" t="n">
        <v>-0.0156102070870087</v>
      </c>
      <c r="T50" t="n">
        <v>-0.0187356154463461</v>
      </c>
      <c r="U50" t="n">
        <v>0.0538871262715924</v>
      </c>
      <c r="V50" t="n">
        <v>0.0445949569262388</v>
      </c>
      <c r="W50" t="n">
        <v>0.0189369889530815</v>
      </c>
      <c r="X50" t="n">
        <v>0.0188004516622739</v>
      </c>
      <c r="Y50" t="n">
        <v>0.0383577229085547</v>
      </c>
      <c r="Z50" t="n">
        <v>0.00632840806046896</v>
      </c>
      <c r="AA50" t="n">
        <v>-0.0205280604631143</v>
      </c>
      <c r="AB50" t="n">
        <v>0.00444683075954156</v>
      </c>
      <c r="AC50" t="n">
        <v>-0.0150111379384225</v>
      </c>
      <c r="AD50" t="n">
        <v>-0.00259337717501635</v>
      </c>
      <c r="AE50" t="n">
        <v>0.00056980613676236</v>
      </c>
      <c r="AF50"/>
    </row>
    <row r="51">
      <c r="A51" t="s">
        <v>206</v>
      </c>
      <c r="B51" t="s">
        <v>283</v>
      </c>
      <c r="C51" t="s">
        <v>207</v>
      </c>
      <c r="D51" t="s">
        <v>284</v>
      </c>
      <c r="E51" t="s">
        <v>58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283</v>
      </c>
      <c r="C52" t="s">
        <v>209</v>
      </c>
      <c r="D52" t="s">
        <v>284</v>
      </c>
      <c r="E52" t="s">
        <v>58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283</v>
      </c>
      <c r="C53" t="s">
        <v>211</v>
      </c>
      <c r="D53" t="s">
        <v>284</v>
      </c>
      <c r="E53" t="s">
        <v>58</v>
      </c>
      <c r="F53" t="n">
        <v>0.388664022667966</v>
      </c>
      <c r="G53" t="n">
        <v>0.657483130156625</v>
      </c>
      <c r="H53" t="n">
        <v>0.802186042822738</v>
      </c>
      <c r="I53" t="n">
        <v>0.354552778066149</v>
      </c>
      <c r="J53" t="n">
        <v>0.4175984579132</v>
      </c>
      <c r="K53" t="n">
        <v>0.398671837308216</v>
      </c>
      <c r="L53" t="n">
        <v>0.60843109045181</v>
      </c>
      <c r="M53" t="n">
        <v>-0.23744620611462</v>
      </c>
      <c r="N53" t="n">
        <v>0.187574906916209</v>
      </c>
      <c r="O53" t="n">
        <v>0.110565995065105</v>
      </c>
      <c r="P53" t="n">
        <v>0.00512901599271216</v>
      </c>
      <c r="Q53" t="n">
        <v>-0.0796653714610711</v>
      </c>
      <c r="R53" t="n">
        <v>-0.153802727148984</v>
      </c>
      <c r="S53" t="n">
        <v>-0.0134232540636243</v>
      </c>
      <c r="T53" t="n">
        <v>-0.215223599827159</v>
      </c>
      <c r="U53" t="n">
        <v>-0.062263555164333</v>
      </c>
      <c r="V53" t="n">
        <v>0.0121638731111516</v>
      </c>
      <c r="W53" t="n">
        <v>-0.0566955138337831</v>
      </c>
      <c r="X53" t="n">
        <v>-0.0213605708503183</v>
      </c>
      <c r="Y53" t="n">
        <v>0.00544453487657007</v>
      </c>
      <c r="Z53" t="n">
        <v>-0.00470096073616548</v>
      </c>
      <c r="AA53" t="n">
        <v>-0.0726184476548554</v>
      </c>
      <c r="AB53" t="n">
        <v>-0.0447579663281143</v>
      </c>
      <c r="AC53" t="n">
        <v>0.0387888122424524</v>
      </c>
      <c r="AD53" t="n">
        <v>0.00959873478847465</v>
      </c>
      <c r="AE53" t="n">
        <v>-0.0628594522920818</v>
      </c>
      <c r="AF53"/>
    </row>
    <row r="54">
      <c r="A54" t="s">
        <v>212</v>
      </c>
      <c r="B54" t="s">
        <v>283</v>
      </c>
      <c r="C54" t="s">
        <v>213</v>
      </c>
      <c r="D54" t="s">
        <v>284</v>
      </c>
      <c r="E54" t="s">
        <v>58</v>
      </c>
      <c r="F54" t="n">
        <v>0.39974938280683</v>
      </c>
      <c r="G54" t="n">
        <v>0.523674741292867</v>
      </c>
      <c r="H54" t="n">
        <v>0.556175867000476</v>
      </c>
      <c r="I54" t="n">
        <v>0.178173629106673</v>
      </c>
      <c r="J54" t="n">
        <v>0.39812807492188</v>
      </c>
      <c r="K54" t="n">
        <v>0.271698735572769</v>
      </c>
      <c r="L54" t="n">
        <v>0.212165697514306</v>
      </c>
      <c r="M54" t="n">
        <v>-0.18068958607811</v>
      </c>
      <c r="N54" t="n">
        <v>0.0774733910126106</v>
      </c>
      <c r="O54" t="n">
        <v>0.0928154000750078</v>
      </c>
      <c r="P54" t="n">
        <v>-0.0760565749521448</v>
      </c>
      <c r="Q54" t="n">
        <v>-0.128069860063945</v>
      </c>
      <c r="R54" t="n">
        <v>-0.0400671593866327</v>
      </c>
      <c r="S54" t="n">
        <v>0.0709278436183954</v>
      </c>
      <c r="T54" t="n">
        <v>-0.0699818853746087</v>
      </c>
      <c r="U54" t="n">
        <v>0.0046385519862263</v>
      </c>
      <c r="V54" t="n">
        <v>0.0149096604471706</v>
      </c>
      <c r="W54" t="n">
        <v>-0.0379485479750003</v>
      </c>
      <c r="X54" t="n">
        <v>0.00652238870294011</v>
      </c>
      <c r="Y54" t="n">
        <v>0.0103945545075232</v>
      </c>
      <c r="Z54" t="n">
        <v>0.0205462314018959</v>
      </c>
      <c r="AA54" t="n">
        <v>-0.0393785375506333</v>
      </c>
      <c r="AB54" t="n">
        <v>-0.00209264893271186</v>
      </c>
      <c r="AC54" t="n">
        <v>0.0429332986734998</v>
      </c>
      <c r="AD54" t="n">
        <v>0.0162780147167252</v>
      </c>
      <c r="AE54" t="n">
        <v>0.0285522290640858</v>
      </c>
      <c r="AF54"/>
    </row>
    <row r="55">
      <c r="A55" t="s">
        <v>214</v>
      </c>
      <c r="B55" t="s">
        <v>283</v>
      </c>
      <c r="C55" t="s">
        <v>215</v>
      </c>
      <c r="D55" t="s">
        <v>284</v>
      </c>
      <c r="E55" t="s">
        <v>58</v>
      </c>
      <c r="F55" t="n">
        <v>0.379828386969553</v>
      </c>
      <c r="G55" t="n">
        <v>0.42134835398326</v>
      </c>
      <c r="H55" t="n">
        <v>0.422154948114484</v>
      </c>
      <c r="I55" t="n">
        <v>0.103817973553417</v>
      </c>
      <c r="J55" t="n">
        <v>0.379494949272463</v>
      </c>
      <c r="K55" t="n">
        <v>0.231634456562058</v>
      </c>
      <c r="L55" t="n">
        <v>0.0478841837994024</v>
      </c>
      <c r="M55" t="n">
        <v>-0.16858181823459</v>
      </c>
      <c r="N55" t="n">
        <v>0.0164168264420401</v>
      </c>
      <c r="O55" t="n">
        <v>0.0866479443494291</v>
      </c>
      <c r="P55" t="n">
        <v>-0.0667566546179426</v>
      </c>
      <c r="Q55" t="n">
        <v>-0.109769871008842</v>
      </c>
      <c r="R55" t="n">
        <v>0.0218917671467961</v>
      </c>
      <c r="S55" t="n">
        <v>0.100441114504383</v>
      </c>
      <c r="T55" t="n">
        <v>-0.0195237575548861</v>
      </c>
      <c r="U55" t="n">
        <v>0.040498673486783</v>
      </c>
      <c r="V55" t="n">
        <v>0.0265017250647091</v>
      </c>
      <c r="W55" t="n">
        <v>-0.0278751891567792</v>
      </c>
      <c r="X55" t="n">
        <v>0.0232253054723667</v>
      </c>
      <c r="Y55" t="n">
        <v>0.0131760842360946</v>
      </c>
      <c r="Z55" t="n">
        <v>0.0288725594425821</v>
      </c>
      <c r="AA55" t="n">
        <v>-0.0260928099314625</v>
      </c>
      <c r="AB55" t="n">
        <v>0.0176149573353884</v>
      </c>
      <c r="AC55" t="n">
        <v>0.0453635524670217</v>
      </c>
      <c r="AD55" t="n">
        <v>0.0213859051904384</v>
      </c>
      <c r="AE55" t="n">
        <v>0.0775496200637933</v>
      </c>
      <c r="AF55"/>
    </row>
    <row r="56">
      <c r="A56" t="s">
        <v>216</v>
      </c>
      <c r="B56" t="s">
        <v>283</v>
      </c>
      <c r="C56" t="s">
        <v>217</v>
      </c>
      <c r="D56" t="s">
        <v>284</v>
      </c>
      <c r="E56" t="s">
        <v>58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283</v>
      </c>
      <c r="C57" t="s">
        <v>219</v>
      </c>
      <c r="D57" t="s">
        <v>284</v>
      </c>
      <c r="E57" t="s">
        <v>58</v>
      </c>
      <c r="F57" t="n">
        <v>0.692728586785852</v>
      </c>
      <c r="G57" t="n">
        <v>0.691093865634342</v>
      </c>
      <c r="H57" t="n">
        <v>0.512535764799664</v>
      </c>
      <c r="I57" t="n">
        <v>0.260298590942343</v>
      </c>
      <c r="J57" t="n">
        <v>0.222204783074464</v>
      </c>
      <c r="K57" t="n">
        <v>0.146818319142227</v>
      </c>
      <c r="L57" t="n">
        <v>0.0905767542119433</v>
      </c>
      <c r="M57" t="n">
        <v>0.0271849117746905</v>
      </c>
      <c r="N57" t="n">
        <v>0.0464776733525963</v>
      </c>
      <c r="O57" t="n">
        <v>0.0988218666209889</v>
      </c>
      <c r="P57" t="n">
        <v>0.0983640130370837</v>
      </c>
      <c r="Q57" t="n">
        <v>0.0465726878259988</v>
      </c>
      <c r="R57" t="n">
        <v>0.117932622922191</v>
      </c>
      <c r="S57" t="n">
        <v>0.126210376210367</v>
      </c>
      <c r="T57" t="n">
        <v>0.0702377787796106</v>
      </c>
      <c r="U57" t="n">
        <v>0.098466669527187</v>
      </c>
      <c r="V57" t="n">
        <v>0.0782433692408186</v>
      </c>
      <c r="W57" t="n">
        <v>0.0507089900321806</v>
      </c>
      <c r="X57" t="n">
        <v>0.0468380479929082</v>
      </c>
      <c r="Y57" t="n">
        <v>0.0707529809042101</v>
      </c>
      <c r="Z57" t="n">
        <v>0.0453270037453624</v>
      </c>
      <c r="AA57" t="n">
        <v>-0.018066659460116</v>
      </c>
      <c r="AB57" t="n">
        <v>0.0206955600436158</v>
      </c>
      <c r="AC57" t="n">
        <v>0.0142437560249083</v>
      </c>
      <c r="AD57" t="n">
        <v>0.0385259100533474</v>
      </c>
      <c r="AE57" t="n">
        <v>0.0775390209562865</v>
      </c>
      <c r="AF57"/>
    </row>
    <row r="58">
      <c r="A58" t="s">
        <v>220</v>
      </c>
      <c r="B58" t="s">
        <v>283</v>
      </c>
      <c r="C58" t="s">
        <v>221</v>
      </c>
      <c r="D58" t="s">
        <v>284</v>
      </c>
      <c r="E58" t="s">
        <v>58</v>
      </c>
      <c r="F58" t="n">
        <v>0.692812122372407</v>
      </c>
      <c r="G58" t="n">
        <v>0.691172623226806</v>
      </c>
      <c r="H58" t="n">
        <v>0.512590308117333</v>
      </c>
      <c r="I58" t="n">
        <v>0.260318527594607</v>
      </c>
      <c r="J58" t="n">
        <v>0.222214219346299</v>
      </c>
      <c r="K58" t="n">
        <v>0.146804874316383</v>
      </c>
      <c r="L58" t="n">
        <v>0.0905693817164456</v>
      </c>
      <c r="M58" t="n">
        <v>0.0271510619068956</v>
      </c>
      <c r="N58" t="n">
        <v>0.0464544764422659</v>
      </c>
      <c r="O58" t="n">
        <v>0.0987975765787049</v>
      </c>
      <c r="P58" t="n">
        <v>0.098382309536654</v>
      </c>
      <c r="Q58" t="n">
        <v>0.0465808453847603</v>
      </c>
      <c r="R58" t="n">
        <v>0.117936787327874</v>
      </c>
      <c r="S58" t="n">
        <v>0.126223218917567</v>
      </c>
      <c r="T58" t="n">
        <v>0.0702523917080059</v>
      </c>
      <c r="U58" t="n">
        <v>0.0984907170537427</v>
      </c>
      <c r="V58" t="n">
        <v>0.0782600668586319</v>
      </c>
      <c r="W58" t="n">
        <v>0.0507115404073545</v>
      </c>
      <c r="X58" t="n">
        <v>0.046859791241291</v>
      </c>
      <c r="Y58" t="n">
        <v>0.0707757643552525</v>
      </c>
      <c r="Z58" t="n">
        <v>0.0453097909114092</v>
      </c>
      <c r="AA58" t="n">
        <v>-0.0180950526701411</v>
      </c>
      <c r="AB58" t="n">
        <v>0.0206946660462794</v>
      </c>
      <c r="AC58" t="n">
        <v>0.0142449518672211</v>
      </c>
      <c r="AD58" t="n">
        <v>0.0385288251270056</v>
      </c>
      <c r="AE58" t="n">
        <v>0.0775491824185629</v>
      </c>
      <c r="AF58"/>
    </row>
    <row r="59">
      <c r="A59" t="s">
        <v>222</v>
      </c>
      <c r="B59" t="s">
        <v>283</v>
      </c>
      <c r="C59" t="s">
        <v>223</v>
      </c>
      <c r="D59" t="s">
        <v>284</v>
      </c>
      <c r="E59" t="s">
        <v>58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283</v>
      </c>
      <c r="C2" t="s">
        <v>108</v>
      </c>
      <c r="D2" t="s">
        <v>284</v>
      </c>
      <c r="E2" t="s">
        <v>59</v>
      </c>
      <c r="F2" t="n">
        <v>-0.128685679178767</v>
      </c>
      <c r="G2" t="n">
        <v>-0.140547193064843</v>
      </c>
      <c r="H2" t="n">
        <v>-0.0590819427816424</v>
      </c>
      <c r="I2" t="n">
        <v>-0.0546481540635701</v>
      </c>
      <c r="J2" t="n">
        <v>-0.0125971245319656</v>
      </c>
      <c r="K2" t="n">
        <v>-0.097125404647615</v>
      </c>
      <c r="L2" t="n">
        <v>-0.0478279669350319</v>
      </c>
      <c r="M2" t="n">
        <v>0.0549541552631405</v>
      </c>
      <c r="N2" t="n">
        <v>-0.0972005652692064</v>
      </c>
      <c r="O2" t="n">
        <v>-0.0269620117216043</v>
      </c>
      <c r="P2" t="n">
        <v>-0.112955606433685</v>
      </c>
      <c r="Q2" t="n">
        <v>-0.206070086692558</v>
      </c>
      <c r="R2" t="n">
        <v>-0.189373250598986</v>
      </c>
      <c r="S2" t="n">
        <v>-0.15185616440791</v>
      </c>
      <c r="T2" t="n">
        <v>-0.0979537436037986</v>
      </c>
      <c r="U2" t="n">
        <v>-0.0633548902589528</v>
      </c>
      <c r="V2" t="n">
        <v>-0.0570610846069842</v>
      </c>
      <c r="W2" t="n">
        <v>-0.033309225607645</v>
      </c>
      <c r="X2" t="n">
        <v>-0.0280051677750849</v>
      </c>
      <c r="Y2" t="n">
        <v>-0.0563853637881999</v>
      </c>
      <c r="Z2" t="n">
        <v>-0.0472541552223558</v>
      </c>
      <c r="AA2" t="n">
        <v>-0.0645217838255025</v>
      </c>
      <c r="AB2" t="n">
        <v>-0.0305421245840572</v>
      </c>
      <c r="AC2" t="n">
        <v>-0.100367353559172</v>
      </c>
      <c r="AD2" t="n">
        <v>0</v>
      </c>
      <c r="AE2" t="n">
        <v>0.00987097526107922</v>
      </c>
      <c r="AF2" t="n">
        <v>0</v>
      </c>
    </row>
    <row r="3">
      <c r="A3" t="s">
        <v>110</v>
      </c>
      <c r="B3" t="s">
        <v>283</v>
      </c>
      <c r="C3" t="s">
        <v>111</v>
      </c>
      <c r="D3" t="s">
        <v>284</v>
      </c>
      <c r="E3" t="s">
        <v>59</v>
      </c>
      <c r="F3" t="n">
        <v>-0.00154950718208589</v>
      </c>
      <c r="G3" t="n">
        <v>0.000286364805701371</v>
      </c>
      <c r="H3" t="n">
        <v>-0.39673013637624</v>
      </c>
      <c r="I3" t="n">
        <v>0.415962533900602</v>
      </c>
      <c r="J3" t="n">
        <v>0.134683683236262</v>
      </c>
      <c r="K3" t="n">
        <v>0.103878274336092</v>
      </c>
      <c r="L3" t="n">
        <v>0.160389249273569</v>
      </c>
      <c r="M3" t="n">
        <v>0.502901163527508</v>
      </c>
      <c r="N3" t="n">
        <v>-0.14046056073431</v>
      </c>
      <c r="O3" t="n">
        <v>0.641254178565128</v>
      </c>
      <c r="P3" t="n">
        <v>-0.0778473340818691</v>
      </c>
      <c r="Q3" t="n">
        <v>-0.318225146031786</v>
      </c>
      <c r="R3" t="n">
        <v>-0.293618149437768</v>
      </c>
      <c r="S3" t="n">
        <v>0.748278244700892</v>
      </c>
      <c r="T3" t="n">
        <v>-1.26098357908713</v>
      </c>
      <c r="U3" t="n">
        <v>-0.235852729481769</v>
      </c>
      <c r="V3" t="n">
        <v>0.359078603059971</v>
      </c>
      <c r="W3" t="n">
        <v>-0.26065278857491</v>
      </c>
      <c r="X3" t="n">
        <v>-0.1961221046162</v>
      </c>
      <c r="Y3" t="n">
        <v>-0.915857554268845</v>
      </c>
      <c r="Z3" t="n">
        <v>-0.242521001081494</v>
      </c>
      <c r="AA3" t="n">
        <v>0.407311319666094</v>
      </c>
      <c r="AB3" t="n">
        <v>-0.654424196506493</v>
      </c>
      <c r="AC3" t="n">
        <v>0.374750052828407</v>
      </c>
      <c r="AD3" t="n">
        <v>0</v>
      </c>
      <c r="AE3" t="n">
        <v>-0.130684358353305</v>
      </c>
      <c r="AF3" t="n">
        <v>0</v>
      </c>
    </row>
    <row r="4">
      <c r="A4" t="s">
        <v>112</v>
      </c>
      <c r="B4" t="s">
        <v>283</v>
      </c>
      <c r="C4" t="s">
        <v>113</v>
      </c>
      <c r="D4" t="s">
        <v>284</v>
      </c>
      <c r="E4" t="s">
        <v>59</v>
      </c>
      <c r="F4" t="n">
        <v>0.481853692987259</v>
      </c>
      <c r="G4" t="n">
        <v>0.410067301906568</v>
      </c>
      <c r="H4" t="n">
        <v>0.458543204499855</v>
      </c>
      <c r="I4" t="n">
        <v>0.932156172562609</v>
      </c>
      <c r="J4" t="n">
        <v>0.713323781432094</v>
      </c>
      <c r="K4" t="n">
        <v>0.579406433309143</v>
      </c>
      <c r="L4" t="n">
        <v>0.73269649643876</v>
      </c>
      <c r="M4" t="n">
        <v>1.03601760672176</v>
      </c>
      <c r="N4" t="n">
        <v>0.809086738604868</v>
      </c>
      <c r="O4" t="n">
        <v>0.628004671701931</v>
      </c>
      <c r="P4" t="n">
        <v>0.482730197029859</v>
      </c>
      <c r="Q4" t="n">
        <v>0.104727231902621</v>
      </c>
      <c r="R4" t="n">
        <v>0.310470765856925</v>
      </c>
      <c r="S4" t="n">
        <v>0.57036311534853</v>
      </c>
      <c r="T4" t="n">
        <v>1.07643464737065</v>
      </c>
      <c r="U4" t="n">
        <v>0.23381878002573</v>
      </c>
      <c r="V4" t="n">
        <v>0.0670869953393248</v>
      </c>
      <c r="W4" t="n">
        <v>0.208772712284143</v>
      </c>
      <c r="X4" t="n">
        <v>0.520692794520003</v>
      </c>
      <c r="Y4" t="n">
        <v>0.197540293349223</v>
      </c>
      <c r="Z4" t="n">
        <v>0.332491947920262</v>
      </c>
      <c r="AA4" t="n">
        <v>0.0614316071633836</v>
      </c>
      <c r="AB4" t="n">
        <v>0.00573388637458047</v>
      </c>
      <c r="AC4" t="n">
        <v>-0.103626931766746</v>
      </c>
      <c r="AD4" t="n">
        <v>0</v>
      </c>
      <c r="AE4" t="n">
        <v>0.334240954712977</v>
      </c>
      <c r="AF4" t="n">
        <v>0</v>
      </c>
    </row>
    <row r="5">
      <c r="A5" t="s">
        <v>114</v>
      </c>
      <c r="B5" t="s">
        <v>283</v>
      </c>
      <c r="C5" t="s">
        <v>115</v>
      </c>
      <c r="D5" t="s">
        <v>284</v>
      </c>
      <c r="E5" t="s">
        <v>59</v>
      </c>
      <c r="F5" t="n">
        <v>0.0973577010938129</v>
      </c>
      <c r="G5" t="n">
        <v>0.102350832576952</v>
      </c>
      <c r="H5" t="n">
        <v>0.199992512381907</v>
      </c>
      <c r="I5" t="n">
        <v>0.225155762764117</v>
      </c>
      <c r="J5" t="n">
        <v>0.262826020632354</v>
      </c>
      <c r="K5" t="n">
        <v>0.239780318070619</v>
      </c>
      <c r="L5" t="n">
        <v>0.102685836874223</v>
      </c>
      <c r="M5" t="n">
        <v>0.178380550218075</v>
      </c>
      <c r="N5" t="n">
        <v>0.357116265566885</v>
      </c>
      <c r="O5" t="n">
        <v>0.253687016103557</v>
      </c>
      <c r="P5" t="n">
        <v>0.207388200127191</v>
      </c>
      <c r="Q5" t="n">
        <v>0.180850605484111</v>
      </c>
      <c r="R5" t="n">
        <v>0.14303052618608</v>
      </c>
      <c r="S5" t="n">
        <v>0.0503140215860729</v>
      </c>
      <c r="T5" t="n">
        <v>0.0368527525245805</v>
      </c>
      <c r="U5" t="n">
        <v>-0.0407657506409305</v>
      </c>
      <c r="V5" t="n">
        <v>0.153819597550829</v>
      </c>
      <c r="W5" t="n">
        <v>-0.275970747990757</v>
      </c>
      <c r="X5" t="n">
        <v>-0.040848772481955</v>
      </c>
      <c r="Y5" t="n">
        <v>-0.11943255282186</v>
      </c>
      <c r="Z5" t="n">
        <v>-0.0873483879372121</v>
      </c>
      <c r="AA5" t="n">
        <v>-0.126623800342217</v>
      </c>
      <c r="AB5" t="n">
        <v>-0.0495048376371423</v>
      </c>
      <c r="AC5" t="n">
        <v>-0.0397954474454954</v>
      </c>
      <c r="AD5" t="n">
        <v>0</v>
      </c>
      <c r="AE5" t="n">
        <v>0.071935607082683</v>
      </c>
      <c r="AF5" t="n">
        <v>0</v>
      </c>
    </row>
    <row r="6">
      <c r="A6" t="s">
        <v>116</v>
      </c>
      <c r="B6" t="s">
        <v>283</v>
      </c>
      <c r="C6" t="s">
        <v>117</v>
      </c>
      <c r="D6" t="s">
        <v>284</v>
      </c>
      <c r="E6" t="s">
        <v>59</v>
      </c>
      <c r="F6" t="n">
        <v>-0.118334430702014</v>
      </c>
      <c r="G6" t="n">
        <v>-0.165825130982493</v>
      </c>
      <c r="H6" t="n">
        <v>-0.066072933530878</v>
      </c>
      <c r="I6" t="n">
        <v>0.127866697911345</v>
      </c>
      <c r="J6" t="n">
        <v>0.148813237774601</v>
      </c>
      <c r="K6" t="n">
        <v>0.22782994006936</v>
      </c>
      <c r="L6" t="n">
        <v>0.181529502212293</v>
      </c>
      <c r="M6" t="n">
        <v>0.288037301275128</v>
      </c>
      <c r="N6" t="n">
        <v>0.0816492070575199</v>
      </c>
      <c r="O6" t="n">
        <v>0.114048813509238</v>
      </c>
      <c r="P6" t="n">
        <v>0.0795591817799665</v>
      </c>
      <c r="Q6" t="n">
        <v>-0.157231073132637</v>
      </c>
      <c r="R6" t="n">
        <v>0.0286657212438562</v>
      </c>
      <c r="S6" t="n">
        <v>0.109862018846565</v>
      </c>
      <c r="T6" t="n">
        <v>0.0449796344355691</v>
      </c>
      <c r="U6" t="n">
        <v>0.0420123933836165</v>
      </c>
      <c r="V6" t="n">
        <v>0.0254530658020285</v>
      </c>
      <c r="W6" t="n">
        <v>0.00289165758319135</v>
      </c>
      <c r="X6" t="n">
        <v>0.194955668083594</v>
      </c>
      <c r="Y6" t="n">
        <v>0.188512379730921</v>
      </c>
      <c r="Z6" t="n">
        <v>-0.000158595168355188</v>
      </c>
      <c r="AA6" t="n">
        <v>-0.0807252068176214</v>
      </c>
      <c r="AB6" t="n">
        <v>0.081161848034561</v>
      </c>
      <c r="AC6" t="n">
        <v>0.123284833282483</v>
      </c>
      <c r="AD6" t="n">
        <v>0</v>
      </c>
      <c r="AE6" t="n">
        <v>0.487927424861702</v>
      </c>
      <c r="AF6" t="n">
        <v>0</v>
      </c>
    </row>
    <row r="7">
      <c r="A7" t="s">
        <v>118</v>
      </c>
      <c r="B7" t="s">
        <v>283</v>
      </c>
      <c r="C7" t="s">
        <v>119</v>
      </c>
      <c r="D7" t="s">
        <v>284</v>
      </c>
      <c r="E7" t="s">
        <v>59</v>
      </c>
      <c r="F7" t="n">
        <v>0.163923443869712</v>
      </c>
      <c r="G7" t="n">
        <v>0.154374634206938</v>
      </c>
      <c r="H7" t="n">
        <v>0.182581712301201</v>
      </c>
      <c r="I7" t="n">
        <v>0.236920667191171</v>
      </c>
      <c r="J7" t="n">
        <v>0.244570712459137</v>
      </c>
      <c r="K7" t="n">
        <v>0.227967812802935</v>
      </c>
      <c r="L7" t="n">
        <v>0.232044874322714</v>
      </c>
      <c r="M7" t="n">
        <v>0.285230305186309</v>
      </c>
      <c r="N7" t="n">
        <v>0.282135528405994</v>
      </c>
      <c r="O7" t="n">
        <v>0.265875425606273</v>
      </c>
      <c r="P7" t="n">
        <v>0.188403423850107</v>
      </c>
      <c r="Q7" t="n">
        <v>0.0808778029882113</v>
      </c>
      <c r="R7" t="n">
        <v>0.132850455551158</v>
      </c>
      <c r="S7" t="n">
        <v>0.190584347157089</v>
      </c>
      <c r="T7" t="n">
        <v>0.158139254617187</v>
      </c>
      <c r="U7" t="n">
        <v>0.120670334495213</v>
      </c>
      <c r="V7" t="n">
        <v>-0.0990823126389048</v>
      </c>
      <c r="W7" t="n">
        <v>-0.0576915475129672</v>
      </c>
      <c r="X7" t="n">
        <v>0.0734181171484916</v>
      </c>
      <c r="Y7" t="n">
        <v>-0.00951848625379928</v>
      </c>
      <c r="Z7" t="n">
        <v>-0.250215479576415</v>
      </c>
      <c r="AA7" t="n">
        <v>-0.225616368586604</v>
      </c>
      <c r="AB7" t="n">
        <v>-0.136764462054542</v>
      </c>
      <c r="AC7" t="n">
        <v>-0.114484502571012</v>
      </c>
      <c r="AD7" t="n">
        <v>0</v>
      </c>
      <c r="AE7" t="n">
        <v>0.0503567417488069</v>
      </c>
      <c r="AF7" t="n">
        <v>0</v>
      </c>
    </row>
    <row r="8">
      <c r="A8" t="s">
        <v>120</v>
      </c>
      <c r="B8" t="s">
        <v>283</v>
      </c>
      <c r="C8" t="s">
        <v>121</v>
      </c>
      <c r="D8" t="s">
        <v>284</v>
      </c>
      <c r="E8" t="s">
        <v>59</v>
      </c>
      <c r="F8" t="n">
        <v>0.254651450790774</v>
      </c>
      <c r="G8" t="n">
        <v>0.0724554809056144</v>
      </c>
      <c r="H8" t="n">
        <v>0.190492142878359</v>
      </c>
      <c r="I8" t="n">
        <v>0.35971810587339</v>
      </c>
      <c r="J8" t="n">
        <v>0.705456435652313</v>
      </c>
      <c r="K8" t="n">
        <v>0.611009201222911</v>
      </c>
      <c r="L8" t="n">
        <v>0.459134564619127</v>
      </c>
      <c r="M8" t="n">
        <v>0.783783074092313</v>
      </c>
      <c r="N8" t="n">
        <v>0.637884276214178</v>
      </c>
      <c r="O8" t="n">
        <v>0.891874596379272</v>
      </c>
      <c r="P8" t="n">
        <v>0.739178694183384</v>
      </c>
      <c r="Q8" t="n">
        <v>0.397892943723932</v>
      </c>
      <c r="R8" t="n">
        <v>0.409544047529673</v>
      </c>
      <c r="S8" t="n">
        <v>0.418132953183407</v>
      </c>
      <c r="T8" t="n">
        <v>-0.341913322954695</v>
      </c>
      <c r="U8" t="n">
        <v>-0.22083349955276</v>
      </c>
      <c r="V8" t="n">
        <v>-0.95875750810926</v>
      </c>
      <c r="W8" t="n">
        <v>0.34583430124844</v>
      </c>
      <c r="X8" t="n">
        <v>0.220205516502151</v>
      </c>
      <c r="Y8" t="n">
        <v>-0.515056579806884</v>
      </c>
      <c r="Z8" t="n">
        <v>-1.55756788862784</v>
      </c>
      <c r="AA8" t="n">
        <v>-1.45973027709835</v>
      </c>
      <c r="AB8" t="n">
        <v>-1.12106370466044</v>
      </c>
      <c r="AC8" t="n">
        <v>-0.829279207321515</v>
      </c>
      <c r="AD8" t="n">
        <v>0</v>
      </c>
      <c r="AE8" t="n">
        <v>-0.999307129275883</v>
      </c>
      <c r="AF8" t="n">
        <v>0</v>
      </c>
    </row>
    <row r="9">
      <c r="A9" t="s">
        <v>122</v>
      </c>
      <c r="B9" t="s">
        <v>283</v>
      </c>
      <c r="C9" t="s">
        <v>123</v>
      </c>
      <c r="D9" t="s">
        <v>284</v>
      </c>
      <c r="E9" t="s">
        <v>59</v>
      </c>
      <c r="F9" t="n">
        <v>1.35200038435504</v>
      </c>
      <c r="G9" t="n">
        <v>0.761386203966216</v>
      </c>
      <c r="H9" t="n">
        <v>0.452192393656168</v>
      </c>
      <c r="I9" t="n">
        <v>0.968410761364793</v>
      </c>
      <c r="J9" t="n">
        <v>0.647661118366932</v>
      </c>
      <c r="K9" t="n">
        <v>0.0977194797842992</v>
      </c>
      <c r="L9" t="n">
        <v>0.424514612101209</v>
      </c>
      <c r="M9" t="n">
        <v>0.85430504880776</v>
      </c>
      <c r="N9" t="n">
        <v>1.06309670367764</v>
      </c>
      <c r="O9" t="n">
        <v>0.548483527997438</v>
      </c>
      <c r="P9" t="n">
        <v>0.105722893618463</v>
      </c>
      <c r="Q9" t="n">
        <v>-0.0852653140429612</v>
      </c>
      <c r="R9" t="n">
        <v>0.80521243984063</v>
      </c>
      <c r="S9" t="n">
        <v>0.775292331605444</v>
      </c>
      <c r="T9" t="n">
        <v>1.10331689439735</v>
      </c>
      <c r="U9" t="n">
        <v>0.520430929779667</v>
      </c>
      <c r="V9" t="n">
        <v>-0.511855715641726</v>
      </c>
      <c r="W9" t="n">
        <v>0.674196614072297</v>
      </c>
      <c r="X9" t="n">
        <v>0.908121998428659</v>
      </c>
      <c r="Y9" t="n">
        <v>0.644577415813501</v>
      </c>
      <c r="Z9" t="n">
        <v>-0.297373112027888</v>
      </c>
      <c r="AA9" t="n">
        <v>-0.317072345372344</v>
      </c>
      <c r="AB9" t="n">
        <v>-0.256999366597765</v>
      </c>
      <c r="AC9" t="n">
        <v>-0.607371567549942</v>
      </c>
      <c r="AD9" t="n">
        <v>0</v>
      </c>
      <c r="AE9" t="n">
        <v>-0.442954931057541</v>
      </c>
      <c r="AF9" t="n">
        <v>0</v>
      </c>
    </row>
    <row r="10">
      <c r="A10" t="s">
        <v>124</v>
      </c>
      <c r="B10" t="s">
        <v>283</v>
      </c>
      <c r="C10" t="s">
        <v>125</v>
      </c>
      <c r="D10" t="s">
        <v>284</v>
      </c>
      <c r="E10" t="s">
        <v>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126</v>
      </c>
      <c r="B11" t="s">
        <v>283</v>
      </c>
      <c r="C11" t="s">
        <v>127</v>
      </c>
      <c r="D11" t="s">
        <v>284</v>
      </c>
      <c r="E11" t="s">
        <v>59</v>
      </c>
      <c r="F11" t="n">
        <v>-1.19254396247423</v>
      </c>
      <c r="G11" t="n">
        <v>-1.77390797931075</v>
      </c>
      <c r="H11" t="n">
        <v>-0.443849335867546</v>
      </c>
      <c r="I11" t="n">
        <v>1.71386585370771</v>
      </c>
      <c r="J11" t="n">
        <v>-0.287147512519899</v>
      </c>
      <c r="K11" t="n">
        <v>1.60469827556968</v>
      </c>
      <c r="L11" t="n">
        <v>0.0997693628854154</v>
      </c>
      <c r="M11" t="n">
        <v>1.24580089435644</v>
      </c>
      <c r="N11" t="n">
        <v>2.64793556031538</v>
      </c>
      <c r="O11" t="n">
        <v>0.518473795907576</v>
      </c>
      <c r="P11" t="n">
        <v>0.949300233808492</v>
      </c>
      <c r="Q11" t="n">
        <v>0.950259998620987</v>
      </c>
      <c r="R11" t="n">
        <v>3.14407583096261</v>
      </c>
      <c r="S11" t="n">
        <v>1.73494114101115</v>
      </c>
      <c r="T11" t="n">
        <v>1.28019809242634</v>
      </c>
      <c r="U11" t="n">
        <v>1.64294029106891</v>
      </c>
      <c r="V11" t="n">
        <v>1.52081973106315</v>
      </c>
      <c r="W11" t="n">
        <v>-0.341363454090928</v>
      </c>
      <c r="X11" t="n">
        <v>1.1513030513766</v>
      </c>
      <c r="Y11" t="n">
        <v>-0.422602066582167</v>
      </c>
      <c r="Z11" t="n">
        <v>0.248814755784857</v>
      </c>
      <c r="AA11" t="n">
        <v>-0.144277107774357</v>
      </c>
      <c r="AB11" t="n">
        <v>0.462973545197894</v>
      </c>
      <c r="AC11" t="n">
        <v>-0.327981010895895</v>
      </c>
      <c r="AD11" t="n">
        <v>0</v>
      </c>
      <c r="AE11" t="n">
        <v>-1.00789093714017</v>
      </c>
      <c r="AF11" t="n">
        <v>0</v>
      </c>
    </row>
    <row r="12">
      <c r="A12" t="s">
        <v>128</v>
      </c>
      <c r="B12" t="s">
        <v>283</v>
      </c>
      <c r="C12" t="s">
        <v>129</v>
      </c>
      <c r="D12" t="s">
        <v>284</v>
      </c>
      <c r="E12" t="s">
        <v>59</v>
      </c>
      <c r="F12" t="n">
        <v>0.188307024140981</v>
      </c>
      <c r="G12" t="n">
        <v>0.191520237931009</v>
      </c>
      <c r="H12" t="n">
        <v>0.213654949050634</v>
      </c>
      <c r="I12" t="n">
        <v>0.519557914971145</v>
      </c>
      <c r="J12" t="n">
        <v>0.281363708528953</v>
      </c>
      <c r="K12" t="n">
        <v>0.177502766945397</v>
      </c>
      <c r="L12" t="n">
        <v>0.255932348636207</v>
      </c>
      <c r="M12" t="n">
        <v>0.354486403675111</v>
      </c>
      <c r="N12" t="n">
        <v>0.179924046312393</v>
      </c>
      <c r="O12" t="n">
        <v>0.244232735021849</v>
      </c>
      <c r="P12" t="n">
        <v>0.160555659581054</v>
      </c>
      <c r="Q12" t="n">
        <v>-0.0520384897906526</v>
      </c>
      <c r="R12" t="n">
        <v>-0.0864023115119333</v>
      </c>
      <c r="S12" t="n">
        <v>0.274400053526273</v>
      </c>
      <c r="T12" t="n">
        <v>0.51323777282196</v>
      </c>
      <c r="U12" t="n">
        <v>-0.0514351494681796</v>
      </c>
      <c r="V12" t="n">
        <v>-0.0846220859948583</v>
      </c>
      <c r="W12" t="n">
        <v>-0.0339496138527974</v>
      </c>
      <c r="X12" t="n">
        <v>0.185904226857016</v>
      </c>
      <c r="Y12" t="n">
        <v>0.120034516917756</v>
      </c>
      <c r="Z12" t="n">
        <v>0.15027868565224</v>
      </c>
      <c r="AA12" t="n">
        <v>0.0939340871130857</v>
      </c>
      <c r="AB12" t="n">
        <v>0.0267932087105301</v>
      </c>
      <c r="AC12" t="n">
        <v>-0.0750329854637415</v>
      </c>
      <c r="AD12" t="n">
        <v>0</v>
      </c>
      <c r="AE12" t="n">
        <v>0.11760647214936</v>
      </c>
      <c r="AF12" t="n">
        <v>0</v>
      </c>
    </row>
    <row r="13">
      <c r="A13" t="s">
        <v>130</v>
      </c>
      <c r="B13" t="s">
        <v>283</v>
      </c>
      <c r="C13" t="s">
        <v>131</v>
      </c>
      <c r="D13" t="s">
        <v>284</v>
      </c>
      <c r="E13" t="s">
        <v>59</v>
      </c>
      <c r="F13" t="n">
        <v>-0.0281376726693905</v>
      </c>
      <c r="G13" t="n">
        <v>-0.0244679989745454</v>
      </c>
      <c r="H13" t="n">
        <v>-0.0559229471810332</v>
      </c>
      <c r="I13" t="n">
        <v>0.317756397082462</v>
      </c>
      <c r="J13" t="n">
        <v>0.13201606967129</v>
      </c>
      <c r="K13" t="n">
        <v>-0.0930307290938147</v>
      </c>
      <c r="L13" t="n">
        <v>0.0440658052261247</v>
      </c>
      <c r="M13" t="n">
        <v>0.161621002480587</v>
      </c>
      <c r="N13" t="n">
        <v>0.0818731231795436</v>
      </c>
      <c r="O13" t="n">
        <v>0.0666460089868833</v>
      </c>
      <c r="P13" t="n">
        <v>-0.0610155255770777</v>
      </c>
      <c r="Q13" t="n">
        <v>-0.176836913803224</v>
      </c>
      <c r="R13" t="n">
        <v>-0.0192420312024155</v>
      </c>
      <c r="S13" t="n">
        <v>0.0331169254322565</v>
      </c>
      <c r="T13" t="n">
        <v>0.521449591229004</v>
      </c>
      <c r="U13" t="n">
        <v>0.0204699628973492</v>
      </c>
      <c r="V13" t="n">
        <v>-0.101288750914418</v>
      </c>
      <c r="W13" t="n">
        <v>-0.111977003587516</v>
      </c>
      <c r="X13" t="n">
        <v>0.136699597257768</v>
      </c>
      <c r="Y13" t="n">
        <v>-0.0356053769282041</v>
      </c>
      <c r="Z13" t="n">
        <v>0.422254198829672</v>
      </c>
      <c r="AA13" t="n">
        <v>0.122543001232719</v>
      </c>
      <c r="AB13" t="n">
        <v>-0.0388696700717581</v>
      </c>
      <c r="AC13" t="n">
        <v>-0.14159036432243</v>
      </c>
      <c r="AD13" t="n">
        <v>0</v>
      </c>
      <c r="AE13" t="n">
        <v>0.0564226229843339</v>
      </c>
      <c r="AF13" t="n">
        <v>0</v>
      </c>
    </row>
    <row r="14">
      <c r="A14" t="s">
        <v>132</v>
      </c>
      <c r="B14" t="s">
        <v>283</v>
      </c>
      <c r="C14" t="s">
        <v>133</v>
      </c>
      <c r="D14" t="s">
        <v>284</v>
      </c>
      <c r="E14" t="s">
        <v>59</v>
      </c>
      <c r="F14" t="n">
        <v>1.25693062413179</v>
      </c>
      <c r="G14" t="n">
        <v>1.15644049094147</v>
      </c>
      <c r="H14" t="n">
        <v>0.432339045973475</v>
      </c>
      <c r="I14" t="n">
        <v>1.33123883193384</v>
      </c>
      <c r="J14" t="n">
        <v>0.800345898510524</v>
      </c>
      <c r="K14" t="n">
        <v>0.850982359618168</v>
      </c>
      <c r="L14" t="n">
        <v>1.97667988041181</v>
      </c>
      <c r="M14" t="n">
        <v>2.72646581232601</v>
      </c>
      <c r="N14" t="n">
        <v>1.09073421663496</v>
      </c>
      <c r="O14" t="n">
        <v>1.11607426512272</v>
      </c>
      <c r="P14" t="n">
        <v>1.50868590469702</v>
      </c>
      <c r="Q14" t="n">
        <v>-0.129645935794164</v>
      </c>
      <c r="R14" t="n">
        <v>-0.294545729491286</v>
      </c>
      <c r="S14" t="n">
        <v>1.15241724858282</v>
      </c>
      <c r="T14" t="n">
        <v>2.49929490562916</v>
      </c>
      <c r="U14" t="n">
        <v>0.583637667587393</v>
      </c>
      <c r="V14" t="n">
        <v>0.271441996543417</v>
      </c>
      <c r="W14" t="n">
        <v>2.75652386425458</v>
      </c>
      <c r="X14" t="n">
        <v>1.56988776648835</v>
      </c>
      <c r="Y14" t="n">
        <v>0.36015483248485</v>
      </c>
      <c r="Z14" t="n">
        <v>0.2714846630683</v>
      </c>
      <c r="AA14" t="n">
        <v>-0.200567168401687</v>
      </c>
      <c r="AB14" t="n">
        <v>-0.538221822053262</v>
      </c>
      <c r="AC14" t="n">
        <v>-0.732627095301483</v>
      </c>
      <c r="AD14" t="n">
        <v>0</v>
      </c>
      <c r="AE14" t="n">
        <v>-0.191674670539365</v>
      </c>
      <c r="AF14" t="n">
        <v>0</v>
      </c>
    </row>
    <row r="15">
      <c r="A15" t="s">
        <v>134</v>
      </c>
      <c r="B15" t="s">
        <v>283</v>
      </c>
      <c r="C15" t="s">
        <v>135</v>
      </c>
      <c r="D15" t="s">
        <v>284</v>
      </c>
      <c r="E15" t="s">
        <v>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136</v>
      </c>
      <c r="B16" t="s">
        <v>283</v>
      </c>
      <c r="C16" t="s">
        <v>137</v>
      </c>
      <c r="D16" t="s">
        <v>284</v>
      </c>
      <c r="E16" t="s">
        <v>59</v>
      </c>
      <c r="F16" t="n">
        <v>1.26824515440428</v>
      </c>
      <c r="G16" t="n">
        <v>1.36061397445753</v>
      </c>
      <c r="H16" t="n">
        <v>1.16115834972144</v>
      </c>
      <c r="I16" t="n">
        <v>2.51059123825079</v>
      </c>
      <c r="J16" t="n">
        <v>1.81888607329666</v>
      </c>
      <c r="K16" t="n">
        <v>1.68739026850943</v>
      </c>
      <c r="L16" t="n">
        <v>2.46848913870241</v>
      </c>
      <c r="M16" t="n">
        <v>3.19277280424312</v>
      </c>
      <c r="N16" t="n">
        <v>2.83870839037688</v>
      </c>
      <c r="O16" t="n">
        <v>1.46916929799868</v>
      </c>
      <c r="P16" t="n">
        <v>0.419702509822904</v>
      </c>
      <c r="Q16" t="n">
        <v>-0.172292477236442</v>
      </c>
      <c r="R16" t="n">
        <v>0.816542886859533</v>
      </c>
      <c r="S16" t="n">
        <v>1.77896207759772</v>
      </c>
      <c r="T16" t="n">
        <v>1.46301129659847</v>
      </c>
      <c r="U16" t="n">
        <v>-0.42454131533495</v>
      </c>
      <c r="V16" t="n">
        <v>-0.126910761525981</v>
      </c>
      <c r="W16" t="n">
        <v>0.956550971466403</v>
      </c>
      <c r="X16" t="n">
        <v>0.920942596572268</v>
      </c>
      <c r="Y16" t="n">
        <v>0.041987478940061</v>
      </c>
      <c r="Z16" t="n">
        <v>0.43244785778243</v>
      </c>
      <c r="AA16" t="n">
        <v>0.376574540046124</v>
      </c>
      <c r="AB16" t="n">
        <v>0.11801178808547</v>
      </c>
      <c r="AC16" t="n">
        <v>-0.619850213268803</v>
      </c>
      <c r="AD16" t="n">
        <v>0</v>
      </c>
      <c r="AE16" t="n">
        <v>-0.360289155125149</v>
      </c>
      <c r="AF16" t="n">
        <v>0</v>
      </c>
    </row>
    <row r="17">
      <c r="A17" t="s">
        <v>138</v>
      </c>
      <c r="B17" t="s">
        <v>283</v>
      </c>
      <c r="C17" t="s">
        <v>139</v>
      </c>
      <c r="D17" t="s">
        <v>284</v>
      </c>
      <c r="E17" t="s">
        <v>59</v>
      </c>
      <c r="F17" t="n">
        <v>0.568848232076279</v>
      </c>
      <c r="G17" t="n">
        <v>0.459661527003832</v>
      </c>
      <c r="H17" t="n">
        <v>0.538335358204153</v>
      </c>
      <c r="I17" t="n">
        <v>0.797488884509918</v>
      </c>
      <c r="J17" t="n">
        <v>0.799632196522458</v>
      </c>
      <c r="K17" t="n">
        <v>0.486554737670736</v>
      </c>
      <c r="L17" t="n">
        <v>0.779218808232336</v>
      </c>
      <c r="M17" t="n">
        <v>1.01823598637239</v>
      </c>
      <c r="N17" t="n">
        <v>0.987152372212101</v>
      </c>
      <c r="O17" t="n">
        <v>0.559985706152969</v>
      </c>
      <c r="P17" t="n">
        <v>0.542969504427998</v>
      </c>
      <c r="Q17" t="n">
        <v>0.0868554617220995</v>
      </c>
      <c r="R17" t="n">
        <v>0.0989025638557412</v>
      </c>
      <c r="S17" t="n">
        <v>0.105506283829468</v>
      </c>
      <c r="T17" t="n">
        <v>1.40261112513092</v>
      </c>
      <c r="U17" t="n">
        <v>0.218582000099249</v>
      </c>
      <c r="V17" t="n">
        <v>0.0954825329130095</v>
      </c>
      <c r="W17" t="n">
        <v>0.208209281951424</v>
      </c>
      <c r="X17" t="n">
        <v>0.589311740105881</v>
      </c>
      <c r="Y17" t="n">
        <v>0.318569195284344</v>
      </c>
      <c r="Z17" t="n">
        <v>0.598188443631463</v>
      </c>
      <c r="AA17" t="n">
        <v>0.0270253616130583</v>
      </c>
      <c r="AB17" t="n">
        <v>-0.212713361595999</v>
      </c>
      <c r="AC17" t="n">
        <v>-0.0926885409820108</v>
      </c>
      <c r="AD17" t="n">
        <v>0</v>
      </c>
      <c r="AE17" t="n">
        <v>-0.0178575055391736</v>
      </c>
      <c r="AF17" t="n">
        <v>0</v>
      </c>
    </row>
    <row r="18">
      <c r="A18" t="s">
        <v>140</v>
      </c>
      <c r="B18" t="s">
        <v>283</v>
      </c>
      <c r="C18" t="s">
        <v>141</v>
      </c>
      <c r="D18" t="s">
        <v>284</v>
      </c>
      <c r="E18" t="s">
        <v>59</v>
      </c>
      <c r="F18" t="n">
        <v>0.738090166687778</v>
      </c>
      <c r="G18" t="n">
        <v>0.371605023982737</v>
      </c>
      <c r="H18" t="n">
        <v>0.479817862410919</v>
      </c>
      <c r="I18" t="n">
        <v>1.26769744291868</v>
      </c>
      <c r="J18" t="n">
        <v>0.67340209978796</v>
      </c>
      <c r="K18" t="n">
        <v>0.424766146327804</v>
      </c>
      <c r="L18" t="n">
        <v>0.365948734204648</v>
      </c>
      <c r="M18" t="n">
        <v>0.549720535086458</v>
      </c>
      <c r="N18" t="n">
        <v>0.625141855996815</v>
      </c>
      <c r="O18" t="n">
        <v>0.53279477063711</v>
      </c>
      <c r="P18" t="n">
        <v>0.277256566649514</v>
      </c>
      <c r="Q18" t="n">
        <v>0.160904439576265</v>
      </c>
      <c r="R18" t="n">
        <v>0.56859518252903</v>
      </c>
      <c r="S18" t="n">
        <v>0.992272347526536</v>
      </c>
      <c r="T18" t="n">
        <v>1.84873350552773</v>
      </c>
      <c r="U18" t="n">
        <v>0.36505338056352</v>
      </c>
      <c r="V18" t="n">
        <v>-0.231181580276771</v>
      </c>
      <c r="W18" t="n">
        <v>0.596218267929773</v>
      </c>
      <c r="X18" t="n">
        <v>0.446451620143741</v>
      </c>
      <c r="Y18" t="n">
        <v>0.488206435867467</v>
      </c>
      <c r="Z18" t="n">
        <v>0.544264689294351</v>
      </c>
      <c r="AA18" t="n">
        <v>0.599215263880459</v>
      </c>
      <c r="AB18" t="n">
        <v>0.612541386727973</v>
      </c>
      <c r="AC18" t="n">
        <v>0.299086731372194</v>
      </c>
      <c r="AD18" t="n">
        <v>0</v>
      </c>
      <c r="AE18" t="n">
        <v>1.35083472493708</v>
      </c>
      <c r="AF18" t="n">
        <v>0</v>
      </c>
    </row>
    <row r="19">
      <c r="A19" t="s">
        <v>142</v>
      </c>
      <c r="B19" t="s">
        <v>283</v>
      </c>
      <c r="C19" t="s">
        <v>143</v>
      </c>
      <c r="D19" t="s">
        <v>284</v>
      </c>
      <c r="E19" t="s">
        <v>59</v>
      </c>
      <c r="F19" t="n">
        <v>0.466375375549093</v>
      </c>
      <c r="G19" t="n">
        <v>0.430928413715519</v>
      </c>
      <c r="H19" t="n">
        <v>0.613526737265424</v>
      </c>
      <c r="I19" t="n">
        <v>0.763108469378638</v>
      </c>
      <c r="J19" t="n">
        <v>0.936783967886757</v>
      </c>
      <c r="K19" t="n">
        <v>0.693634705125559</v>
      </c>
      <c r="L19" t="n">
        <v>0.719286631385434</v>
      </c>
      <c r="M19" t="n">
        <v>1.01112483657902</v>
      </c>
      <c r="N19" t="n">
        <v>0.334000292205269</v>
      </c>
      <c r="O19" t="n">
        <v>0.444643153243236</v>
      </c>
      <c r="P19" t="n">
        <v>0.030984095931643</v>
      </c>
      <c r="Q19" t="n">
        <v>-0.195876654767834</v>
      </c>
      <c r="R19" t="n">
        <v>-0.201694724549924</v>
      </c>
      <c r="S19" t="n">
        <v>0.208838960437556</v>
      </c>
      <c r="T19" t="n">
        <v>-0.104677024142265</v>
      </c>
      <c r="U19" t="n">
        <v>0.233960035346596</v>
      </c>
      <c r="V19" t="n">
        <v>-0.23226246523899</v>
      </c>
      <c r="W19" t="n">
        <v>-0.245685467094779</v>
      </c>
      <c r="X19" t="n">
        <v>0.265284178431118</v>
      </c>
      <c r="Y19" t="n">
        <v>-0.0328359808329647</v>
      </c>
      <c r="Z19" t="n">
        <v>-0.545575721188309</v>
      </c>
      <c r="AA19" t="n">
        <v>-0.522116960200438</v>
      </c>
      <c r="AB19" t="n">
        <v>-0.242841082205125</v>
      </c>
      <c r="AC19" t="n">
        <v>-0.00890131130704311</v>
      </c>
      <c r="AD19" t="n">
        <v>0</v>
      </c>
      <c r="AE19" t="n">
        <v>0.703297947967197</v>
      </c>
      <c r="AF19" t="n">
        <v>0</v>
      </c>
    </row>
    <row r="20">
      <c r="A20" t="s">
        <v>144</v>
      </c>
      <c r="B20" t="s">
        <v>283</v>
      </c>
      <c r="C20" t="s">
        <v>145</v>
      </c>
      <c r="D20" t="s">
        <v>284</v>
      </c>
      <c r="E20" t="s">
        <v>59</v>
      </c>
      <c r="F20" t="n">
        <v>-0.014728575085113</v>
      </c>
      <c r="G20" t="n">
        <v>0.203657521840359</v>
      </c>
      <c r="H20" t="n">
        <v>0.149026667079058</v>
      </c>
      <c r="I20" t="n">
        <v>0.0154076461628768</v>
      </c>
      <c r="J20" t="n">
        <v>0.0672785577137198</v>
      </c>
      <c r="K20" t="n">
        <v>0.135096056375649</v>
      </c>
      <c r="L20" t="n">
        <v>0.080604231082344</v>
      </c>
      <c r="M20" t="n">
        <v>0.0332885562745041</v>
      </c>
      <c r="N20" t="n">
        <v>0.141252142991091</v>
      </c>
      <c r="O20" t="n">
        <v>0.0683995911342455</v>
      </c>
      <c r="P20" t="n">
        <v>-0.182036471369232</v>
      </c>
      <c r="Q20" t="n">
        <v>-0.0332491493247416</v>
      </c>
      <c r="R20" t="n">
        <v>0.235165875729097</v>
      </c>
      <c r="S20" t="n">
        <v>0.00314617437910506</v>
      </c>
      <c r="T20" t="n">
        <v>-0.168217753567637</v>
      </c>
      <c r="U20" t="n">
        <v>-0.0466015364367223</v>
      </c>
      <c r="V20" t="n">
        <v>0.0905890985549417</v>
      </c>
      <c r="W20" t="n">
        <v>-0.0653419277095166</v>
      </c>
      <c r="X20" t="n">
        <v>0.0799806361332712</v>
      </c>
      <c r="Y20" t="n">
        <v>0.017886368881989</v>
      </c>
      <c r="Z20" t="n">
        <v>0.00314790169314016</v>
      </c>
      <c r="AA20" t="n">
        <v>-0.0939550606984114</v>
      </c>
      <c r="AB20" t="n">
        <v>0.158256352022706</v>
      </c>
      <c r="AC20" t="n">
        <v>-0.00926719283205714</v>
      </c>
      <c r="AD20" t="n">
        <v>0</v>
      </c>
      <c r="AE20" t="n">
        <v>-0.336596095459872</v>
      </c>
      <c r="AF20" t="n">
        <v>0</v>
      </c>
    </row>
    <row r="21">
      <c r="A21" t="s">
        <v>146</v>
      </c>
      <c r="B21" t="s">
        <v>283</v>
      </c>
      <c r="C21" t="s">
        <v>147</v>
      </c>
      <c r="D21" t="s">
        <v>284</v>
      </c>
      <c r="E21" t="s">
        <v>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148</v>
      </c>
      <c r="B22" t="s">
        <v>283</v>
      </c>
      <c r="C22" t="s">
        <v>149</v>
      </c>
      <c r="D22" t="s">
        <v>284</v>
      </c>
      <c r="E22" t="s">
        <v>59</v>
      </c>
      <c r="F22" t="n">
        <v>-0.0600286752599066</v>
      </c>
      <c r="G22" t="n">
        <v>-0.00660305665103152</v>
      </c>
      <c r="H22" t="n">
        <v>0.00242702725271417</v>
      </c>
      <c r="I22" t="n">
        <v>0.00385892993039065</v>
      </c>
      <c r="J22" t="n">
        <v>0.0180808960537414</v>
      </c>
      <c r="K22" t="n">
        <v>0.0236938467393388</v>
      </c>
      <c r="L22" t="n">
        <v>0.0415404698378241</v>
      </c>
      <c r="M22" t="n">
        <v>0.0281121016159074</v>
      </c>
      <c r="N22" t="n">
        <v>0.0203643426034888</v>
      </c>
      <c r="O22" t="n">
        <v>-0.000380322105367476</v>
      </c>
      <c r="P22" t="n">
        <v>-0.0223867841838954</v>
      </c>
      <c r="Q22" t="n">
        <v>0.0201667993551459</v>
      </c>
      <c r="R22" t="n">
        <v>0.0427910923122028</v>
      </c>
      <c r="S22" t="n">
        <v>0.0219533208186169</v>
      </c>
      <c r="T22" t="n">
        <v>-0.0151332717188852</v>
      </c>
      <c r="U22" t="n">
        <v>-0.020757616817718</v>
      </c>
      <c r="V22" t="n">
        <v>0.0221758522152274</v>
      </c>
      <c r="W22" t="n">
        <v>0.0167808074881841</v>
      </c>
      <c r="X22" t="n">
        <v>0.0190727918664974</v>
      </c>
      <c r="Y22" t="n">
        <v>0.0124890574516274</v>
      </c>
      <c r="Z22" t="n">
        <v>0.0127788920572973</v>
      </c>
      <c r="AA22" t="n">
        <v>0.00476069378881348</v>
      </c>
      <c r="AB22" t="n">
        <v>0.0187681657250674</v>
      </c>
      <c r="AC22" t="n">
        <v>0.00911780678864151</v>
      </c>
      <c r="AD22" t="n">
        <v>0</v>
      </c>
      <c r="AE22" t="n">
        <v>-0.0116956359669115</v>
      </c>
      <c r="AF22" t="n">
        <v>0</v>
      </c>
    </row>
    <row r="23">
      <c r="A23" t="s">
        <v>150</v>
      </c>
      <c r="B23" t="s">
        <v>283</v>
      </c>
      <c r="C23" t="s">
        <v>151</v>
      </c>
      <c r="D23" t="s">
        <v>284</v>
      </c>
      <c r="E23" t="s">
        <v>59</v>
      </c>
      <c r="F23" t="n">
        <v>0.00227491161308097</v>
      </c>
      <c r="G23" t="n">
        <v>0.0206292351638287</v>
      </c>
      <c r="H23" t="n">
        <v>0.0474653350832332</v>
      </c>
      <c r="I23" t="n">
        <v>-0.0117993611956394</v>
      </c>
      <c r="J23" t="n">
        <v>0.0314166757769762</v>
      </c>
      <c r="K23" t="n">
        <v>0.0247641052721077</v>
      </c>
      <c r="L23" t="n">
        <v>0.0390626000333904</v>
      </c>
      <c r="M23" t="n">
        <v>0.0381173876911301</v>
      </c>
      <c r="N23" t="n">
        <v>0.0445694120383169</v>
      </c>
      <c r="O23" t="n">
        <v>0.0533138981057152</v>
      </c>
      <c r="P23" t="n">
        <v>0.0493402730156818</v>
      </c>
      <c r="Q23" t="n">
        <v>0.0136076340447181</v>
      </c>
      <c r="R23" t="n">
        <v>0.0150132423916832</v>
      </c>
      <c r="S23" t="n">
        <v>0.0351685645947125</v>
      </c>
      <c r="T23" t="n">
        <v>0.0280384262954416</v>
      </c>
      <c r="U23" t="n">
        <v>0.0365572445210462</v>
      </c>
      <c r="V23" t="n">
        <v>-0.0258841661157999</v>
      </c>
      <c r="W23" t="n">
        <v>-0.004412042399044</v>
      </c>
      <c r="X23" t="n">
        <v>0.0138072370494819</v>
      </c>
      <c r="Y23" t="n">
        <v>-0.03183146971569</v>
      </c>
      <c r="Z23" t="n">
        <v>0.0335045294126183</v>
      </c>
      <c r="AA23" t="n">
        <v>0.0312347795362905</v>
      </c>
      <c r="AB23" t="n">
        <v>0.00070044943195475</v>
      </c>
      <c r="AC23" t="n">
        <v>-0.00977582204351804</v>
      </c>
      <c r="AD23" t="n">
        <v>0</v>
      </c>
      <c r="AE23" t="n">
        <v>0.0282695156644181</v>
      </c>
      <c r="AF23" t="n">
        <v>0</v>
      </c>
    </row>
    <row r="24">
      <c r="A24" t="s">
        <v>152</v>
      </c>
      <c r="B24" t="s">
        <v>283</v>
      </c>
      <c r="C24" t="s">
        <v>153</v>
      </c>
      <c r="D24" t="s">
        <v>284</v>
      </c>
      <c r="E24" t="s">
        <v>59</v>
      </c>
      <c r="F24" t="n">
        <v>-0.0150080217000118</v>
      </c>
      <c r="G24" t="n">
        <v>0.00633976706202723</v>
      </c>
      <c r="H24" t="n">
        <v>0.0329150686852211</v>
      </c>
      <c r="I24" t="n">
        <v>0.0435770222305732</v>
      </c>
      <c r="J24" t="n">
        <v>0.059683392156861</v>
      </c>
      <c r="K24" t="n">
        <v>0.045503412145142</v>
      </c>
      <c r="L24" t="n">
        <v>0.0917566565158389</v>
      </c>
      <c r="M24" t="n">
        <v>0.169546215434674</v>
      </c>
      <c r="N24" t="n">
        <v>0.133257938452272</v>
      </c>
      <c r="O24" t="n">
        <v>0.0916739010336421</v>
      </c>
      <c r="P24" t="n">
        <v>0.144482976701137</v>
      </c>
      <c r="Q24" t="n">
        <v>0.14715257630918</v>
      </c>
      <c r="R24" t="n">
        <v>0.132092423653696</v>
      </c>
      <c r="S24" t="n">
        <v>0.138905175029298</v>
      </c>
      <c r="T24" t="n">
        <v>0.0375449363885788</v>
      </c>
      <c r="U24" t="n">
        <v>0.0314124401932321</v>
      </c>
      <c r="V24" t="n">
        <v>0.0902771485300466</v>
      </c>
      <c r="W24" t="n">
        <v>0.140178733365747</v>
      </c>
      <c r="X24" t="n">
        <v>0.0676864255835237</v>
      </c>
      <c r="Y24" t="n">
        <v>0.0762940880582828</v>
      </c>
      <c r="Z24" t="n">
        <v>-0.0773155946724334</v>
      </c>
      <c r="AA24" t="n">
        <v>-0.0692540321242549</v>
      </c>
      <c r="AB24" t="n">
        <v>-0.0648293733882249</v>
      </c>
      <c r="AC24" t="n">
        <v>-0.0512431128709218</v>
      </c>
      <c r="AD24" t="n">
        <v>0</v>
      </c>
      <c r="AE24" t="n">
        <v>-0.027432365682078</v>
      </c>
      <c r="AF24" t="n">
        <v>0</v>
      </c>
    </row>
    <row r="25">
      <c r="A25" t="s">
        <v>154</v>
      </c>
      <c r="B25" t="s">
        <v>283</v>
      </c>
      <c r="C25" t="s">
        <v>155</v>
      </c>
      <c r="D25" t="s">
        <v>284</v>
      </c>
      <c r="E25" t="s">
        <v>59</v>
      </c>
      <c r="F25" t="n">
        <v>0.469049116172045</v>
      </c>
      <c r="G25" t="n">
        <v>0.3082687515159</v>
      </c>
      <c r="H25" t="n">
        <v>0.150624861685159</v>
      </c>
      <c r="I25" t="n">
        <v>0.0633342905171284</v>
      </c>
      <c r="J25" t="n">
        <v>0.0128384974662276</v>
      </c>
      <c r="K25" t="n">
        <v>-0.149246126707135</v>
      </c>
      <c r="L25" t="n">
        <v>-0.127511483637878</v>
      </c>
      <c r="M25" t="n">
        <v>-0.0200625435685311</v>
      </c>
      <c r="N25" t="n">
        <v>-0.090027194554282</v>
      </c>
      <c r="O25" t="n">
        <v>-0.219463696588744</v>
      </c>
      <c r="P25" t="n">
        <v>-0.136366117447041</v>
      </c>
      <c r="Q25" t="n">
        <v>-0.104104945228292</v>
      </c>
      <c r="R25" t="n">
        <v>-0.0568979982468777</v>
      </c>
      <c r="S25" t="n">
        <v>-0.0409758758139414</v>
      </c>
      <c r="T25" t="n">
        <v>-0.0488594561134958</v>
      </c>
      <c r="U25" t="n">
        <v>-0.041578701018818</v>
      </c>
      <c r="V25" t="n">
        <v>-0.035770524974406</v>
      </c>
      <c r="W25" t="n">
        <v>-0.0108919616317773</v>
      </c>
      <c r="X25" t="n">
        <v>-0.000525824779921775</v>
      </c>
      <c r="Y25" t="n">
        <v>0.00971725142239176</v>
      </c>
      <c r="Z25" t="n">
        <v>0.0411676851657613</v>
      </c>
      <c r="AA25" t="n">
        <v>0.125690916152218</v>
      </c>
      <c r="AB25" t="n">
        <v>0.0828373339306553</v>
      </c>
      <c r="AC25" t="n">
        <v>0.0788331311352161</v>
      </c>
      <c r="AD25" t="n">
        <v>0</v>
      </c>
      <c r="AE25" t="n">
        <v>0.113347400457497</v>
      </c>
      <c r="AF25" t="n">
        <v>0</v>
      </c>
    </row>
    <row r="26">
      <c r="A26" t="s">
        <v>156</v>
      </c>
      <c r="B26" t="s">
        <v>283</v>
      </c>
      <c r="C26" t="s">
        <v>157</v>
      </c>
      <c r="D26" t="s">
        <v>284</v>
      </c>
      <c r="E26" t="s">
        <v>59</v>
      </c>
      <c r="F26" t="n">
        <v>0.225680719048526</v>
      </c>
      <c r="G26" t="n">
        <v>0.153230894508129</v>
      </c>
      <c r="H26" t="n">
        <v>0.127547805494909</v>
      </c>
      <c r="I26" t="n">
        <v>0.108611725110161</v>
      </c>
      <c r="J26" t="n">
        <v>0.117735908733435</v>
      </c>
      <c r="K26" t="n">
        <v>0.1114460153236</v>
      </c>
      <c r="L26" t="n">
        <v>0.159468744765835</v>
      </c>
      <c r="M26" t="n">
        <v>0.312815279568127</v>
      </c>
      <c r="N26" t="n">
        <v>0.292264241437512</v>
      </c>
      <c r="O26" t="n">
        <v>0.242011056994199</v>
      </c>
      <c r="P26" t="n">
        <v>0.337560903643027</v>
      </c>
      <c r="Q26" t="n">
        <v>0.238517928034155</v>
      </c>
      <c r="R26" t="n">
        <v>0.125203733899158</v>
      </c>
      <c r="S26" t="n">
        <v>0.154283433229556</v>
      </c>
      <c r="T26" t="n">
        <v>-0.0491155736875223</v>
      </c>
      <c r="U26" t="n">
        <v>0.0545642203773653</v>
      </c>
      <c r="V26" t="n">
        <v>0.0775521752027297</v>
      </c>
      <c r="W26" t="n">
        <v>0.189294392166479</v>
      </c>
      <c r="X26" t="n">
        <v>0.0477573335575243</v>
      </c>
      <c r="Y26" t="n">
        <v>-0.0412458491609261</v>
      </c>
      <c r="Z26" t="n">
        <v>-0.204935726049554</v>
      </c>
      <c r="AA26" t="n">
        <v>-0.136900797133938</v>
      </c>
      <c r="AB26" t="n">
        <v>-0.120397816196032</v>
      </c>
      <c r="AC26" t="n">
        <v>-0.145070225845599</v>
      </c>
      <c r="AD26" t="n">
        <v>0</v>
      </c>
      <c r="AE26" t="n">
        <v>-0.088691189357511</v>
      </c>
      <c r="AF26" t="n">
        <v>0</v>
      </c>
    </row>
    <row r="27">
      <c r="A27" t="s">
        <v>158</v>
      </c>
      <c r="B27" t="s">
        <v>283</v>
      </c>
      <c r="C27" t="s">
        <v>159</v>
      </c>
      <c r="D27" t="s">
        <v>284</v>
      </c>
      <c r="E27" t="s">
        <v>59</v>
      </c>
      <c r="F27" t="n">
        <v>-0.387126250327702</v>
      </c>
      <c r="G27" t="n">
        <v>-0.214590308082458</v>
      </c>
      <c r="H27" t="n">
        <v>-0.0877440245425804</v>
      </c>
      <c r="I27" t="n">
        <v>-0.0113960789213103</v>
      </c>
      <c r="J27" t="n">
        <v>0.0309675985113067</v>
      </c>
      <c r="K27" t="n">
        <v>0.0513495162038858</v>
      </c>
      <c r="L27" t="n">
        <v>0.107539969041789</v>
      </c>
      <c r="M27" t="n">
        <v>0.0896120410932918</v>
      </c>
      <c r="N27" t="n">
        <v>0.0299454767077138</v>
      </c>
      <c r="O27" t="n">
        <v>0.0156822658387361</v>
      </c>
      <c r="P27" t="n">
        <v>-0.0153893694213447</v>
      </c>
      <c r="Q27" t="n">
        <v>0.110453956987026</v>
      </c>
      <c r="R27" t="n">
        <v>0.147273300056056</v>
      </c>
      <c r="S27" t="n">
        <v>0.126843474007405</v>
      </c>
      <c r="T27" t="n">
        <v>0.149686736364003</v>
      </c>
      <c r="U27" t="n">
        <v>0.060819301587775</v>
      </c>
      <c r="V27" t="n">
        <v>0.1165383604372</v>
      </c>
      <c r="W27" t="n">
        <v>0.127390722628325</v>
      </c>
      <c r="X27" t="n">
        <v>0.111216200887429</v>
      </c>
      <c r="Y27" t="n">
        <v>0.174620667359498</v>
      </c>
      <c r="Z27" t="n">
        <v>0.016657439357573</v>
      </c>
      <c r="AA27" t="n">
        <v>-0.024551849283344</v>
      </c>
      <c r="AB27" t="n">
        <v>-0.0287407962054056</v>
      </c>
      <c r="AC27" t="n">
        <v>0.0132014156141014</v>
      </c>
      <c r="AD27" t="n">
        <v>0</v>
      </c>
      <c r="AE27" t="n">
        <v>0.0222417383087848</v>
      </c>
      <c r="AF27" t="n">
        <v>0</v>
      </c>
    </row>
    <row r="28">
      <c r="A28" t="s">
        <v>160</v>
      </c>
      <c r="B28" t="s">
        <v>283</v>
      </c>
      <c r="C28" t="s">
        <v>161</v>
      </c>
      <c r="D28" t="s">
        <v>284</v>
      </c>
      <c r="E28" t="s">
        <v>59</v>
      </c>
      <c r="F28" t="n">
        <v>-0.0307206272063665</v>
      </c>
      <c r="G28" t="n">
        <v>0.00823354137906133</v>
      </c>
      <c r="H28" t="n">
        <v>0.0401661378731118</v>
      </c>
      <c r="I28" t="n">
        <v>0.0662338459393327</v>
      </c>
      <c r="J28" t="n">
        <v>0.075653860156729</v>
      </c>
      <c r="K28" t="n">
        <v>0.0865546378835284</v>
      </c>
      <c r="L28" t="n">
        <v>0.122197987319826</v>
      </c>
      <c r="M28" t="n">
        <v>0.0864835876135166</v>
      </c>
      <c r="N28" t="n">
        <v>0.0686522452014892</v>
      </c>
      <c r="O28" t="n">
        <v>0.0500753393261768</v>
      </c>
      <c r="P28" t="n">
        <v>0.092667697064199</v>
      </c>
      <c r="Q28" t="n">
        <v>0.0239476853732953</v>
      </c>
      <c r="R28" t="n">
        <v>0.0787452694658817</v>
      </c>
      <c r="S28" t="n">
        <v>0.144052518553371</v>
      </c>
      <c r="T28" t="n">
        <v>0.016786439484248</v>
      </c>
      <c r="U28" t="n">
        <v>-0.000388034446025246</v>
      </c>
      <c r="V28" t="n">
        <v>-0.0208683717423345</v>
      </c>
      <c r="W28" t="n">
        <v>-0.0135978454122941</v>
      </c>
      <c r="X28" t="n">
        <v>-0.0810140734467138</v>
      </c>
      <c r="Y28" t="n">
        <v>-0.026593790308408</v>
      </c>
      <c r="Z28" t="n">
        <v>0.0383251404593477</v>
      </c>
      <c r="AA28" t="n">
        <v>0.00473129660485861</v>
      </c>
      <c r="AB28" t="n">
        <v>0.00581968423839247</v>
      </c>
      <c r="AC28" t="n">
        <v>0.0476897954821523</v>
      </c>
      <c r="AD28" t="n">
        <v>0</v>
      </c>
      <c r="AE28" t="n">
        <v>0.0236999142065001</v>
      </c>
      <c r="AF28" t="n">
        <v>0</v>
      </c>
    </row>
    <row r="29">
      <c r="A29" t="s">
        <v>162</v>
      </c>
      <c r="B29" t="s">
        <v>283</v>
      </c>
      <c r="C29" t="s">
        <v>163</v>
      </c>
      <c r="D29" t="s">
        <v>284</v>
      </c>
      <c r="E29" t="s">
        <v>59</v>
      </c>
      <c r="F29" t="n">
        <v>0.030460556971758</v>
      </c>
      <c r="G29" t="n">
        <v>0.0296637659335703</v>
      </c>
      <c r="H29" t="n">
        <v>0.0343971084735001</v>
      </c>
      <c r="I29" t="n">
        <v>0.038319608576467</v>
      </c>
      <c r="J29" t="n">
        <v>0.0282698979768598</v>
      </c>
      <c r="K29" t="n">
        <v>0.0528579330247394</v>
      </c>
      <c r="L29" t="n">
        <v>0.0767330199486088</v>
      </c>
      <c r="M29" t="n">
        <v>0.0877735312603828</v>
      </c>
      <c r="N29" t="n">
        <v>0.0689700706212911</v>
      </c>
      <c r="O29" t="n">
        <v>0.0796742241123785</v>
      </c>
      <c r="P29" t="n">
        <v>0.0711524710521382</v>
      </c>
      <c r="Q29" t="n">
        <v>0.0494690255045378</v>
      </c>
      <c r="R29" t="n">
        <v>0.0541549213293572</v>
      </c>
      <c r="S29" t="n">
        <v>0.142916583271607</v>
      </c>
      <c r="T29" t="n">
        <v>0.058720683629253</v>
      </c>
      <c r="U29" t="n">
        <v>-0.00938975407872715</v>
      </c>
      <c r="V29" t="n">
        <v>-0.0155144846444944</v>
      </c>
      <c r="W29" t="n">
        <v>-0.0321400274534957</v>
      </c>
      <c r="X29" t="n">
        <v>-0.0543034497978789</v>
      </c>
      <c r="Y29" t="n">
        <v>-0.0198003718883091</v>
      </c>
      <c r="Z29" t="n">
        <v>0.00435266330974814</v>
      </c>
      <c r="AA29" t="n">
        <v>0.0122723546939624</v>
      </c>
      <c r="AB29" t="n">
        <v>0.0211148482276655</v>
      </c>
      <c r="AC29" t="n">
        <v>0.0425894584241766</v>
      </c>
      <c r="AD29" t="n">
        <v>0</v>
      </c>
      <c r="AE29" t="n">
        <v>0.042082807252026</v>
      </c>
      <c r="AF29" t="n">
        <v>0</v>
      </c>
    </row>
    <row r="30">
      <c r="A30" t="s">
        <v>164</v>
      </c>
      <c r="B30" t="s">
        <v>283</v>
      </c>
      <c r="C30" t="s">
        <v>165</v>
      </c>
      <c r="D30" t="s">
        <v>284</v>
      </c>
      <c r="E30" t="s">
        <v>59</v>
      </c>
      <c r="F30" t="n">
        <v>0.0286351065018498</v>
      </c>
      <c r="G30" t="n">
        <v>0.0230560003353094</v>
      </c>
      <c r="H30" t="n">
        <v>0.104539905760134</v>
      </c>
      <c r="I30" t="n">
        <v>0.149788445705644</v>
      </c>
      <c r="J30" t="n">
        <v>0.16317790514218</v>
      </c>
      <c r="K30" t="n">
        <v>0.165412782190338</v>
      </c>
      <c r="L30" t="n">
        <v>0.197366329305663</v>
      </c>
      <c r="M30" t="n">
        <v>0.10343228950045</v>
      </c>
      <c r="N30" t="n">
        <v>0.0958040137388093</v>
      </c>
      <c r="O30" t="n">
        <v>0.0683506148854077</v>
      </c>
      <c r="P30" t="n">
        <v>0.0518579216042127</v>
      </c>
      <c r="Q30" t="n">
        <v>0.0114177947953997</v>
      </c>
      <c r="R30" t="n">
        <v>0.16255900699242</v>
      </c>
      <c r="S30" t="n">
        <v>0.270436777874544</v>
      </c>
      <c r="T30" t="n">
        <v>0.0167008057728079</v>
      </c>
      <c r="U30" t="n">
        <v>0.0365409085925962</v>
      </c>
      <c r="V30" t="n">
        <v>-0.00959597026962687</v>
      </c>
      <c r="W30" t="n">
        <v>-0.0893956385802496</v>
      </c>
      <c r="X30" t="n">
        <v>-0.170435269613879</v>
      </c>
      <c r="Y30" t="n">
        <v>-0.0841071801375712</v>
      </c>
      <c r="Z30" t="n">
        <v>0.0934236693565433</v>
      </c>
      <c r="AA30" t="n">
        <v>0.020836955630475</v>
      </c>
      <c r="AB30" t="n">
        <v>-0.017437248104068</v>
      </c>
      <c r="AC30" t="n">
        <v>-0.0193301877517364</v>
      </c>
      <c r="AD30" t="n">
        <v>0</v>
      </c>
      <c r="AE30" t="n">
        <v>0.185151808922455</v>
      </c>
      <c r="AF30" t="n">
        <v>0</v>
      </c>
    </row>
    <row r="31">
      <c r="A31" t="s">
        <v>166</v>
      </c>
      <c r="B31" t="s">
        <v>283</v>
      </c>
      <c r="C31" t="s">
        <v>167</v>
      </c>
      <c r="D31" t="s">
        <v>284</v>
      </c>
      <c r="E31" t="s">
        <v>59</v>
      </c>
      <c r="F31" t="n">
        <v>0.274643888688713</v>
      </c>
      <c r="G31" t="n">
        <v>0.25785043776089</v>
      </c>
      <c r="H31" t="n">
        <v>0.280625332981148</v>
      </c>
      <c r="I31" t="n">
        <v>0.284680483348918</v>
      </c>
      <c r="J31" t="n">
        <v>0.168731826320289</v>
      </c>
      <c r="K31" t="n">
        <v>0.0951593948611007</v>
      </c>
      <c r="L31" t="n">
        <v>0.0247854504222636</v>
      </c>
      <c r="M31" t="n">
        <v>-0.058998268119357</v>
      </c>
      <c r="N31" t="n">
        <v>-0.182084381798073</v>
      </c>
      <c r="O31" t="n">
        <v>-0.254732394581937</v>
      </c>
      <c r="P31" t="n">
        <v>-0.379375157739868</v>
      </c>
      <c r="Q31" t="n">
        <v>-0.163985090239873</v>
      </c>
      <c r="R31" t="n">
        <v>-0.0493202914386182</v>
      </c>
      <c r="S31" t="n">
        <v>0.17072659749499</v>
      </c>
      <c r="T31" t="n">
        <v>0.124737179449135</v>
      </c>
      <c r="U31" t="n">
        <v>0.0756463715964366</v>
      </c>
      <c r="V31" t="n">
        <v>-0.0107223372942096</v>
      </c>
      <c r="W31" t="n">
        <v>-0.0122651520902618</v>
      </c>
      <c r="X31" t="n">
        <v>0.102875832625308</v>
      </c>
      <c r="Y31" t="n">
        <v>0.122986288953542</v>
      </c>
      <c r="Z31" t="n">
        <v>0.104565169705755</v>
      </c>
      <c r="AA31" t="n">
        <v>0.113502149210964</v>
      </c>
      <c r="AB31" t="n">
        <v>0.073150276250135</v>
      </c>
      <c r="AC31" t="n">
        <v>0.0975986900393785</v>
      </c>
      <c r="AD31" t="n">
        <v>0</v>
      </c>
      <c r="AE31" t="n">
        <v>0.0906704204344283</v>
      </c>
      <c r="AF31" t="n">
        <v>0</v>
      </c>
    </row>
    <row r="32">
      <c r="A32" t="s">
        <v>168</v>
      </c>
      <c r="B32" t="s">
        <v>283</v>
      </c>
      <c r="C32" t="s">
        <v>169</v>
      </c>
      <c r="D32" t="s">
        <v>284</v>
      </c>
      <c r="E32" t="s">
        <v>59</v>
      </c>
      <c r="F32" t="n">
        <v>0.300314852631522</v>
      </c>
      <c r="G32" t="n">
        <v>0.355658188487207</v>
      </c>
      <c r="H32" t="n">
        <v>0.399318546778307</v>
      </c>
      <c r="I32" t="n">
        <v>0.450441632701798</v>
      </c>
      <c r="J32" t="n">
        <v>0.555220853673048</v>
      </c>
      <c r="K32" t="n">
        <v>0.326972409972762</v>
      </c>
      <c r="L32" t="n">
        <v>0.371082963455083</v>
      </c>
      <c r="M32" t="n">
        <v>0.240927700351829</v>
      </c>
      <c r="N32" t="n">
        <v>0.24499292433488</v>
      </c>
      <c r="O32" t="n">
        <v>0.128760544947361</v>
      </c>
      <c r="P32" t="n">
        <v>0.267057329249739</v>
      </c>
      <c r="Q32" t="n">
        <v>-0.117428818099511</v>
      </c>
      <c r="R32" t="n">
        <v>0.115974689009928</v>
      </c>
      <c r="S32" t="n">
        <v>0.166954640221145</v>
      </c>
      <c r="T32" t="n">
        <v>-0.220420149888034</v>
      </c>
      <c r="U32" t="n">
        <v>0.174305331333069</v>
      </c>
      <c r="V32" t="n">
        <v>0.0526479663927867</v>
      </c>
      <c r="W32" t="n">
        <v>0.187954109861274</v>
      </c>
      <c r="X32" t="n">
        <v>-0.317455918906327</v>
      </c>
      <c r="Y32" t="n">
        <v>-0.10999218938074</v>
      </c>
      <c r="Z32" t="n">
        <v>0.17551550404004</v>
      </c>
      <c r="AA32" t="n">
        <v>-0.0827557890099102</v>
      </c>
      <c r="AB32" t="n">
        <v>-0.126600156577328</v>
      </c>
      <c r="AC32" t="n">
        <v>0.0495829311547847</v>
      </c>
      <c r="AD32" t="n">
        <v>0</v>
      </c>
      <c r="AE32" t="n">
        <v>-0.0583115684694126</v>
      </c>
      <c r="AF32" t="n">
        <v>0</v>
      </c>
    </row>
    <row r="33">
      <c r="A33" t="s">
        <v>170</v>
      </c>
      <c r="B33" t="s">
        <v>283</v>
      </c>
      <c r="C33" t="s">
        <v>171</v>
      </c>
      <c r="D33" t="s">
        <v>284</v>
      </c>
      <c r="E33" t="s">
        <v>59</v>
      </c>
      <c r="F33" t="n">
        <v>-1.24249504998967</v>
      </c>
      <c r="G33" t="n">
        <v>-0.792200953195298</v>
      </c>
      <c r="H33" t="n">
        <v>-0.574220795464501</v>
      </c>
      <c r="I33" t="n">
        <v>-0.366454326229817</v>
      </c>
      <c r="J33" t="n">
        <v>-0.267347138718705</v>
      </c>
      <c r="K33" t="n">
        <v>-0.194019441444115</v>
      </c>
      <c r="L33" t="n">
        <v>-0.0778955337493218</v>
      </c>
      <c r="M33" t="n">
        <v>-0.0538066744057849</v>
      </c>
      <c r="N33" t="n">
        <v>0.0180580640029234</v>
      </c>
      <c r="O33" t="n">
        <v>0.00181772808767935</v>
      </c>
      <c r="P33" t="n">
        <v>0.125135593536896</v>
      </c>
      <c r="Q33" t="n">
        <v>0.0397662978969539</v>
      </c>
      <c r="R33" t="n">
        <v>0.0557182315868542</v>
      </c>
      <c r="S33" t="n">
        <v>-0.0934705555020538</v>
      </c>
      <c r="T33" t="n">
        <v>-0.132461099065249</v>
      </c>
      <c r="U33" t="n">
        <v>-0.153732837565683</v>
      </c>
      <c r="V33" t="n">
        <v>-0.0850810915459539</v>
      </c>
      <c r="W33" t="n">
        <v>-0.0763954575765381</v>
      </c>
      <c r="X33" t="n">
        <v>-0.0849852868485301</v>
      </c>
      <c r="Y33" t="n">
        <v>-0.0674013932493261</v>
      </c>
      <c r="Z33" t="n">
        <v>-0.0469973536496339</v>
      </c>
      <c r="AA33" t="n">
        <v>-0.0362765539172059</v>
      </c>
      <c r="AB33" t="n">
        <v>-0.0197867001001119</v>
      </c>
      <c r="AC33" t="n">
        <v>-0.00862211244789597</v>
      </c>
      <c r="AD33" t="n">
        <v>0</v>
      </c>
      <c r="AE33" t="n">
        <v>-0.00388092934390751</v>
      </c>
      <c r="AF33" t="n">
        <v>0</v>
      </c>
    </row>
    <row r="34">
      <c r="A34" t="s">
        <v>172</v>
      </c>
      <c r="B34" t="s">
        <v>283</v>
      </c>
      <c r="C34" t="s">
        <v>173</v>
      </c>
      <c r="D34" t="s">
        <v>284</v>
      </c>
      <c r="E34" t="s">
        <v>59</v>
      </c>
      <c r="F34" t="n">
        <v>-0.0514810204207478</v>
      </c>
      <c r="G34" t="n">
        <v>-0.000896556459702179</v>
      </c>
      <c r="H34" t="n">
        <v>0.0506659022027951</v>
      </c>
      <c r="I34" t="n">
        <v>0.0853683748513108</v>
      </c>
      <c r="J34" t="n">
        <v>0.118119462988356</v>
      </c>
      <c r="K34" t="n">
        <v>0.146251264563487</v>
      </c>
      <c r="L34" t="n">
        <v>0.131068415448751</v>
      </c>
      <c r="M34" t="n">
        <v>0.146985468101216</v>
      </c>
      <c r="N34" t="n">
        <v>0.125780385071819</v>
      </c>
      <c r="O34" t="n">
        <v>0.112448163386918</v>
      </c>
      <c r="P34" t="n">
        <v>0.0744138434060675</v>
      </c>
      <c r="Q34" t="n">
        <v>0.0550122191661138</v>
      </c>
      <c r="R34" t="n">
        <v>0.0119932927180187</v>
      </c>
      <c r="S34" t="n">
        <v>0.0436767981728929</v>
      </c>
      <c r="T34" t="n">
        <v>-0.103525255266422</v>
      </c>
      <c r="U34" t="n">
        <v>-0.0803406350425445</v>
      </c>
      <c r="V34" t="n">
        <v>0.0167444260109251</v>
      </c>
      <c r="W34" t="n">
        <v>-0.0131369189836637</v>
      </c>
      <c r="X34" t="n">
        <v>-0.066361924149012</v>
      </c>
      <c r="Y34" t="n">
        <v>-0.0190541914067973</v>
      </c>
      <c r="Z34" t="n">
        <v>-0.0466872950402726</v>
      </c>
      <c r="AA34" t="n">
        <v>-0.0932960762964728</v>
      </c>
      <c r="AB34" t="n">
        <v>-0.064512166777419</v>
      </c>
      <c r="AC34" t="n">
        <v>-0.116251949742288</v>
      </c>
      <c r="AD34" t="n">
        <v>0</v>
      </c>
      <c r="AE34" t="n">
        <v>0.076013103449131</v>
      </c>
      <c r="AF34" t="n">
        <v>0</v>
      </c>
    </row>
    <row r="35">
      <c r="A35" t="s">
        <v>174</v>
      </c>
      <c r="B35" t="s">
        <v>283</v>
      </c>
      <c r="C35" t="s">
        <v>175</v>
      </c>
      <c r="D35" t="s">
        <v>284</v>
      </c>
      <c r="E35" t="s">
        <v>59</v>
      </c>
      <c r="F35" t="n">
        <v>0.104601901833314</v>
      </c>
      <c r="G35" t="n">
        <v>0.194257330553646</v>
      </c>
      <c r="H35" t="n">
        <v>0.374400755228959</v>
      </c>
      <c r="I35" t="n">
        <v>0.344037436759799</v>
      </c>
      <c r="J35" t="n">
        <v>0.714081469833499</v>
      </c>
      <c r="K35" t="n">
        <v>-0.226320650236344</v>
      </c>
      <c r="L35" t="n">
        <v>0.508631347321197</v>
      </c>
      <c r="M35" t="n">
        <v>1.15991368413788</v>
      </c>
      <c r="N35" t="n">
        <v>0.580160198413863</v>
      </c>
      <c r="O35" t="n">
        <v>0.592862934393168</v>
      </c>
      <c r="P35" t="n">
        <v>-0.197299961216274</v>
      </c>
      <c r="Q35" t="n">
        <v>-0.307345026200384</v>
      </c>
      <c r="R35" t="n">
        <v>0.0879071512334358</v>
      </c>
      <c r="S35" t="n">
        <v>-0.0991254967505059</v>
      </c>
      <c r="T35" t="n">
        <v>-0.102033461433848</v>
      </c>
      <c r="U35" t="n">
        <v>-0.231214281005125</v>
      </c>
      <c r="V35" t="n">
        <v>0.0784512561456365</v>
      </c>
      <c r="W35" t="n">
        <v>1.38030271139514</v>
      </c>
      <c r="X35" t="n">
        <v>0.0864757268741043</v>
      </c>
      <c r="Y35" t="n">
        <v>0.176516936668716</v>
      </c>
      <c r="Z35" t="n">
        <v>0.284080840721458</v>
      </c>
      <c r="AA35" t="n">
        <v>-0.34903180392965</v>
      </c>
      <c r="AB35" t="n">
        <v>-0.212274636033675</v>
      </c>
      <c r="AC35" t="n">
        <v>-0.786035940035827</v>
      </c>
      <c r="AD35" t="n">
        <v>0</v>
      </c>
      <c r="AE35" t="n">
        <v>-0.662309030328825</v>
      </c>
      <c r="AF35" t="n">
        <v>0</v>
      </c>
    </row>
    <row r="36">
      <c r="A36" t="s">
        <v>176</v>
      </c>
      <c r="B36" t="s">
        <v>283</v>
      </c>
      <c r="C36" t="s">
        <v>177</v>
      </c>
      <c r="D36" t="s">
        <v>284</v>
      </c>
      <c r="E36" t="s">
        <v>59</v>
      </c>
      <c r="F36" t="n">
        <v>1.11684885110546</v>
      </c>
      <c r="G36" t="n">
        <v>0.510138903614052</v>
      </c>
      <c r="H36" t="n">
        <v>0.401773856611528</v>
      </c>
      <c r="I36" t="n">
        <v>0.719604063492645</v>
      </c>
      <c r="J36" t="n">
        <v>0.344618853519006</v>
      </c>
      <c r="K36" t="n">
        <v>0.505451972963379</v>
      </c>
      <c r="L36" t="n">
        <v>0.470816415719624</v>
      </c>
      <c r="M36" t="n">
        <v>0.854978509153741</v>
      </c>
      <c r="N36" t="n">
        <v>0.598722607957096</v>
      </c>
      <c r="O36" t="n">
        <v>0.309838156964063</v>
      </c>
      <c r="P36" t="n">
        <v>0.0629743533434936</v>
      </c>
      <c r="Q36" t="n">
        <v>0.157665081608482</v>
      </c>
      <c r="R36" t="n">
        <v>-0.0557890332613831</v>
      </c>
      <c r="S36" t="n">
        <v>-0.246757543877402</v>
      </c>
      <c r="T36" t="n">
        <v>-0.145966854256528</v>
      </c>
      <c r="U36" t="n">
        <v>0.0929141170685753</v>
      </c>
      <c r="V36" t="n">
        <v>0.171494432528253</v>
      </c>
      <c r="W36" t="n">
        <v>2.79338229316719</v>
      </c>
      <c r="X36" t="n">
        <v>0.572093655673164</v>
      </c>
      <c r="Y36" t="n">
        <v>0.162706340453046</v>
      </c>
      <c r="Z36" t="n">
        <v>0.0242958095321694</v>
      </c>
      <c r="AA36" t="n">
        <v>0.130913914817822</v>
      </c>
      <c r="AB36" t="n">
        <v>-0.458288901426204</v>
      </c>
      <c r="AC36" t="n">
        <v>-0.706904335926866</v>
      </c>
      <c r="AD36" t="n">
        <v>0</v>
      </c>
      <c r="AE36" t="n">
        <v>-0.513298109819061</v>
      </c>
      <c r="AF36" t="n">
        <v>0</v>
      </c>
    </row>
    <row r="37">
      <c r="A37" t="s">
        <v>178</v>
      </c>
      <c r="B37" t="s">
        <v>283</v>
      </c>
      <c r="C37" t="s">
        <v>179</v>
      </c>
      <c r="D37" t="s">
        <v>284</v>
      </c>
      <c r="E37" t="s">
        <v>59</v>
      </c>
      <c r="F37" t="n">
        <v>-0.726396957193734</v>
      </c>
      <c r="G37" t="n">
        <v>-1.15220205554871</v>
      </c>
      <c r="H37" t="n">
        <v>0.105173241779379</v>
      </c>
      <c r="I37" t="n">
        <v>0.292066985741905</v>
      </c>
      <c r="J37" t="n">
        <v>0.36051651254843</v>
      </c>
      <c r="K37" t="n">
        <v>-0.740235328496755</v>
      </c>
      <c r="L37" t="n">
        <v>0.346830896431949</v>
      </c>
      <c r="M37" t="n">
        <v>0.952377850753934</v>
      </c>
      <c r="N37" t="n">
        <v>0.861651798646643</v>
      </c>
      <c r="O37" t="n">
        <v>0.72505764133167</v>
      </c>
      <c r="P37" t="n">
        <v>-0.874386656563926</v>
      </c>
      <c r="Q37" t="n">
        <v>-0.894884236608537</v>
      </c>
      <c r="R37" t="n">
        <v>0.0223732803909976</v>
      </c>
      <c r="S37" t="n">
        <v>-0.105856585681917</v>
      </c>
      <c r="T37" t="n">
        <v>0.184879232408097</v>
      </c>
      <c r="U37" t="n">
        <v>-0.325133551994772</v>
      </c>
      <c r="V37" t="n">
        <v>0.0416209801953912</v>
      </c>
      <c r="W37" t="n">
        <v>0.593198231109082</v>
      </c>
      <c r="X37" t="n">
        <v>-0.311874391068699</v>
      </c>
      <c r="Y37" t="n">
        <v>0.707783007260172</v>
      </c>
      <c r="Z37" t="n">
        <v>0.651743507360657</v>
      </c>
      <c r="AA37" t="n">
        <v>-0.87356718468576</v>
      </c>
      <c r="AB37" t="n">
        <v>-0.108192576592941</v>
      </c>
      <c r="AC37" t="n">
        <v>-0.988065935639764</v>
      </c>
      <c r="AD37" t="n">
        <v>0</v>
      </c>
      <c r="AE37" t="n">
        <v>-0.492451591970006</v>
      </c>
      <c r="AF37" t="n">
        <v>0</v>
      </c>
    </row>
    <row r="38">
      <c r="A38" t="s">
        <v>180</v>
      </c>
      <c r="B38" t="s">
        <v>283</v>
      </c>
      <c r="C38" t="s">
        <v>181</v>
      </c>
      <c r="D38" t="s">
        <v>284</v>
      </c>
      <c r="E38" t="s">
        <v>59</v>
      </c>
      <c r="F38" t="n">
        <v>-0.560591353995445</v>
      </c>
      <c r="G38" t="n">
        <v>1.04411461276029</v>
      </c>
      <c r="H38" t="n">
        <v>0.641017511763501</v>
      </c>
      <c r="I38" t="n">
        <v>0.269481312785338</v>
      </c>
      <c r="J38" t="n">
        <v>1.22150346933069</v>
      </c>
      <c r="K38" t="n">
        <v>-0.211133841549902</v>
      </c>
      <c r="L38" t="n">
        <v>0.670890865889628</v>
      </c>
      <c r="M38" t="n">
        <v>1.47566121654818</v>
      </c>
      <c r="N38" t="n">
        <v>0.42292234641478</v>
      </c>
      <c r="O38" t="n">
        <v>0.723317434131789</v>
      </c>
      <c r="P38" t="n">
        <v>0.114199393837497</v>
      </c>
      <c r="Q38" t="n">
        <v>-0.116004606899906</v>
      </c>
      <c r="R38" t="n">
        <v>0.191248469839625</v>
      </c>
      <c r="S38" t="n">
        <v>-0.0311135424684426</v>
      </c>
      <c r="T38" t="n">
        <v>-0.261164910413042</v>
      </c>
      <c r="U38" t="n">
        <v>-0.308795590987871</v>
      </c>
      <c r="V38" t="n">
        <v>0.0579440342918172</v>
      </c>
      <c r="W38" t="n">
        <v>1.33993427739789</v>
      </c>
      <c r="X38" t="n">
        <v>0.177238038423965</v>
      </c>
      <c r="Y38" t="n">
        <v>-0.0898314023898226</v>
      </c>
      <c r="Z38" t="n">
        <v>0.209160611101711</v>
      </c>
      <c r="AA38" t="n">
        <v>-0.251796980318507</v>
      </c>
      <c r="AB38" t="n">
        <v>-0.186131193557497</v>
      </c>
      <c r="AC38" t="n">
        <v>-0.699108914035358</v>
      </c>
      <c r="AD38" t="n">
        <v>0</v>
      </c>
      <c r="AE38" t="n">
        <v>-0.772163829859678</v>
      </c>
      <c r="AF38" t="n">
        <v>0</v>
      </c>
    </row>
    <row r="39">
      <c r="A39" t="s">
        <v>182</v>
      </c>
      <c r="B39" t="s">
        <v>283</v>
      </c>
      <c r="C39" t="s">
        <v>183</v>
      </c>
      <c r="D39" t="s">
        <v>284</v>
      </c>
      <c r="E39" t="s">
        <v>59</v>
      </c>
      <c r="F39" t="n">
        <v>-0.0121950958424892</v>
      </c>
      <c r="G39" t="n">
        <v>0.549646278500655</v>
      </c>
      <c r="H39" t="n">
        <v>0.533737706251675</v>
      </c>
      <c r="I39" t="n">
        <v>0.630105439884727</v>
      </c>
      <c r="J39" t="n">
        <v>0.764423987745383</v>
      </c>
      <c r="K39" t="n">
        <v>0.699339752271646</v>
      </c>
      <c r="L39" t="n">
        <v>1.55530106493648</v>
      </c>
      <c r="M39" t="n">
        <v>1.10399630428166</v>
      </c>
      <c r="N39" t="n">
        <v>1.57376930187847</v>
      </c>
      <c r="O39" t="n">
        <v>1.12322459090178</v>
      </c>
      <c r="P39" t="n">
        <v>-0.0343574123881677</v>
      </c>
      <c r="Q39" t="n">
        <v>-0.0877743450130579</v>
      </c>
      <c r="R39" t="n">
        <v>-0.327743492642629</v>
      </c>
      <c r="S39" t="n">
        <v>-0.311004744897457</v>
      </c>
      <c r="T39" t="n">
        <v>0.987926545585266</v>
      </c>
      <c r="U39" t="n">
        <v>0.286373835547567</v>
      </c>
      <c r="V39" t="n">
        <v>-0.291378244846903</v>
      </c>
      <c r="W39" t="n">
        <v>-0.0300491815394837</v>
      </c>
      <c r="X39" t="n">
        <v>0.331213150128965</v>
      </c>
      <c r="Y39" t="n">
        <v>0.538756112335367</v>
      </c>
      <c r="Z39" t="n">
        <v>-0.0737461451804895</v>
      </c>
      <c r="AA39" t="n">
        <v>-0.319970504963657</v>
      </c>
      <c r="AB39" t="n">
        <v>-0.10124059451075</v>
      </c>
      <c r="AC39" t="n">
        <v>-0.184520148257972</v>
      </c>
      <c r="AD39" t="n">
        <v>0</v>
      </c>
      <c r="AE39" t="n">
        <v>-0.316584163056713</v>
      </c>
      <c r="AF39" t="n">
        <v>0</v>
      </c>
    </row>
    <row r="40">
      <c r="A40" t="s">
        <v>184</v>
      </c>
      <c r="B40" t="s">
        <v>283</v>
      </c>
      <c r="C40" t="s">
        <v>185</v>
      </c>
      <c r="D40" t="s">
        <v>284</v>
      </c>
      <c r="E40" t="s">
        <v>59</v>
      </c>
      <c r="F40" t="n">
        <v>-0.0105678788378994</v>
      </c>
      <c r="G40" t="n">
        <v>0.00398464631307497</v>
      </c>
      <c r="H40" t="n">
        <v>0.00118781462000546</v>
      </c>
      <c r="I40" t="n">
        <v>-0.00165749602537083</v>
      </c>
      <c r="J40" t="n">
        <v>0.00483664303212831</v>
      </c>
      <c r="K40" t="n">
        <v>0.0086008363069659</v>
      </c>
      <c r="L40" t="n">
        <v>0.00668520745398509</v>
      </c>
      <c r="M40" t="n">
        <v>0.00127537054895039</v>
      </c>
      <c r="N40" t="n">
        <v>0.0111169324410823</v>
      </c>
      <c r="O40" t="n">
        <v>0.00382656316929162</v>
      </c>
      <c r="P40" t="n">
        <v>0.00478560610859534</v>
      </c>
      <c r="Q40" t="n">
        <v>0.00583844029937153</v>
      </c>
      <c r="R40" t="n">
        <v>0.00282249030647665</v>
      </c>
      <c r="S40" t="n">
        <v>-0.00127519523822697</v>
      </c>
      <c r="T40" t="n">
        <v>-0.0165054750337991</v>
      </c>
      <c r="U40" t="n">
        <v>-0.00708692198556368</v>
      </c>
      <c r="V40" t="n">
        <v>-0.0106844413976863</v>
      </c>
      <c r="W40" t="n">
        <v>-0.00989768213696891</v>
      </c>
      <c r="X40" t="n">
        <v>-0.00122077932176786</v>
      </c>
      <c r="Y40" t="n">
        <v>-0.0144934474656895</v>
      </c>
      <c r="Z40" t="n">
        <v>-0.0162757906273527</v>
      </c>
      <c r="AA40" t="n">
        <v>-0.0211291679359464</v>
      </c>
      <c r="AB40" t="n">
        <v>-0.0140505677164528</v>
      </c>
      <c r="AC40" t="n">
        <v>0.00572910967299804</v>
      </c>
      <c r="AD40" t="n">
        <v>0</v>
      </c>
      <c r="AE40" t="n">
        <v>-0.022908620354633</v>
      </c>
      <c r="AF40" t="n">
        <v>0</v>
      </c>
    </row>
    <row r="41">
      <c r="A41" t="s">
        <v>186</v>
      </c>
      <c r="B41" t="s">
        <v>283</v>
      </c>
      <c r="C41" t="s">
        <v>187</v>
      </c>
      <c r="D41" t="s">
        <v>284</v>
      </c>
      <c r="E41" t="s">
        <v>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188</v>
      </c>
      <c r="B42" t="s">
        <v>283</v>
      </c>
      <c r="C42" t="s">
        <v>189</v>
      </c>
      <c r="D42" t="s">
        <v>284</v>
      </c>
      <c r="E42" t="s">
        <v>59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190</v>
      </c>
      <c r="B43" t="s">
        <v>283</v>
      </c>
      <c r="C43" t="s">
        <v>191</v>
      </c>
      <c r="D43" t="s">
        <v>284</v>
      </c>
      <c r="E43" t="s">
        <v>59</v>
      </c>
      <c r="F43" t="n">
        <v>-0.0679214155898374</v>
      </c>
      <c r="G43" t="n">
        <v>-0.122307838651565</v>
      </c>
      <c r="H43" t="n">
        <v>-0.181929295998154</v>
      </c>
      <c r="I43" t="n">
        <v>0.0200616075898144</v>
      </c>
      <c r="J43" t="n">
        <v>0.305819907507027</v>
      </c>
      <c r="K43" t="n">
        <v>0.0810289368131685</v>
      </c>
      <c r="L43" t="n">
        <v>-0.131372421071382</v>
      </c>
      <c r="M43" t="n">
        <v>0.0571236589392697</v>
      </c>
      <c r="N43" t="n">
        <v>-0.408980588530252</v>
      </c>
      <c r="O43" t="n">
        <v>-0.417547063274689</v>
      </c>
      <c r="P43" t="n">
        <v>-0.23611633679328</v>
      </c>
      <c r="Q43" t="n">
        <v>-0.321938767956607</v>
      </c>
      <c r="R43" t="n">
        <v>-0.316520236013304</v>
      </c>
      <c r="S43" t="n">
        <v>-0.265101869720727</v>
      </c>
      <c r="T43" t="n">
        <v>0.602534765581283</v>
      </c>
      <c r="U43" t="n">
        <v>0.14384153540338</v>
      </c>
      <c r="V43" t="n">
        <v>-0.288602235465971</v>
      </c>
      <c r="W43" t="n">
        <v>-0.842076377415811</v>
      </c>
      <c r="X43" t="n">
        <v>-0.0431205458887786</v>
      </c>
      <c r="Y43" t="n">
        <v>-0.0981100466609396</v>
      </c>
      <c r="Z43" t="n">
        <v>-0.0467568243588521</v>
      </c>
      <c r="AA43" t="n">
        <v>-0.188186319614844</v>
      </c>
      <c r="AB43" t="n">
        <v>-0.204087709810831</v>
      </c>
      <c r="AC43" t="n">
        <v>-0.270263444022184</v>
      </c>
      <c r="AD43" t="n">
        <v>0</v>
      </c>
      <c r="AE43" t="n">
        <v>-0.0159957943514642</v>
      </c>
      <c r="AF43" t="n">
        <v>0</v>
      </c>
    </row>
    <row r="44">
      <c r="A44" t="s">
        <v>192</v>
      </c>
      <c r="B44" t="s">
        <v>283</v>
      </c>
      <c r="C44" t="s">
        <v>193</v>
      </c>
      <c r="D44" t="s">
        <v>284</v>
      </c>
      <c r="E44" t="s">
        <v>59</v>
      </c>
      <c r="F44" t="n">
        <v>0.0672830294704087</v>
      </c>
      <c r="G44" t="n">
        <v>0.123172979551648</v>
      </c>
      <c r="H44" t="n">
        <v>0.202565667266182</v>
      </c>
      <c r="I44" t="n">
        <v>0.281794848578132</v>
      </c>
      <c r="J44" t="n">
        <v>0.307031486146671</v>
      </c>
      <c r="K44" t="n">
        <v>0.234885777142482</v>
      </c>
      <c r="L44" t="n">
        <v>0.307575216161951</v>
      </c>
      <c r="M44" t="n">
        <v>0.42284476585069</v>
      </c>
      <c r="N44" t="n">
        <v>0.333069688910375</v>
      </c>
      <c r="O44" t="n">
        <v>0.268392006851162</v>
      </c>
      <c r="P44" t="n">
        <v>0.19718916000095</v>
      </c>
      <c r="Q44" t="n">
        <v>0.0549767119779502</v>
      </c>
      <c r="R44" t="n">
        <v>0.11038297726774</v>
      </c>
      <c r="S44" t="n">
        <v>0.180812722513889</v>
      </c>
      <c r="T44" t="n">
        <v>0.211634407338837</v>
      </c>
      <c r="U44" t="n">
        <v>0.018244705688596</v>
      </c>
      <c r="V44" t="n">
        <v>-0.00381535775981612</v>
      </c>
      <c r="W44" t="n">
        <v>0.0453717795956794</v>
      </c>
      <c r="X44" t="n">
        <v>0.0569984646374109</v>
      </c>
      <c r="Y44" t="n">
        <v>0.0702104595810491</v>
      </c>
      <c r="Z44" t="n">
        <v>0.0881054108017427</v>
      </c>
      <c r="AA44" t="n">
        <v>-0.0469212950469432</v>
      </c>
      <c r="AB44" t="n">
        <v>-0.0697395764319208</v>
      </c>
      <c r="AC44" t="n">
        <v>-0.148315029965609</v>
      </c>
      <c r="AD44" t="n">
        <v>0</v>
      </c>
      <c r="AE44" t="n">
        <v>0.0601062535371482</v>
      </c>
      <c r="AF44" t="n">
        <v>0</v>
      </c>
    </row>
    <row r="45">
      <c r="A45" t="s">
        <v>194</v>
      </c>
      <c r="B45" t="s">
        <v>283</v>
      </c>
      <c r="C45" t="s">
        <v>195</v>
      </c>
      <c r="D45" t="s">
        <v>284</v>
      </c>
      <c r="E45" t="s">
        <v>59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196</v>
      </c>
      <c r="B46" t="s">
        <v>283</v>
      </c>
      <c r="C46" t="s">
        <v>197</v>
      </c>
      <c r="D46" t="s">
        <v>284</v>
      </c>
      <c r="E46" t="s">
        <v>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198</v>
      </c>
      <c r="B47" t="s">
        <v>283</v>
      </c>
      <c r="C47" t="s">
        <v>199</v>
      </c>
      <c r="D47" t="s">
        <v>284</v>
      </c>
      <c r="E47" t="s">
        <v>59</v>
      </c>
      <c r="F47" t="n">
        <v>0.0355922423614796</v>
      </c>
      <c r="G47" t="n">
        <v>0.10677052190254</v>
      </c>
      <c r="H47" t="n">
        <v>0.0978653523458122</v>
      </c>
      <c r="I47" t="n">
        <v>0.111797159717888</v>
      </c>
      <c r="J47" t="n">
        <v>0.085952423660851</v>
      </c>
      <c r="K47" t="n">
        <v>0.139864430730436</v>
      </c>
      <c r="L47" t="n">
        <v>0.170448703165632</v>
      </c>
      <c r="M47" t="n">
        <v>0.0180339724440442</v>
      </c>
      <c r="N47" t="n">
        <v>0.0386022542446754</v>
      </c>
      <c r="O47" t="n">
        <v>0.026973812770786</v>
      </c>
      <c r="P47" t="n">
        <v>0.00327693091634186</v>
      </c>
      <c r="Q47" t="n">
        <v>0.0146733957933414</v>
      </c>
      <c r="R47" t="n">
        <v>-0.0767608584131396</v>
      </c>
      <c r="S47" t="n">
        <v>-0.0456685709057943</v>
      </c>
      <c r="T47" t="n">
        <v>-0.0602598297614895</v>
      </c>
      <c r="U47" t="n">
        <v>0.0244780263364695</v>
      </c>
      <c r="V47" t="n">
        <v>-0.0199182847823508</v>
      </c>
      <c r="W47" t="n">
        <v>-0.122407905534827</v>
      </c>
      <c r="X47" t="n">
        <v>-0.173103301982088</v>
      </c>
      <c r="Y47" t="n">
        <v>0.0248844317665236</v>
      </c>
      <c r="Z47" t="n">
        <v>0.169920667966306</v>
      </c>
      <c r="AA47" t="n">
        <v>0.178736462632123</v>
      </c>
      <c r="AB47" t="n">
        <v>0.196091711436919</v>
      </c>
      <c r="AC47" t="n">
        <v>-0.150293557380411</v>
      </c>
      <c r="AD47" t="n">
        <v>0</v>
      </c>
      <c r="AE47" t="n">
        <v>-0.0789038689646986</v>
      </c>
      <c r="AF47" t="n">
        <v>0</v>
      </c>
    </row>
    <row r="48">
      <c r="A48" t="s">
        <v>200</v>
      </c>
      <c r="B48" t="s">
        <v>283</v>
      </c>
      <c r="C48" t="s">
        <v>201</v>
      </c>
      <c r="D48" t="s">
        <v>284</v>
      </c>
      <c r="E48" t="s">
        <v>59</v>
      </c>
      <c r="F48" t="n">
        <v>-0.00248923183686506</v>
      </c>
      <c r="G48" t="n">
        <v>0.0312402549517002</v>
      </c>
      <c r="H48" t="n">
        <v>-0.0191350966564166</v>
      </c>
      <c r="I48" t="n">
        <v>0.0312391806842247</v>
      </c>
      <c r="J48" t="n">
        <v>0.10420899925465</v>
      </c>
      <c r="K48" t="n">
        <v>0.0681103699247658</v>
      </c>
      <c r="L48" t="n">
        <v>0.081306441568512</v>
      </c>
      <c r="M48" t="n">
        <v>0.000612473159860648</v>
      </c>
      <c r="N48" t="n">
        <v>-0.0970524299336381</v>
      </c>
      <c r="O48" t="n">
        <v>-0.105241325643236</v>
      </c>
      <c r="P48" t="n">
        <v>-0.0496859106501811</v>
      </c>
      <c r="Q48" t="n">
        <v>-0.0237093033902333</v>
      </c>
      <c r="R48" t="n">
        <v>-0.0576750031024569</v>
      </c>
      <c r="S48" t="n">
        <v>-0.0776783609846614</v>
      </c>
      <c r="T48" t="n">
        <v>-0.0909994597493178</v>
      </c>
      <c r="U48" t="n">
        <v>-0.0898409066237478</v>
      </c>
      <c r="V48" t="n">
        <v>-0.0795583788086295</v>
      </c>
      <c r="W48" t="n">
        <v>-0.0221567573019911</v>
      </c>
      <c r="X48" t="n">
        <v>-0.131568324519161</v>
      </c>
      <c r="Y48" t="n">
        <v>-0.0660504465290722</v>
      </c>
      <c r="Z48" t="n">
        <v>0.0183245718597347</v>
      </c>
      <c r="AA48" t="n">
        <v>-0.0154759722910407</v>
      </c>
      <c r="AB48" t="n">
        <v>-0.00313584531201395</v>
      </c>
      <c r="AC48" t="n">
        <v>-0.090336072373381</v>
      </c>
      <c r="AD48" t="n">
        <v>0</v>
      </c>
      <c r="AE48" t="n">
        <v>-0.0481979655215302</v>
      </c>
      <c r="AF48" t="n">
        <v>0</v>
      </c>
    </row>
    <row r="49">
      <c r="A49" t="s">
        <v>202</v>
      </c>
      <c r="B49" t="s">
        <v>283</v>
      </c>
      <c r="C49" t="s">
        <v>203</v>
      </c>
      <c r="D49" t="s">
        <v>284</v>
      </c>
      <c r="E49" t="s">
        <v>59</v>
      </c>
      <c r="F49" t="n">
        <v>0.226074978243164</v>
      </c>
      <c r="G49" t="n">
        <v>0.216619910838787</v>
      </c>
      <c r="H49" t="n">
        <v>-0.0571083312700921</v>
      </c>
      <c r="I49" t="n">
        <v>0.0986957162481178</v>
      </c>
      <c r="J49" t="n">
        <v>0.26655710287288</v>
      </c>
      <c r="K49" t="n">
        <v>0.450288629415107</v>
      </c>
      <c r="L49" t="n">
        <v>0.277517763485007</v>
      </c>
      <c r="M49" t="n">
        <v>0.088355172160622</v>
      </c>
      <c r="N49" t="n">
        <v>-0.270689195289538</v>
      </c>
      <c r="O49" t="n">
        <v>-0.213332449515596</v>
      </c>
      <c r="P49" t="n">
        <v>0.189423335457111</v>
      </c>
      <c r="Q49" t="n">
        <v>0.233319875259575</v>
      </c>
      <c r="R49" t="n">
        <v>0.0131135231534336</v>
      </c>
      <c r="S49" t="n">
        <v>-0.122632099187224</v>
      </c>
      <c r="T49" t="n">
        <v>-0.0547599209346324</v>
      </c>
      <c r="U49" t="n">
        <v>-0.101234831290978</v>
      </c>
      <c r="V49" t="n">
        <v>-0.031353767036708</v>
      </c>
      <c r="W49" t="n">
        <v>0.327597297306303</v>
      </c>
      <c r="X49" t="n">
        <v>-0.057080679996527</v>
      </c>
      <c r="Y49" t="n">
        <v>-0.0500580321738454</v>
      </c>
      <c r="Z49" t="n">
        <v>-0.303467192382312</v>
      </c>
      <c r="AA49" t="n">
        <v>-0.2363546583687</v>
      </c>
      <c r="AB49" t="n">
        <v>-0.211430310212554</v>
      </c>
      <c r="AC49" t="n">
        <v>-0.208281815505833</v>
      </c>
      <c r="AD49" t="n">
        <v>0</v>
      </c>
      <c r="AE49" t="n">
        <v>0.104647771681064</v>
      </c>
      <c r="AF49" t="n">
        <v>0</v>
      </c>
    </row>
    <row r="50">
      <c r="A50" t="s">
        <v>204</v>
      </c>
      <c r="B50" t="s">
        <v>283</v>
      </c>
      <c r="C50" t="s">
        <v>205</v>
      </c>
      <c r="D50" t="s">
        <v>284</v>
      </c>
      <c r="E50" t="s">
        <v>59</v>
      </c>
      <c r="F50" t="n">
        <v>-0.164139966161582</v>
      </c>
      <c r="G50" t="n">
        <v>-0.120473408524941</v>
      </c>
      <c r="H50" t="n">
        <v>-0.0659949818404809</v>
      </c>
      <c r="I50" t="n">
        <v>-0.0129266618848777</v>
      </c>
      <c r="J50" t="n">
        <v>0.100967585343482</v>
      </c>
      <c r="K50" t="n">
        <v>-0.0290199161686683</v>
      </c>
      <c r="L50" t="n">
        <v>0.0209934780570906</v>
      </c>
      <c r="M50" t="n">
        <v>0.029580854541488</v>
      </c>
      <c r="N50" t="n">
        <v>-0.0593625900009865</v>
      </c>
      <c r="O50" t="n">
        <v>-0.0919208438047789</v>
      </c>
      <c r="P50" t="n">
        <v>-0.0648338566859383</v>
      </c>
      <c r="Q50" t="n">
        <v>-0.0820840024312571</v>
      </c>
      <c r="R50" t="n">
        <v>-0.061730065124166</v>
      </c>
      <c r="S50" t="n">
        <v>-0.0883351289532768</v>
      </c>
      <c r="T50" t="n">
        <v>-0.0962899504309449</v>
      </c>
      <c r="U50" t="n">
        <v>-0.110184385406912</v>
      </c>
      <c r="V50" t="n">
        <v>-0.0621232225767542</v>
      </c>
      <c r="W50" t="n">
        <v>0.0302268529996091</v>
      </c>
      <c r="X50" t="n">
        <v>0.012236765591457</v>
      </c>
      <c r="Y50" t="n">
        <v>-0.0199678943929625</v>
      </c>
      <c r="Z50" t="n">
        <v>0.0608843336143647</v>
      </c>
      <c r="AA50" t="n">
        <v>0.0130899745839565</v>
      </c>
      <c r="AB50" t="n">
        <v>-0.0022259431233276</v>
      </c>
      <c r="AC50" t="n">
        <v>-0.0370761449146338</v>
      </c>
      <c r="AD50" t="n">
        <v>0</v>
      </c>
      <c r="AE50" t="n">
        <v>-0.0572037651386366</v>
      </c>
      <c r="AF50" t="n">
        <v>0</v>
      </c>
    </row>
    <row r="51">
      <c r="A51" t="s">
        <v>206</v>
      </c>
      <c r="B51" t="s">
        <v>283</v>
      </c>
      <c r="C51" t="s">
        <v>207</v>
      </c>
      <c r="D51" t="s">
        <v>284</v>
      </c>
      <c r="E51" t="s">
        <v>59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208</v>
      </c>
      <c r="B52" t="s">
        <v>283</v>
      </c>
      <c r="C52" t="s">
        <v>209</v>
      </c>
      <c r="D52" t="s">
        <v>284</v>
      </c>
      <c r="E52" t="s">
        <v>59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210</v>
      </c>
      <c r="B53" t="s">
        <v>283</v>
      </c>
      <c r="C53" t="s">
        <v>211</v>
      </c>
      <c r="D53" t="s">
        <v>284</v>
      </c>
      <c r="E53" t="s">
        <v>59</v>
      </c>
      <c r="F53" t="n">
        <v>-0.522039978446046</v>
      </c>
      <c r="G53" t="n">
        <v>0.0816922975470072</v>
      </c>
      <c r="H53" t="n">
        <v>0.272882117308452</v>
      </c>
      <c r="I53" t="n">
        <v>0.360202284262971</v>
      </c>
      <c r="J53" t="n">
        <v>0.335825023342224</v>
      </c>
      <c r="K53" t="n">
        <v>0.2724964989096</v>
      </c>
      <c r="L53" t="n">
        <v>0.254869100805598</v>
      </c>
      <c r="M53" t="n">
        <v>0.195565736153651</v>
      </c>
      <c r="N53" t="n">
        <v>0.273760465836169</v>
      </c>
      <c r="O53" t="n">
        <v>0.239996996857443</v>
      </c>
      <c r="P53" t="n">
        <v>0.331964762026679</v>
      </c>
      <c r="Q53" t="n">
        <v>0.225911209700812</v>
      </c>
      <c r="R53" t="n">
        <v>0.12732409790859</v>
      </c>
      <c r="S53" t="n">
        <v>-0.025512249963366</v>
      </c>
      <c r="T53" t="n">
        <v>-0.295076192159001</v>
      </c>
      <c r="U53" t="n">
        <v>-0.129738080630398</v>
      </c>
      <c r="V53" t="n">
        <v>0.0486438267889009</v>
      </c>
      <c r="W53" t="n">
        <v>0.128839357774046</v>
      </c>
      <c r="X53" t="n">
        <v>0.0847815665609225</v>
      </c>
      <c r="Y53" t="n">
        <v>0.00752353316671404</v>
      </c>
      <c r="Z53" t="n">
        <v>0.0269446795806915</v>
      </c>
      <c r="AA53" t="n">
        <v>-0.112735794517517</v>
      </c>
      <c r="AB53" t="n">
        <v>-0.129104159829695</v>
      </c>
      <c r="AC53" t="n">
        <v>-0.0142811769411837</v>
      </c>
      <c r="AD53" t="n">
        <v>0</v>
      </c>
      <c r="AE53" t="n">
        <v>0.106738866418975</v>
      </c>
      <c r="AF53" t="n">
        <v>0</v>
      </c>
    </row>
    <row r="54">
      <c r="A54" t="s">
        <v>212</v>
      </c>
      <c r="B54" t="s">
        <v>283</v>
      </c>
      <c r="C54" t="s">
        <v>213</v>
      </c>
      <c r="D54" t="s">
        <v>284</v>
      </c>
      <c r="E54" t="s">
        <v>59</v>
      </c>
      <c r="F54" t="n">
        <v>-0.152112765860036</v>
      </c>
      <c r="G54" t="n">
        <v>0.0567023387438625</v>
      </c>
      <c r="H54" t="n">
        <v>0.109706329284823</v>
      </c>
      <c r="I54" t="n">
        <v>0.138181265114783</v>
      </c>
      <c r="J54" t="n">
        <v>0.162336321559984</v>
      </c>
      <c r="K54" t="n">
        <v>0.0816562931119254</v>
      </c>
      <c r="L54" t="n">
        <v>0.0361214635036109</v>
      </c>
      <c r="M54" t="n">
        <v>0.0961810863655508</v>
      </c>
      <c r="N54" t="n">
        <v>0.112384776275194</v>
      </c>
      <c r="O54" t="n">
        <v>0.0890269613782742</v>
      </c>
      <c r="P54" t="n">
        <v>0.0571870373147108</v>
      </c>
      <c r="Q54" t="n">
        <v>-0.00120381863739203</v>
      </c>
      <c r="R54" t="n">
        <v>0.0502910270913839</v>
      </c>
      <c r="S54" t="n">
        <v>0.0330402773696949</v>
      </c>
      <c r="T54" t="n">
        <v>-0.0436697092537367</v>
      </c>
      <c r="U54" t="n">
        <v>-0.0550632079374656</v>
      </c>
      <c r="V54" t="n">
        <v>-0.00694222306826647</v>
      </c>
      <c r="W54" t="n">
        <v>0.0801609123577061</v>
      </c>
      <c r="X54" t="n">
        <v>0.0183643379559675</v>
      </c>
      <c r="Y54" t="n">
        <v>0.00503044621969757</v>
      </c>
      <c r="Z54" t="n">
        <v>0.0790415207163259</v>
      </c>
      <c r="AA54" t="n">
        <v>0.00423268449202592</v>
      </c>
      <c r="AB54" t="n">
        <v>-0.00311437066097004</v>
      </c>
      <c r="AC54" t="n">
        <v>0.00472089399162602</v>
      </c>
      <c r="AD54" t="n">
        <v>0</v>
      </c>
      <c r="AE54" t="n">
        <v>0.0752667630514016</v>
      </c>
      <c r="AF54" t="n">
        <v>0</v>
      </c>
    </row>
    <row r="55">
      <c r="A55" t="s">
        <v>214</v>
      </c>
      <c r="B55" t="s">
        <v>283</v>
      </c>
      <c r="C55" t="s">
        <v>215</v>
      </c>
      <c r="D55" t="s">
        <v>284</v>
      </c>
      <c r="E55" t="s">
        <v>59</v>
      </c>
      <c r="F55" t="n">
        <v>0.00210994224706549</v>
      </c>
      <c r="G55" t="n">
        <v>0.00109227856527698</v>
      </c>
      <c r="H55" t="n">
        <v>0.0218631267392278</v>
      </c>
      <c r="I55" t="n">
        <v>0.0461309006772245</v>
      </c>
      <c r="J55" t="n">
        <v>0.0568516203610929</v>
      </c>
      <c r="K55" t="n">
        <v>0.0231144475884993</v>
      </c>
      <c r="L55" t="n">
        <v>-0.0135165290531263</v>
      </c>
      <c r="M55" t="n">
        <v>0.0183642306807722</v>
      </c>
      <c r="N55" t="n">
        <v>0.0220147470431426</v>
      </c>
      <c r="O55" t="n">
        <v>0.0160966051847531</v>
      </c>
      <c r="P55" t="n">
        <v>0.0275219251584261</v>
      </c>
      <c r="Q55" t="n">
        <v>-0.00933745325912948</v>
      </c>
      <c r="R55" t="n">
        <v>0.0324045197755194</v>
      </c>
      <c r="S55" t="n">
        <v>0.0222103255923678</v>
      </c>
      <c r="T55" t="n">
        <v>-0.00292527738202339</v>
      </c>
      <c r="U55" t="n">
        <v>-0.00232973302039351</v>
      </c>
      <c r="V55" t="n">
        <v>0.0261551477923842</v>
      </c>
      <c r="W55" t="n">
        <v>0.0637892012379123</v>
      </c>
      <c r="X55" t="n">
        <v>0.00991186368350947</v>
      </c>
      <c r="Y55" t="n">
        <v>0.00587338634941419</v>
      </c>
      <c r="Z55" t="n">
        <v>0.0431307903499779</v>
      </c>
      <c r="AA55" t="n">
        <v>-0.000194648626783834</v>
      </c>
      <c r="AB55" t="n">
        <v>0.0049881608384543</v>
      </c>
      <c r="AC55" t="n">
        <v>0.0174577463115436</v>
      </c>
      <c r="AD55" t="n">
        <v>0</v>
      </c>
      <c r="AE55" t="n">
        <v>0.067239886938453</v>
      </c>
      <c r="AF55" t="n">
        <v>0</v>
      </c>
    </row>
    <row r="56">
      <c r="A56" t="s">
        <v>216</v>
      </c>
      <c r="B56" t="s">
        <v>283</v>
      </c>
      <c r="C56" t="s">
        <v>217</v>
      </c>
      <c r="D56" t="s">
        <v>284</v>
      </c>
      <c r="E56" t="s">
        <v>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218</v>
      </c>
      <c r="B57" t="s">
        <v>283</v>
      </c>
      <c r="C57" t="s">
        <v>219</v>
      </c>
      <c r="D57" t="s">
        <v>284</v>
      </c>
      <c r="E57" t="s">
        <v>59</v>
      </c>
      <c r="F57" t="n">
        <v>0.0458563621580973</v>
      </c>
      <c r="G57" t="n">
        <v>0.0949270622346448</v>
      </c>
      <c r="H57" t="n">
        <v>0.140943141775312</v>
      </c>
      <c r="I57" t="n">
        <v>0.205066899135528</v>
      </c>
      <c r="J57" t="n">
        <v>0.23678882993192</v>
      </c>
      <c r="K57" t="n">
        <v>0.17886499244527</v>
      </c>
      <c r="L57" t="n">
        <v>0.232699200953443</v>
      </c>
      <c r="M57" t="n">
        <v>0.290160012219537</v>
      </c>
      <c r="N57" t="n">
        <v>0.202496453273524</v>
      </c>
      <c r="O57" t="n">
        <v>0.151171926310594</v>
      </c>
      <c r="P57" t="n">
        <v>0.120569928277941</v>
      </c>
      <c r="Q57" t="n">
        <v>0.0362939210445563</v>
      </c>
      <c r="R57" t="n">
        <v>0.0608066015573128</v>
      </c>
      <c r="S57" t="n">
        <v>0.0997180977977822</v>
      </c>
      <c r="T57" t="n">
        <v>0.097944667609004</v>
      </c>
      <c r="U57" t="n">
        <v>-0.0231673505541327</v>
      </c>
      <c r="V57" t="n">
        <v>-0.0397255950158845</v>
      </c>
      <c r="W57" t="n">
        <v>0.0168301461995632</v>
      </c>
      <c r="X57" t="n">
        <v>-0.0156293156300438</v>
      </c>
      <c r="Y57" t="n">
        <v>0.0148416429883225</v>
      </c>
      <c r="Z57" t="n">
        <v>0.0516667017540121</v>
      </c>
      <c r="AA57" t="n">
        <v>-0.0506920010982873</v>
      </c>
      <c r="AB57" t="n">
        <v>-0.0555664037129657</v>
      </c>
      <c r="AC57" t="n">
        <v>-0.125992784471106</v>
      </c>
      <c r="AD57" t="n">
        <v>0</v>
      </c>
      <c r="AE57" t="n">
        <v>0.0109665743434639</v>
      </c>
      <c r="AF57" t="n">
        <v>0</v>
      </c>
    </row>
    <row r="58">
      <c r="A58" t="s">
        <v>220</v>
      </c>
      <c r="B58" t="s">
        <v>283</v>
      </c>
      <c r="C58" t="s">
        <v>221</v>
      </c>
      <c r="D58" t="s">
        <v>284</v>
      </c>
      <c r="E58" t="s">
        <v>59</v>
      </c>
      <c r="F58" t="n">
        <v>0.0458558233007115</v>
      </c>
      <c r="G58" t="n">
        <v>0.0949274486058258</v>
      </c>
      <c r="H58" t="n">
        <v>0.140949160455596</v>
      </c>
      <c r="I58" t="n">
        <v>0.205072699697159</v>
      </c>
      <c r="J58" t="n">
        <v>0.236787146213207</v>
      </c>
      <c r="K58" t="n">
        <v>0.178828821512073</v>
      </c>
      <c r="L58" t="n">
        <v>0.232690000903312</v>
      </c>
      <c r="M58" t="n">
        <v>0.290111767436485</v>
      </c>
      <c r="N58" t="n">
        <v>0.202453734963594</v>
      </c>
      <c r="O58" t="n">
        <v>0.151107699499155</v>
      </c>
      <c r="P58" t="n">
        <v>0.120604209955327</v>
      </c>
      <c r="Q58" t="n">
        <v>0.0363075641164212</v>
      </c>
      <c r="R58" t="n">
        <v>0.0607947963027407</v>
      </c>
      <c r="S58" t="n">
        <v>0.0997312107774842</v>
      </c>
      <c r="T58" t="n">
        <v>0.0979771380456441</v>
      </c>
      <c r="U58" t="n">
        <v>-0.0231247151087721</v>
      </c>
      <c r="V58" t="n">
        <v>-0.0397012502992474</v>
      </c>
      <c r="W58" t="n">
        <v>0.0168203940889158</v>
      </c>
      <c r="X58" t="n">
        <v>-0.0155672568898572</v>
      </c>
      <c r="Y58" t="n">
        <v>0.0149002954383707</v>
      </c>
      <c r="Z58" t="n">
        <v>0.0515599820544547</v>
      </c>
      <c r="AA58" t="n">
        <v>-0.0508204657025757</v>
      </c>
      <c r="AB58" t="n">
        <v>-0.0555925164988779</v>
      </c>
      <c r="AC58" t="n">
        <v>-0.126014573876229</v>
      </c>
      <c r="AD58" t="n">
        <v>0</v>
      </c>
      <c r="AE58" t="n">
        <v>0.0109649242622598</v>
      </c>
      <c r="AF58" t="n">
        <v>0</v>
      </c>
    </row>
    <row r="59">
      <c r="A59" t="s">
        <v>222</v>
      </c>
      <c r="B59" t="s">
        <v>283</v>
      </c>
      <c r="C59" t="s">
        <v>223</v>
      </c>
      <c r="D59" t="s">
        <v>284</v>
      </c>
      <c r="E59" t="s">
        <v>59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  <row r="2">
      <c r="A2" t="s">
        <v>106</v>
      </c>
      <c r="B2" t="s">
        <v>283</v>
      </c>
      <c r="C2" t="s">
        <v>108</v>
      </c>
      <c r="D2" t="s">
        <v>284</v>
      </c>
      <c r="E2" t="s">
        <v>60</v>
      </c>
      <c r="F2" t="n">
        <v>-5.67918853785815</v>
      </c>
      <c r="G2" t="n">
        <v>8.72724535524848</v>
      </c>
      <c r="H2" t="n">
        <v>1.45566311578045</v>
      </c>
      <c r="I2" t="n">
        <v>3.98029990683173</v>
      </c>
      <c r="J2" t="n">
        <v>2.4360759700991</v>
      </c>
      <c r="K2" t="n">
        <v>10.6031401061295</v>
      </c>
      <c r="L2" t="n">
        <v>-3.75486691747378</v>
      </c>
      <c r="M2" t="n">
        <v>11.1280823028883</v>
      </c>
      <c r="N2" t="n">
        <v>-6.69125485355931</v>
      </c>
      <c r="O2" t="n">
        <v>-7.64941451272448</v>
      </c>
      <c r="P2" t="n">
        <v>2.49379103494211</v>
      </c>
      <c r="Q2" t="n">
        <v>3.94333408261236</v>
      </c>
      <c r="R2" t="n">
        <v>9.21726671099819</v>
      </c>
      <c r="S2" t="n">
        <v>11.1046776779912</v>
      </c>
      <c r="T2" t="n">
        <v>-3.81495776795174</v>
      </c>
      <c r="U2" t="n">
        <v>-0.457124312390716</v>
      </c>
      <c r="V2" t="n">
        <v>4.47074952044275</v>
      </c>
      <c r="W2" t="n">
        <v>2.16880618657765</v>
      </c>
      <c r="X2" t="n">
        <v>1.74700891758685</v>
      </c>
      <c r="Y2" t="n">
        <v>-3.72962048782866</v>
      </c>
      <c r="Z2" t="n">
        <v>-3.29174458636008</v>
      </c>
      <c r="AA2" t="n">
        <v>-3.96799840688166</v>
      </c>
      <c r="AB2" t="n">
        <v>-0.977070942240552</v>
      </c>
      <c r="AC2" t="n">
        <v>-6.39607668833871</v>
      </c>
      <c r="AD2" t="n">
        <v>7.81962075201135</v>
      </c>
      <c r="AE2" t="n">
        <v>-2.20443031267932</v>
      </c>
      <c r="AF2"/>
    </row>
    <row r="3">
      <c r="A3" t="s">
        <v>110</v>
      </c>
      <c r="B3" t="s">
        <v>283</v>
      </c>
      <c r="C3" t="s">
        <v>111</v>
      </c>
      <c r="D3" t="s">
        <v>284</v>
      </c>
      <c r="E3" t="s">
        <v>60</v>
      </c>
      <c r="F3" t="n">
        <v>-3.88721796205395</v>
      </c>
      <c r="G3" t="n">
        <v>8.01520172474562</v>
      </c>
      <c r="H3" t="n">
        <v>-8.82306359502026</v>
      </c>
      <c r="I3" t="n">
        <v>2.05808999674014</v>
      </c>
      <c r="J3" t="n">
        <v>2.2501972133045</v>
      </c>
      <c r="K3" t="n">
        <v>12.2310759170655</v>
      </c>
      <c r="L3" t="n">
        <v>8.04679627293554</v>
      </c>
      <c r="M3" t="n">
        <v>1.84121254821615</v>
      </c>
      <c r="N3" t="n">
        <v>-0.287694707893327</v>
      </c>
      <c r="O3" t="n">
        <v>-3.06997341799351</v>
      </c>
      <c r="P3" t="n">
        <v>4.34194991385672</v>
      </c>
      <c r="Q3" t="n">
        <v>-2.03830220723325</v>
      </c>
      <c r="R3" t="n">
        <v>-9.40684304355482</v>
      </c>
      <c r="S3" t="n">
        <v>-1.3234896559071</v>
      </c>
      <c r="T3" t="n">
        <v>-66.8157460567647</v>
      </c>
      <c r="U3" t="n">
        <v>7.30871807099922</v>
      </c>
      <c r="V3" t="n">
        <v>10.3220910093863</v>
      </c>
      <c r="W3" t="n">
        <v>-7.94075579127742</v>
      </c>
      <c r="X3" t="n">
        <v>11.8866560037153</v>
      </c>
      <c r="Y3" t="n">
        <v>-14.2653033855804</v>
      </c>
      <c r="Z3" t="n">
        <v>-4.67916317522229</v>
      </c>
      <c r="AA3" t="n">
        <v>3.77635434861034</v>
      </c>
      <c r="AB3" t="n">
        <v>-5.08780941963603</v>
      </c>
      <c r="AC3" t="n">
        <v>11.5753125882382</v>
      </c>
      <c r="AD3" t="n">
        <v>-4.56934638758196</v>
      </c>
      <c r="AE3" t="n">
        <v>-0.573121126581701</v>
      </c>
      <c r="AF3"/>
    </row>
    <row r="4">
      <c r="A4" t="s">
        <v>112</v>
      </c>
      <c r="B4" t="s">
        <v>283</v>
      </c>
      <c r="C4" t="s">
        <v>113</v>
      </c>
      <c r="D4" t="s">
        <v>284</v>
      </c>
      <c r="E4" t="s">
        <v>60</v>
      </c>
      <c r="F4" t="n">
        <v>4.52204483652316</v>
      </c>
      <c r="G4" t="n">
        <v>2.67305571300726</v>
      </c>
      <c r="H4" t="n">
        <v>1.49427211970395</v>
      </c>
      <c r="I4" t="n">
        <v>-2.07513874791165</v>
      </c>
      <c r="J4" t="n">
        <v>-0.0590391632898326</v>
      </c>
      <c r="K4" t="n">
        <v>3.6994511298389</v>
      </c>
      <c r="L4" t="n">
        <v>-3.9197714714191</v>
      </c>
      <c r="M4" t="n">
        <v>1.23555519154132</v>
      </c>
      <c r="N4" t="n">
        <v>5.0395384587031</v>
      </c>
      <c r="O4" t="n">
        <v>5.4086030121585</v>
      </c>
      <c r="P4" t="n">
        <v>3.65340972523105</v>
      </c>
      <c r="Q4" t="n">
        <v>0.529723734172139</v>
      </c>
      <c r="R4" t="n">
        <v>3.14379126403138</v>
      </c>
      <c r="S4" t="n">
        <v>0.488641676448638</v>
      </c>
      <c r="T4" t="n">
        <v>-11.7208800269357</v>
      </c>
      <c r="U4" t="n">
        <v>13.6516912111924</v>
      </c>
      <c r="V4" t="n">
        <v>-2.34822987520586</v>
      </c>
      <c r="W4" t="n">
        <v>1.54645157084956</v>
      </c>
      <c r="X4" t="n">
        <v>1.87639015016175</v>
      </c>
      <c r="Y4" t="n">
        <v>2.20960478183982</v>
      </c>
      <c r="Z4" t="n">
        <v>2.15731257156219</v>
      </c>
      <c r="AA4" t="n">
        <v>-0.970161005769479</v>
      </c>
      <c r="AB4" t="n">
        <v>2.39466033727735</v>
      </c>
      <c r="AC4" t="n">
        <v>2.53150650620525</v>
      </c>
      <c r="AD4" t="n">
        <v>-0.875805366262191</v>
      </c>
      <c r="AE4" t="n">
        <v>-1.77838813159523</v>
      </c>
      <c r="AF4"/>
    </row>
    <row r="5">
      <c r="A5" t="s">
        <v>114</v>
      </c>
      <c r="B5" t="s">
        <v>283</v>
      </c>
      <c r="C5" t="s">
        <v>115</v>
      </c>
      <c r="D5" t="s">
        <v>284</v>
      </c>
      <c r="E5" t="s">
        <v>60</v>
      </c>
      <c r="F5" t="n">
        <v>4.15025464714722</v>
      </c>
      <c r="G5" t="n">
        <v>0.195885311479989</v>
      </c>
      <c r="H5" t="n">
        <v>-0.280858543579344</v>
      </c>
      <c r="I5" t="n">
        <v>0.929739688888068</v>
      </c>
      <c r="J5" t="n">
        <v>-1.6412596645144</v>
      </c>
      <c r="K5" t="n">
        <v>-2.82655191110268</v>
      </c>
      <c r="L5" t="n">
        <v>0.390482873978601</v>
      </c>
      <c r="M5" t="n">
        <v>-2.12591802765178</v>
      </c>
      <c r="N5" t="n">
        <v>1.45096146858507</v>
      </c>
      <c r="O5" t="n">
        <v>-0.164108336557673</v>
      </c>
      <c r="P5" t="n">
        <v>-3.52761527634027</v>
      </c>
      <c r="Q5" t="n">
        <v>-2.1218030630667</v>
      </c>
      <c r="R5" t="n">
        <v>2.21401144949052</v>
      </c>
      <c r="S5" t="n">
        <v>-4.27158739593022</v>
      </c>
      <c r="T5" t="n">
        <v>-4.8670516013584</v>
      </c>
      <c r="U5" t="n">
        <v>1.34942741452018</v>
      </c>
      <c r="V5" t="n">
        <v>-2.90876052468468</v>
      </c>
      <c r="W5" t="n">
        <v>-2.50361290766746</v>
      </c>
      <c r="X5" t="n">
        <v>2.72546299998842</v>
      </c>
      <c r="Y5" t="n">
        <v>1.00097958579039</v>
      </c>
      <c r="Z5" t="n">
        <v>4.62189089495453</v>
      </c>
      <c r="AA5" t="n">
        <v>1.28751095202105</v>
      </c>
      <c r="AB5" t="n">
        <v>-0.755158421923185</v>
      </c>
      <c r="AC5" t="n">
        <v>0.310961968835864</v>
      </c>
      <c r="AD5" t="n">
        <v>0.65683776823978</v>
      </c>
      <c r="AE5" t="n">
        <v>-2.25697001851483</v>
      </c>
      <c r="AF5"/>
    </row>
    <row r="6">
      <c r="A6" t="s">
        <v>116</v>
      </c>
      <c r="B6" t="s">
        <v>283</v>
      </c>
      <c r="C6" t="s">
        <v>117</v>
      </c>
      <c r="D6" t="s">
        <v>284</v>
      </c>
      <c r="E6" t="s">
        <v>60</v>
      </c>
      <c r="F6" t="n">
        <v>2.96076822008719</v>
      </c>
      <c r="G6" t="n">
        <v>-2.52315920777884</v>
      </c>
      <c r="H6" t="n">
        <v>-1.94332472406486</v>
      </c>
      <c r="I6" t="n">
        <v>1.08061061737497</v>
      </c>
      <c r="J6" t="n">
        <v>-10.4691812913393</v>
      </c>
      <c r="K6" t="n">
        <v>-1.16154607316171</v>
      </c>
      <c r="L6" t="n">
        <v>-7.47644683190657</v>
      </c>
      <c r="M6" t="n">
        <v>-2.22613639384164</v>
      </c>
      <c r="N6" t="n">
        <v>2.18038171752794</v>
      </c>
      <c r="O6" t="n">
        <v>1.71229542533804</v>
      </c>
      <c r="P6" t="n">
        <v>-4.41272952877886</v>
      </c>
      <c r="Q6" t="n">
        <v>-0.942732339163513</v>
      </c>
      <c r="R6" t="n">
        <v>5.75108979771858</v>
      </c>
      <c r="S6" t="n">
        <v>1.7624521963072</v>
      </c>
      <c r="T6" t="n">
        <v>-12.8646386611781</v>
      </c>
      <c r="U6" t="n">
        <v>-1.6141795567508</v>
      </c>
      <c r="V6" t="n">
        <v>7.08812250479887</v>
      </c>
      <c r="W6" t="n">
        <v>-0.626739030809324</v>
      </c>
      <c r="X6" t="n">
        <v>1.51876513232377</v>
      </c>
      <c r="Y6" t="n">
        <v>4.25728213898724</v>
      </c>
      <c r="Z6" t="n">
        <v>16.8871790593719</v>
      </c>
      <c r="AA6" t="n">
        <v>-19.1030957666932</v>
      </c>
      <c r="AB6" t="n">
        <v>-0.186621462918607</v>
      </c>
      <c r="AC6" t="n">
        <v>10.0655854047641</v>
      </c>
      <c r="AD6" t="n">
        <v>2.95890562191497</v>
      </c>
      <c r="AE6" t="n">
        <v>4.54947809438754</v>
      </c>
      <c r="AF6"/>
    </row>
    <row r="7">
      <c r="A7" t="s">
        <v>118</v>
      </c>
      <c r="B7" t="s">
        <v>283</v>
      </c>
      <c r="C7" t="s">
        <v>119</v>
      </c>
      <c r="D7" t="s">
        <v>284</v>
      </c>
      <c r="E7" t="s">
        <v>60</v>
      </c>
      <c r="F7" t="n">
        <v>4.8028316607953</v>
      </c>
      <c r="G7" t="n">
        <v>-0.556397478718301</v>
      </c>
      <c r="H7" t="n">
        <v>-0.471544081982845</v>
      </c>
      <c r="I7" t="n">
        <v>1.02478103305813</v>
      </c>
      <c r="J7" t="n">
        <v>-5.73585177296049</v>
      </c>
      <c r="K7" t="n">
        <v>1.73352462059723</v>
      </c>
      <c r="L7" t="n">
        <v>-3.52715505565718</v>
      </c>
      <c r="M7" t="n">
        <v>-2.5920912094249</v>
      </c>
      <c r="N7" t="n">
        <v>-0.88217056737605</v>
      </c>
      <c r="O7" t="n">
        <v>2.41812715560677</v>
      </c>
      <c r="P7" t="n">
        <v>5.46278689062904</v>
      </c>
      <c r="Q7" t="n">
        <v>-4.61944709926531</v>
      </c>
      <c r="R7" t="n">
        <v>-1.15581877136703</v>
      </c>
      <c r="S7" t="n">
        <v>-0.156445142227666</v>
      </c>
      <c r="T7" t="n">
        <v>-5.81287842150378</v>
      </c>
      <c r="U7" t="n">
        <v>7.07248762611424</v>
      </c>
      <c r="V7" t="n">
        <v>-1.00192753029614</v>
      </c>
      <c r="W7" t="n">
        <v>-5.13391141868146</v>
      </c>
      <c r="X7" t="n">
        <v>8.89521942467623</v>
      </c>
      <c r="Y7" t="n">
        <v>2.38837105140395</v>
      </c>
      <c r="Z7" t="n">
        <v>10.217828103447</v>
      </c>
      <c r="AA7" t="n">
        <v>-2.15998752501323</v>
      </c>
      <c r="AB7" t="n">
        <v>1.7101851206677</v>
      </c>
      <c r="AC7" t="n">
        <v>1.55486869349785</v>
      </c>
      <c r="AD7" t="n">
        <v>1.03785243554168</v>
      </c>
      <c r="AE7" t="n">
        <v>-4.81144394565347</v>
      </c>
      <c r="AF7"/>
    </row>
    <row r="8">
      <c r="A8" t="s">
        <v>120</v>
      </c>
      <c r="B8" t="s">
        <v>283</v>
      </c>
      <c r="C8" t="s">
        <v>121</v>
      </c>
      <c r="D8" t="s">
        <v>284</v>
      </c>
      <c r="E8" t="s">
        <v>60</v>
      </c>
      <c r="F8" t="n">
        <v>-4.07663757530549</v>
      </c>
      <c r="G8" t="n">
        <v>13.4727338024819</v>
      </c>
      <c r="H8" t="n">
        <v>4.8759182517102</v>
      </c>
      <c r="I8" t="n">
        <v>-12.9720856609053</v>
      </c>
      <c r="J8" t="n">
        <v>-7.09294317052487</v>
      </c>
      <c r="K8" t="n">
        <v>4.5319272368564</v>
      </c>
      <c r="L8" t="n">
        <v>-4.73797830586304</v>
      </c>
      <c r="M8" t="n">
        <v>-9.16609058323697</v>
      </c>
      <c r="N8" t="n">
        <v>-12.4267459435861</v>
      </c>
      <c r="O8" t="n">
        <v>-7.17953056959237</v>
      </c>
      <c r="P8" t="n">
        <v>-3.04968844579257</v>
      </c>
      <c r="Q8" t="n">
        <v>0.970339773743525</v>
      </c>
      <c r="R8" t="n">
        <v>-7.27291451698343</v>
      </c>
      <c r="S8" t="n">
        <v>-3.11140921438393</v>
      </c>
      <c r="T8" t="n">
        <v>6.09075621797875</v>
      </c>
      <c r="U8" t="n">
        <v>3.53091648226507</v>
      </c>
      <c r="V8" t="n">
        <v>-7.21690130540851</v>
      </c>
      <c r="W8" t="n">
        <v>11.4318487513993</v>
      </c>
      <c r="X8" t="n">
        <v>29.6123703384245</v>
      </c>
      <c r="Y8" t="n">
        <v>-13.7631412091632</v>
      </c>
      <c r="Z8" t="n">
        <v>-16.1476046594252</v>
      </c>
      <c r="AA8" t="n">
        <v>-0.0709373862844403</v>
      </c>
      <c r="AB8" t="n">
        <v>2.41685104281288</v>
      </c>
      <c r="AC8" t="n">
        <v>1.29771811565353</v>
      </c>
      <c r="AD8" t="n">
        <v>-1.84406158103052</v>
      </c>
      <c r="AE8" t="n">
        <v>-5.40266243872014</v>
      </c>
      <c r="AF8"/>
    </row>
    <row r="9">
      <c r="A9" t="s">
        <v>122</v>
      </c>
      <c r="B9" t="s">
        <v>283</v>
      </c>
      <c r="C9" t="s">
        <v>123</v>
      </c>
      <c r="D9" t="s">
        <v>284</v>
      </c>
      <c r="E9" t="s">
        <v>60</v>
      </c>
      <c r="F9" t="n">
        <v>-2.58496100179764</v>
      </c>
      <c r="G9" t="n">
        <v>2.59348288033335</v>
      </c>
      <c r="H9" t="n">
        <v>1.90970912718598</v>
      </c>
      <c r="I9" t="n">
        <v>-6.27441987718413</v>
      </c>
      <c r="J9" t="n">
        <v>4.20381653066648</v>
      </c>
      <c r="K9" t="n">
        <v>-9.69870355938285</v>
      </c>
      <c r="L9" t="n">
        <v>-1.97113015775957</v>
      </c>
      <c r="M9" t="n">
        <v>2.29498812171542</v>
      </c>
      <c r="N9" t="n">
        <v>0.271545449608835</v>
      </c>
      <c r="O9" t="n">
        <v>-4.47607992849649</v>
      </c>
      <c r="P9" t="n">
        <v>-2.80271783483948</v>
      </c>
      <c r="Q9" t="n">
        <v>-4.32732402836225</v>
      </c>
      <c r="R9" t="n">
        <v>-0.128563099231874</v>
      </c>
      <c r="S9" t="n">
        <v>-5.65308398916853</v>
      </c>
      <c r="T9" t="n">
        <v>-4.11909517208644</v>
      </c>
      <c r="U9" t="n">
        <v>8.53230453608415</v>
      </c>
      <c r="V9" t="n">
        <v>-5.42786390923692</v>
      </c>
      <c r="W9" t="n">
        <v>5.3062612207529</v>
      </c>
      <c r="X9" t="n">
        <v>5.18506457806689</v>
      </c>
      <c r="Y9" t="n">
        <v>1.04620343017416</v>
      </c>
      <c r="Z9" t="n">
        <v>12.1033401933122</v>
      </c>
      <c r="AA9" t="n">
        <v>5.57305842488716</v>
      </c>
      <c r="AB9" t="n">
        <v>-3.42984638549851</v>
      </c>
      <c r="AC9" t="n">
        <v>1.9709331304787</v>
      </c>
      <c r="AD9" t="n">
        <v>8.44400859695372</v>
      </c>
      <c r="AE9" t="n">
        <v>-2.20793136340234</v>
      </c>
      <c r="AF9"/>
    </row>
    <row r="10">
      <c r="A10" t="s">
        <v>124</v>
      </c>
      <c r="B10" t="s">
        <v>283</v>
      </c>
      <c r="C10" t="s">
        <v>125</v>
      </c>
      <c r="D10" t="s">
        <v>284</v>
      </c>
      <c r="E10" t="s">
        <v>60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283</v>
      </c>
      <c r="C11" t="s">
        <v>127</v>
      </c>
      <c r="D11" t="s">
        <v>284</v>
      </c>
      <c r="E11" t="s">
        <v>60</v>
      </c>
      <c r="F11" t="n">
        <v>10.6815820250228</v>
      </c>
      <c r="G11" t="n">
        <v>2.94425887441906</v>
      </c>
      <c r="H11" t="n">
        <v>0.217218480637582</v>
      </c>
      <c r="I11" t="n">
        <v>0.75760167058297</v>
      </c>
      <c r="J11" t="n">
        <v>2.04549632029454</v>
      </c>
      <c r="K11" t="n">
        <v>9.60411992196274</v>
      </c>
      <c r="L11" t="n">
        <v>-3.67153331163611</v>
      </c>
      <c r="M11" t="n">
        <v>4.08279590055667</v>
      </c>
      <c r="N11" t="n">
        <v>6.48557948856599</v>
      </c>
      <c r="O11" t="n">
        <v>1.85594440230433</v>
      </c>
      <c r="P11" t="n">
        <v>-2.75521142717164</v>
      </c>
      <c r="Q11" t="n">
        <v>5.96727970744616</v>
      </c>
      <c r="R11" t="n">
        <v>1.39157757587374</v>
      </c>
      <c r="S11" t="n">
        <v>7.01692957443538</v>
      </c>
      <c r="T11" t="n">
        <v>1.24012316246069</v>
      </c>
      <c r="U11" t="n">
        <v>10.0162605302983</v>
      </c>
      <c r="V11" t="n">
        <v>0.372665236524065</v>
      </c>
      <c r="W11" t="n">
        <v>-6.17844526162679</v>
      </c>
      <c r="X11" t="n">
        <v>0.619237844252076</v>
      </c>
      <c r="Y11" t="n">
        <v>-5.13512506652237</v>
      </c>
      <c r="Z11" t="n">
        <v>4.34060529848162</v>
      </c>
      <c r="AA11" t="n">
        <v>6.08185264755135</v>
      </c>
      <c r="AB11" t="n">
        <v>1.31454296849152</v>
      </c>
      <c r="AC11" t="n">
        <v>7.45430470347062</v>
      </c>
      <c r="AD11" t="n">
        <v>-0.182569896791887</v>
      </c>
      <c r="AE11" t="n">
        <v>11.6846943831035</v>
      </c>
      <c r="AF11"/>
    </row>
    <row r="12">
      <c r="A12" t="s">
        <v>128</v>
      </c>
      <c r="B12" t="s">
        <v>283</v>
      </c>
      <c r="C12" t="s">
        <v>129</v>
      </c>
      <c r="D12" t="s">
        <v>284</v>
      </c>
      <c r="E12" t="s">
        <v>60</v>
      </c>
      <c r="F12" t="n">
        <v>0.307981494090362</v>
      </c>
      <c r="G12" t="n">
        <v>-0.802103271892696</v>
      </c>
      <c r="H12" t="n">
        <v>-1.77323554662437</v>
      </c>
      <c r="I12" t="n">
        <v>-4.56766120002674</v>
      </c>
      <c r="J12" t="n">
        <v>-5.19847318329395</v>
      </c>
      <c r="K12" t="n">
        <v>3.71015484260134</v>
      </c>
      <c r="L12" t="n">
        <v>-4.88371315715833</v>
      </c>
      <c r="M12" t="n">
        <v>-0.821183191289121</v>
      </c>
      <c r="N12" t="n">
        <v>4.12935747712223</v>
      </c>
      <c r="O12" t="n">
        <v>9.52453300471833</v>
      </c>
      <c r="P12" t="n">
        <v>0.327344534370206</v>
      </c>
      <c r="Q12" t="n">
        <v>-3.89595323085189</v>
      </c>
      <c r="R12" t="n">
        <v>5.01179477190418</v>
      </c>
      <c r="S12" t="n">
        <v>-0.987405604005636</v>
      </c>
      <c r="T12" t="n">
        <v>-23.6992794293291</v>
      </c>
      <c r="U12" t="n">
        <v>13.4886117567544</v>
      </c>
      <c r="V12" t="n">
        <v>3.1938096843192</v>
      </c>
      <c r="W12" t="n">
        <v>-2.77989932280169</v>
      </c>
      <c r="X12" t="n">
        <v>4.80085178396348</v>
      </c>
      <c r="Y12" t="n">
        <v>3.77521996115322</v>
      </c>
      <c r="Z12" t="n">
        <v>3.62209355865571</v>
      </c>
      <c r="AA12" t="n">
        <v>-3.02174378561915</v>
      </c>
      <c r="AB12" t="n">
        <v>6.86505878370247</v>
      </c>
      <c r="AC12" t="n">
        <v>2.38415995272143</v>
      </c>
      <c r="AD12" t="n">
        <v>-1.8153841192263</v>
      </c>
      <c r="AE12" t="n">
        <v>1.9750338643615</v>
      </c>
      <c r="AF12"/>
    </row>
    <row r="13">
      <c r="A13" t="s">
        <v>130</v>
      </c>
      <c r="B13" t="s">
        <v>283</v>
      </c>
      <c r="C13" t="s">
        <v>131</v>
      </c>
      <c r="D13" t="s">
        <v>284</v>
      </c>
      <c r="E13" t="s">
        <v>60</v>
      </c>
      <c r="F13" t="n">
        <v>4.66186997637825</v>
      </c>
      <c r="G13" t="n">
        <v>1.80647287832158</v>
      </c>
      <c r="H13" t="n">
        <v>2.56055451065533</v>
      </c>
      <c r="I13" t="n">
        <v>-4.72229862328062</v>
      </c>
      <c r="J13" t="n">
        <v>2.46999136695907</v>
      </c>
      <c r="K13" t="n">
        <v>4.95570319509455</v>
      </c>
      <c r="L13" t="n">
        <v>-3.81330322464773</v>
      </c>
      <c r="M13" t="n">
        <v>-4.49811083690251</v>
      </c>
      <c r="N13" t="n">
        <v>4.08611946968413</v>
      </c>
      <c r="O13" t="n">
        <v>5.11539162641006</v>
      </c>
      <c r="P13" t="n">
        <v>6.46627142490326</v>
      </c>
      <c r="Q13" t="n">
        <v>0.160650607715152</v>
      </c>
      <c r="R13" t="n">
        <v>0.607058720845672</v>
      </c>
      <c r="S13" t="n">
        <v>-0.871730024454303</v>
      </c>
      <c r="T13" t="n">
        <v>-16.2499545135169</v>
      </c>
      <c r="U13" t="n">
        <v>21.7850832444707</v>
      </c>
      <c r="V13" t="n">
        <v>-14.4406514864247</v>
      </c>
      <c r="W13" t="n">
        <v>5.21866744910563</v>
      </c>
      <c r="X13" t="n">
        <v>4.52140958337461</v>
      </c>
      <c r="Y13" t="n">
        <v>1.04131714530851</v>
      </c>
      <c r="Z13" t="n">
        <v>0.999372353408292</v>
      </c>
      <c r="AA13" t="n">
        <v>-2.58201709103529</v>
      </c>
      <c r="AB13" t="n">
        <v>-0.880923198042748</v>
      </c>
      <c r="AC13" t="n">
        <v>-4.68250098584894</v>
      </c>
      <c r="AD13" t="n">
        <v>-4.2117414233059</v>
      </c>
      <c r="AE13" t="n">
        <v>-4.8659696330305</v>
      </c>
      <c r="AF13"/>
    </row>
    <row r="14">
      <c r="A14" t="s">
        <v>132</v>
      </c>
      <c r="B14" t="s">
        <v>283</v>
      </c>
      <c r="C14" t="s">
        <v>133</v>
      </c>
      <c r="D14" t="s">
        <v>284</v>
      </c>
      <c r="E14" t="s">
        <v>60</v>
      </c>
      <c r="F14" t="n">
        <v>11.589003830956</v>
      </c>
      <c r="G14" t="n">
        <v>13.9112823677207</v>
      </c>
      <c r="H14" t="n">
        <v>9.40355090455105</v>
      </c>
      <c r="I14" t="n">
        <v>-0.665434904038563</v>
      </c>
      <c r="J14" t="n">
        <v>5.74896005226781</v>
      </c>
      <c r="K14" t="n">
        <v>12.9845623823288</v>
      </c>
      <c r="L14" t="n">
        <v>-8.5807563582709</v>
      </c>
      <c r="M14" t="n">
        <v>11.9724548230183</v>
      </c>
      <c r="N14" t="n">
        <v>23.3196911877517</v>
      </c>
      <c r="O14" t="n">
        <v>15.8134636925607</v>
      </c>
      <c r="P14" t="n">
        <v>10.9579462538047</v>
      </c>
      <c r="Q14" t="n">
        <v>7.32177921952541</v>
      </c>
      <c r="R14" t="n">
        <v>11.0819409363321</v>
      </c>
      <c r="S14" t="n">
        <v>5.72436067365764</v>
      </c>
      <c r="T14" t="n">
        <v>-5.84062170932735</v>
      </c>
      <c r="U14" t="n">
        <v>22.9515043779407</v>
      </c>
      <c r="V14" t="n">
        <v>0.564780461189574</v>
      </c>
      <c r="W14" t="n">
        <v>1.95355144745962</v>
      </c>
      <c r="X14" t="n">
        <v>1.59977219168531</v>
      </c>
      <c r="Y14" t="n">
        <v>10.1576469073781</v>
      </c>
      <c r="Z14" t="n">
        <v>5.10018881830797</v>
      </c>
      <c r="AA14" t="n">
        <v>0.956209921264481</v>
      </c>
      <c r="AB14" t="n">
        <v>-2.62328197430336</v>
      </c>
      <c r="AC14" t="n">
        <v>8.21714205123325</v>
      </c>
      <c r="AD14" t="n">
        <v>-3.26676192950913</v>
      </c>
      <c r="AE14" t="n">
        <v>3.4158256653707</v>
      </c>
      <c r="AF14"/>
    </row>
    <row r="15">
      <c r="A15" t="s">
        <v>134</v>
      </c>
      <c r="B15" t="s">
        <v>283</v>
      </c>
      <c r="C15" t="s">
        <v>135</v>
      </c>
      <c r="D15" t="s">
        <v>284</v>
      </c>
      <c r="E15" t="s">
        <v>60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136</v>
      </c>
      <c r="B16" t="s">
        <v>283</v>
      </c>
      <c r="C16" t="s">
        <v>137</v>
      </c>
      <c r="D16" t="s">
        <v>284</v>
      </c>
      <c r="E16" t="s">
        <v>60</v>
      </c>
      <c r="F16" t="n">
        <v>4.41490695676387</v>
      </c>
      <c r="G16" t="n">
        <v>-4.93816481927976</v>
      </c>
      <c r="H16" t="n">
        <v>-1.66586368319304</v>
      </c>
      <c r="I16" t="n">
        <v>-4.37883204673906</v>
      </c>
      <c r="J16" t="n">
        <v>-6.70716103773497</v>
      </c>
      <c r="K16" t="n">
        <v>3.12388792088217</v>
      </c>
      <c r="L16" t="n">
        <v>-8.57916741753715</v>
      </c>
      <c r="M16" t="n">
        <v>-4.43870512393945</v>
      </c>
      <c r="N16" t="n">
        <v>11.5983183330973</v>
      </c>
      <c r="O16" t="n">
        <v>6.42958594965868</v>
      </c>
      <c r="P16" t="n">
        <v>2.91776050118185</v>
      </c>
      <c r="Q16" t="n">
        <v>3.55348702672787</v>
      </c>
      <c r="R16" t="n">
        <v>6.8795146249224</v>
      </c>
      <c r="S16" t="n">
        <v>-2.61822510573047</v>
      </c>
      <c r="T16" t="n">
        <v>-13.2378600410617</v>
      </c>
      <c r="U16" t="n">
        <v>15.6376693874242</v>
      </c>
      <c r="V16" t="n">
        <v>3.51432121560575</v>
      </c>
      <c r="W16" t="n">
        <v>2.51065211839287</v>
      </c>
      <c r="X16" t="n">
        <v>0.709016526454159</v>
      </c>
      <c r="Y16" t="n">
        <v>11.6385843753793</v>
      </c>
      <c r="Z16" t="n">
        <v>-2.16388433877027</v>
      </c>
      <c r="AA16" t="n">
        <v>0.80391085962745</v>
      </c>
      <c r="AB16" t="n">
        <v>12.0729756621623</v>
      </c>
      <c r="AC16" t="n">
        <v>7.55024496203174</v>
      </c>
      <c r="AD16" t="n">
        <v>-1.80635506426087</v>
      </c>
      <c r="AE16" t="n">
        <v>-4.45977926220247</v>
      </c>
      <c r="AF16"/>
    </row>
    <row r="17">
      <c r="A17" t="s">
        <v>138</v>
      </c>
      <c r="B17" t="s">
        <v>283</v>
      </c>
      <c r="C17" t="s">
        <v>139</v>
      </c>
      <c r="D17" t="s">
        <v>284</v>
      </c>
      <c r="E17" t="s">
        <v>60</v>
      </c>
      <c r="F17" t="n">
        <v>5.35064228090347</v>
      </c>
      <c r="G17" t="n">
        <v>2.00772443380757</v>
      </c>
      <c r="H17" t="n">
        <v>1.69054344389059</v>
      </c>
      <c r="I17" t="n">
        <v>-4.87350726693834</v>
      </c>
      <c r="J17" t="n">
        <v>-2.61179621177047</v>
      </c>
      <c r="K17" t="n">
        <v>2.8553601629934</v>
      </c>
      <c r="L17" t="n">
        <v>-5.04205944266639</v>
      </c>
      <c r="M17" t="n">
        <v>-7.35969436735206</v>
      </c>
      <c r="N17" t="n">
        <v>8.77735233656082</v>
      </c>
      <c r="O17" t="n">
        <v>7.9583505449967</v>
      </c>
      <c r="P17" t="n">
        <v>4.788935079739</v>
      </c>
      <c r="Q17" t="n">
        <v>3.71860507267105</v>
      </c>
      <c r="R17" t="n">
        <v>1.49407592291994</v>
      </c>
      <c r="S17" t="n">
        <v>1.73217104349115</v>
      </c>
      <c r="T17" t="n">
        <v>-23.7026116388786</v>
      </c>
      <c r="U17" t="n">
        <v>12.273521188897</v>
      </c>
      <c r="V17" t="n">
        <v>10.6767646244422</v>
      </c>
      <c r="W17" t="n">
        <v>-2.79302532751807</v>
      </c>
      <c r="X17" t="n">
        <v>-2.46696103026526</v>
      </c>
      <c r="Y17" t="n">
        <v>1.37318331092848</v>
      </c>
      <c r="Z17" t="n">
        <v>3.95301988108847</v>
      </c>
      <c r="AA17" t="n">
        <v>-3.2887813196611</v>
      </c>
      <c r="AB17" t="n">
        <v>7.27042567006638</v>
      </c>
      <c r="AC17" t="n">
        <v>5.32849327707652</v>
      </c>
      <c r="AD17" t="n">
        <v>-1.46627883481126</v>
      </c>
      <c r="AE17" t="n">
        <v>-5.34695946456937</v>
      </c>
      <c r="AF17"/>
    </row>
    <row r="18">
      <c r="A18" t="s">
        <v>140</v>
      </c>
      <c r="B18" t="s">
        <v>283</v>
      </c>
      <c r="C18" t="s">
        <v>141</v>
      </c>
      <c r="D18" t="s">
        <v>284</v>
      </c>
      <c r="E18" t="s">
        <v>60</v>
      </c>
      <c r="F18" t="n">
        <v>5.4139772946355</v>
      </c>
      <c r="G18" t="n">
        <v>-2.52603865196273</v>
      </c>
      <c r="H18" t="n">
        <v>-7.12862575051269</v>
      </c>
      <c r="I18" t="n">
        <v>2.49916924891025</v>
      </c>
      <c r="J18" t="n">
        <v>4.28193795739145</v>
      </c>
      <c r="K18" t="n">
        <v>4.0296280824207</v>
      </c>
      <c r="L18" t="n">
        <v>0.177414594703545</v>
      </c>
      <c r="M18" t="n">
        <v>10.2114403283805</v>
      </c>
      <c r="N18" t="n">
        <v>-4.60345055822459</v>
      </c>
      <c r="O18" t="n">
        <v>4.91577095636929</v>
      </c>
      <c r="P18" t="n">
        <v>7.20540489830096</v>
      </c>
      <c r="Q18" t="n">
        <v>-2.02403845338887</v>
      </c>
      <c r="R18" t="n">
        <v>4.07605186236944</v>
      </c>
      <c r="S18" t="n">
        <v>1.72154610014283</v>
      </c>
      <c r="T18" t="n">
        <v>-18.8999801385849</v>
      </c>
      <c r="U18" t="n">
        <v>18.4578774466659</v>
      </c>
      <c r="V18" t="n">
        <v>-10.1732751311455</v>
      </c>
      <c r="W18" t="n">
        <v>7.32694336679905</v>
      </c>
      <c r="X18" t="n">
        <v>-14.6801965434443</v>
      </c>
      <c r="Y18" t="n">
        <v>-0.36152418381866</v>
      </c>
      <c r="Z18" t="n">
        <v>-4.36495245998213</v>
      </c>
      <c r="AA18" t="n">
        <v>-3.75853055767729</v>
      </c>
      <c r="AB18" t="n">
        <v>2.95095146200077</v>
      </c>
      <c r="AC18" t="n">
        <v>0.876031329037902</v>
      </c>
      <c r="AD18" t="n">
        <v>-2.2028180192413</v>
      </c>
      <c r="AE18" t="n">
        <v>-5.99735237390501</v>
      </c>
      <c r="AF18"/>
    </row>
    <row r="19">
      <c r="A19" t="s">
        <v>142</v>
      </c>
      <c r="B19" t="s">
        <v>283</v>
      </c>
      <c r="C19" t="s">
        <v>143</v>
      </c>
      <c r="D19" t="s">
        <v>284</v>
      </c>
      <c r="E19" t="s">
        <v>60</v>
      </c>
      <c r="F19" t="n">
        <v>-2.14851383973336</v>
      </c>
      <c r="G19" t="n">
        <v>6.19950288201647</v>
      </c>
      <c r="H19" t="n">
        <v>12.0235932837017</v>
      </c>
      <c r="I19" t="n">
        <v>2.44709407831064</v>
      </c>
      <c r="J19" t="n">
        <v>7.11485210962049</v>
      </c>
      <c r="K19" t="n">
        <v>8.19041840295214</v>
      </c>
      <c r="L19" t="n">
        <v>-2.27479996382667</v>
      </c>
      <c r="M19" t="n">
        <v>6.83134966383214</v>
      </c>
      <c r="N19" t="n">
        <v>2.67081307818951</v>
      </c>
      <c r="O19" t="n">
        <v>4.9417053120637</v>
      </c>
      <c r="P19" t="n">
        <v>4.54921752429316</v>
      </c>
      <c r="Q19" t="n">
        <v>-6.39006453671136</v>
      </c>
      <c r="R19" t="n">
        <v>0.0474760270903868</v>
      </c>
      <c r="S19" t="n">
        <v>0.413634579339271</v>
      </c>
      <c r="T19" t="n">
        <v>-21.606239629798</v>
      </c>
      <c r="U19" t="n">
        <v>6.97218782020505</v>
      </c>
      <c r="V19" t="n">
        <v>1.87561980037031</v>
      </c>
      <c r="W19" t="n">
        <v>-2.89589158774723</v>
      </c>
      <c r="X19" t="n">
        <v>8.59233684344987</v>
      </c>
      <c r="Y19" t="n">
        <v>6.93716677664192</v>
      </c>
      <c r="Z19" t="n">
        <v>1.52953829264903</v>
      </c>
      <c r="AA19" t="n">
        <v>-10.9337543698366</v>
      </c>
      <c r="AB19" t="n">
        <v>10.2173042656881</v>
      </c>
      <c r="AC19" t="n">
        <v>8.44112152891613</v>
      </c>
      <c r="AD19" t="n">
        <v>4.18717185649824</v>
      </c>
      <c r="AE19" t="n">
        <v>3.75594394971075</v>
      </c>
      <c r="AF19"/>
    </row>
    <row r="20">
      <c r="A20" t="s">
        <v>144</v>
      </c>
      <c r="B20" t="s">
        <v>283</v>
      </c>
      <c r="C20" t="s">
        <v>145</v>
      </c>
      <c r="D20" t="s">
        <v>284</v>
      </c>
      <c r="E20" t="s">
        <v>60</v>
      </c>
      <c r="F20" t="n">
        <v>-2.20418880169261</v>
      </c>
      <c r="G20" t="n">
        <v>7.48192788981942</v>
      </c>
      <c r="H20" t="n">
        <v>1.77089393509616</v>
      </c>
      <c r="I20" t="n">
        <v>0.443622248226793</v>
      </c>
      <c r="J20" t="n">
        <v>-0.0114045612961207</v>
      </c>
      <c r="K20" t="n">
        <v>3.05758669500777</v>
      </c>
      <c r="L20" t="n">
        <v>2.59812359862954</v>
      </c>
      <c r="M20" t="n">
        <v>0.804671655183145</v>
      </c>
      <c r="N20" t="n">
        <v>1.43767370238468</v>
      </c>
      <c r="O20" t="n">
        <v>4.84451353974443</v>
      </c>
      <c r="P20" t="n">
        <v>7.13983961931281</v>
      </c>
      <c r="Q20" t="n">
        <v>0.278936627079219</v>
      </c>
      <c r="R20" t="n">
        <v>-5.98569940882851</v>
      </c>
      <c r="S20" t="n">
        <v>8.97554271574084</v>
      </c>
      <c r="T20" t="n">
        <v>-43.5730288438149</v>
      </c>
      <c r="U20" t="n">
        <v>17.2342951800038</v>
      </c>
      <c r="V20" t="n">
        <v>-21.8490487073588</v>
      </c>
      <c r="W20" t="n">
        <v>-34.3616314205597</v>
      </c>
      <c r="X20" t="n">
        <v>19.3379684551294</v>
      </c>
      <c r="Y20" t="n">
        <v>11.7537470880552</v>
      </c>
      <c r="Z20" t="n">
        <v>-5.99999409454447</v>
      </c>
      <c r="AA20" t="n">
        <v>-2.20905922506528</v>
      </c>
      <c r="AB20" t="n">
        <v>12.8961685975129</v>
      </c>
      <c r="AC20" t="n">
        <v>1.7847123739151</v>
      </c>
      <c r="AD20" t="n">
        <v>-3.2031486105587</v>
      </c>
      <c r="AE20" t="n">
        <v>-9.79780932727708</v>
      </c>
      <c r="AF20"/>
    </row>
    <row r="21">
      <c r="A21" t="s">
        <v>146</v>
      </c>
      <c r="B21" t="s">
        <v>283</v>
      </c>
      <c r="C21" t="s">
        <v>147</v>
      </c>
      <c r="D21" t="s">
        <v>284</v>
      </c>
      <c r="E21" t="s">
        <v>60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148</v>
      </c>
      <c r="B22" t="s">
        <v>283</v>
      </c>
      <c r="C22" t="s">
        <v>149</v>
      </c>
      <c r="D22" t="s">
        <v>284</v>
      </c>
      <c r="E22" t="s">
        <v>60</v>
      </c>
      <c r="F22" t="n">
        <v>-0.996055559612949</v>
      </c>
      <c r="G22" t="n">
        <v>3.4835750213863</v>
      </c>
      <c r="H22" t="n">
        <v>-0.809267633097339</v>
      </c>
      <c r="I22" t="n">
        <v>-1.68087663034337</v>
      </c>
      <c r="J22" t="n">
        <v>0.97432953442691</v>
      </c>
      <c r="K22" t="n">
        <v>-1.85848343308678</v>
      </c>
      <c r="L22" t="n">
        <v>-0.357957738323451</v>
      </c>
      <c r="M22" t="n">
        <v>-2.48111286851714</v>
      </c>
      <c r="N22" t="n">
        <v>-1.24288428111119</v>
      </c>
      <c r="O22" t="n">
        <v>-1.84097816666111</v>
      </c>
      <c r="P22" t="n">
        <v>-2.48327369371082</v>
      </c>
      <c r="Q22" t="n">
        <v>-2.32461844126208</v>
      </c>
      <c r="R22" t="n">
        <v>3.40786182859403</v>
      </c>
      <c r="S22" t="n">
        <v>-1.12917200154492</v>
      </c>
      <c r="T22" t="n">
        <v>-4.29275868076566</v>
      </c>
      <c r="U22" t="n">
        <v>-3.17979573222419</v>
      </c>
      <c r="V22" t="n">
        <v>2.42318889949078</v>
      </c>
      <c r="W22" t="n">
        <v>-0.479356465396815</v>
      </c>
      <c r="X22" t="n">
        <v>1.88379607828068</v>
      </c>
      <c r="Y22" t="n">
        <v>2.7322581543131</v>
      </c>
      <c r="Z22" t="n">
        <v>0.153495170179271</v>
      </c>
      <c r="AA22" t="n">
        <v>-1.17730840525408</v>
      </c>
      <c r="AB22" t="n">
        <v>5.97715933207046</v>
      </c>
      <c r="AC22" t="n">
        <v>2.73068157073976</v>
      </c>
      <c r="AD22" t="n">
        <v>1.25719575996525</v>
      </c>
      <c r="AE22" t="n">
        <v>-0.152275081494134</v>
      </c>
      <c r="AF22"/>
    </row>
    <row r="23">
      <c r="A23" t="s">
        <v>150</v>
      </c>
      <c r="B23" t="s">
        <v>283</v>
      </c>
      <c r="C23" t="s">
        <v>151</v>
      </c>
      <c r="D23" t="s">
        <v>284</v>
      </c>
      <c r="E23" t="s">
        <v>60</v>
      </c>
      <c r="F23" t="n">
        <v>-5.73456655108037</v>
      </c>
      <c r="G23" t="n">
        <v>1.38900740303944</v>
      </c>
      <c r="H23" t="n">
        <v>-8.65602529724067</v>
      </c>
      <c r="I23" t="n">
        <v>0.663761495630104</v>
      </c>
      <c r="J23" t="n">
        <v>-1.09905508173637</v>
      </c>
      <c r="K23" t="n">
        <v>-6.51815175659851</v>
      </c>
      <c r="L23" t="n">
        <v>1.01988589260448</v>
      </c>
      <c r="M23" t="n">
        <v>-2.92064896623801</v>
      </c>
      <c r="N23" t="n">
        <v>-4.38084704368222</v>
      </c>
      <c r="O23" t="n">
        <v>-5.69879107073804</v>
      </c>
      <c r="P23" t="n">
        <v>0.148098353556182</v>
      </c>
      <c r="Q23" t="n">
        <v>-0.0961566213163987</v>
      </c>
      <c r="R23" t="n">
        <v>-8.14767554174871</v>
      </c>
      <c r="S23" t="n">
        <v>-4.55995525440637</v>
      </c>
      <c r="T23" t="n">
        <v>3.69427071318681</v>
      </c>
      <c r="U23" t="n">
        <v>-2.68653501317994</v>
      </c>
      <c r="V23" t="n">
        <v>0.0798872112999508</v>
      </c>
      <c r="W23" t="n">
        <v>-0.349757221691508</v>
      </c>
      <c r="X23" t="n">
        <v>8.05397957463557</v>
      </c>
      <c r="Y23" t="n">
        <v>-1.16157505406415</v>
      </c>
      <c r="Z23" t="n">
        <v>3.81520989889707</v>
      </c>
      <c r="AA23" t="n">
        <v>5.63651700816808</v>
      </c>
      <c r="AB23" t="n">
        <v>1.05497610505236</v>
      </c>
      <c r="AC23" t="n">
        <v>0.438846099469566</v>
      </c>
      <c r="AD23" t="n">
        <v>1.19545080918914</v>
      </c>
      <c r="AE23" t="n">
        <v>4.59247556108467</v>
      </c>
      <c r="AF23"/>
    </row>
    <row r="24">
      <c r="A24" t="s">
        <v>152</v>
      </c>
      <c r="B24" t="s">
        <v>283</v>
      </c>
      <c r="C24" t="s">
        <v>153</v>
      </c>
      <c r="D24" t="s">
        <v>284</v>
      </c>
      <c r="E24" t="s">
        <v>60</v>
      </c>
      <c r="F24" t="n">
        <v>3.30057096008651</v>
      </c>
      <c r="G24" t="n">
        <v>1.18957174222081</v>
      </c>
      <c r="H24" t="n">
        <v>2.52854832994757</v>
      </c>
      <c r="I24" t="n">
        <v>-3.03311668445577</v>
      </c>
      <c r="J24" t="n">
        <v>-1.00009843454899</v>
      </c>
      <c r="K24" t="n">
        <v>-1.97071229074444</v>
      </c>
      <c r="L24" t="n">
        <v>4.24074553879404</v>
      </c>
      <c r="M24" t="n">
        <v>3.7661134390235</v>
      </c>
      <c r="N24" t="n">
        <v>0.483193752659483</v>
      </c>
      <c r="O24" t="n">
        <v>2.10661228898948</v>
      </c>
      <c r="P24" t="n">
        <v>0.818204605362809</v>
      </c>
      <c r="Q24" t="n">
        <v>-4.70312025255635</v>
      </c>
      <c r="R24" t="n">
        <v>-3.19788170519736</v>
      </c>
      <c r="S24" t="n">
        <v>-1.66189617275729</v>
      </c>
      <c r="T24" t="n">
        <v>-2.64597100492984</v>
      </c>
      <c r="U24" t="n">
        <v>0.896907950160139</v>
      </c>
      <c r="V24" t="n">
        <v>1.6547283318008</v>
      </c>
      <c r="W24" t="n">
        <v>3.78224566615079</v>
      </c>
      <c r="X24" t="n">
        <v>2.66509273684221</v>
      </c>
      <c r="Y24" t="n">
        <v>-4.19596221477636</v>
      </c>
      <c r="Z24" t="n">
        <v>-1.04216514029497</v>
      </c>
      <c r="AA24" t="n">
        <v>-1.86931726414567</v>
      </c>
      <c r="AB24" t="n">
        <v>2.65039959183397</v>
      </c>
      <c r="AC24" t="n">
        <v>0.0912149115029637</v>
      </c>
      <c r="AD24" t="n">
        <v>-0.806878534461685</v>
      </c>
      <c r="AE24" t="n">
        <v>1.13797104594558</v>
      </c>
      <c r="AF24"/>
    </row>
    <row r="25">
      <c r="A25" t="s">
        <v>154</v>
      </c>
      <c r="B25" t="s">
        <v>283</v>
      </c>
      <c r="C25" t="s">
        <v>155</v>
      </c>
      <c r="D25" t="s">
        <v>284</v>
      </c>
      <c r="E25" t="s">
        <v>60</v>
      </c>
      <c r="F25" t="n">
        <v>1.07799047241601</v>
      </c>
      <c r="G25" t="n">
        <v>6.57978574797802</v>
      </c>
      <c r="H25" t="n">
        <v>1.01483760070191</v>
      </c>
      <c r="I25" t="n">
        <v>1.43320015635108</v>
      </c>
      <c r="J25" t="n">
        <v>8.0339772914348</v>
      </c>
      <c r="K25" t="n">
        <v>6.28618793594676</v>
      </c>
      <c r="L25" t="n">
        <v>-13.6586714323981</v>
      </c>
      <c r="M25" t="n">
        <v>-1.89067888331969</v>
      </c>
      <c r="N25" t="n">
        <v>-3.76299856408098</v>
      </c>
      <c r="O25" t="n">
        <v>-1.65116270227</v>
      </c>
      <c r="P25" t="n">
        <v>-20.7619048408987</v>
      </c>
      <c r="Q25" t="n">
        <v>-13.1000030984546</v>
      </c>
      <c r="R25" t="n">
        <v>-9.19218782684601</v>
      </c>
      <c r="S25" t="n">
        <v>-15.8911516789917</v>
      </c>
      <c r="T25" t="n">
        <v>-25.6529489241964</v>
      </c>
      <c r="U25" t="n">
        <v>-6.75327051938322</v>
      </c>
      <c r="V25" t="n">
        <v>-24.4659867070418</v>
      </c>
      <c r="W25" t="n">
        <v>8.22690901622452</v>
      </c>
      <c r="X25" t="n">
        <v>9.81310435330851</v>
      </c>
      <c r="Y25" t="n">
        <v>12.5576024110128</v>
      </c>
      <c r="Z25" t="n">
        <v>7.19845119296077</v>
      </c>
      <c r="AA25" t="n">
        <v>1.90736386342815</v>
      </c>
      <c r="AB25" t="n">
        <v>7.83741515665526</v>
      </c>
      <c r="AC25" t="n">
        <v>-0.260506556744113</v>
      </c>
      <c r="AD25" t="n">
        <v>-0.764154969246108</v>
      </c>
      <c r="AE25" t="n">
        <v>3.96139520949271</v>
      </c>
      <c r="AF25"/>
    </row>
    <row r="26">
      <c r="A26" t="s">
        <v>156</v>
      </c>
      <c r="B26" t="s">
        <v>283</v>
      </c>
      <c r="C26" t="s">
        <v>157</v>
      </c>
      <c r="D26" t="s">
        <v>284</v>
      </c>
      <c r="E26" t="s">
        <v>60</v>
      </c>
      <c r="F26" t="n">
        <v>3.85766523184245</v>
      </c>
      <c r="G26" t="n">
        <v>2.48984268619314</v>
      </c>
      <c r="H26" t="n">
        <v>5.39776345258832</v>
      </c>
      <c r="I26" t="n">
        <v>-0.426941348182005</v>
      </c>
      <c r="J26" t="n">
        <v>0.0630682518748396</v>
      </c>
      <c r="K26" t="n">
        <v>-1.3842132535574</v>
      </c>
      <c r="L26" t="n">
        <v>4.92430670230758</v>
      </c>
      <c r="M26" t="n">
        <v>4.88754234939895</v>
      </c>
      <c r="N26" t="n">
        <v>0.585045659971847</v>
      </c>
      <c r="O26" t="n">
        <v>6.44588537247298</v>
      </c>
      <c r="P26" t="n">
        <v>5.68885364813524</v>
      </c>
      <c r="Q26" t="n">
        <v>-3.50392218095471</v>
      </c>
      <c r="R26" t="n">
        <v>-6.51239515200105</v>
      </c>
      <c r="S26" t="n">
        <v>-3.257645647202</v>
      </c>
      <c r="T26" t="n">
        <v>-7.59447730192787</v>
      </c>
      <c r="U26" t="n">
        <v>2.13174121227013</v>
      </c>
      <c r="V26" t="n">
        <v>3.01794521153948</v>
      </c>
      <c r="W26" t="n">
        <v>0.0531792084066798</v>
      </c>
      <c r="X26" t="n">
        <v>-0.619003303393364</v>
      </c>
      <c r="Y26" t="n">
        <v>-10.9116147282955</v>
      </c>
      <c r="Z26" t="n">
        <v>-4.80984779571503</v>
      </c>
      <c r="AA26" t="n">
        <v>-1.64294654342918</v>
      </c>
      <c r="AB26" t="n">
        <v>4.92208855318383</v>
      </c>
      <c r="AC26" t="n">
        <v>0.404459334268247</v>
      </c>
      <c r="AD26" t="n">
        <v>-3.49366152506681</v>
      </c>
      <c r="AE26" t="n">
        <v>-2.74610054022812</v>
      </c>
      <c r="AF26"/>
    </row>
    <row r="27">
      <c r="A27" t="s">
        <v>158</v>
      </c>
      <c r="B27" t="s">
        <v>283</v>
      </c>
      <c r="C27" t="s">
        <v>159</v>
      </c>
      <c r="D27" t="s">
        <v>284</v>
      </c>
      <c r="E27" t="s">
        <v>60</v>
      </c>
      <c r="F27" t="n">
        <v>3.08451024207608</v>
      </c>
      <c r="G27" t="n">
        <v>-0.839183948139798</v>
      </c>
      <c r="H27" t="n">
        <v>-2.16249113831088</v>
      </c>
      <c r="I27" t="n">
        <v>-7.29796117793377</v>
      </c>
      <c r="J27" t="n">
        <v>-2.88476185195202</v>
      </c>
      <c r="K27" t="n">
        <v>-2.18391564097378</v>
      </c>
      <c r="L27" t="n">
        <v>6.97127877623635</v>
      </c>
      <c r="M27" t="n">
        <v>5.06056446102533</v>
      </c>
      <c r="N27" t="n">
        <v>1.7234454765299</v>
      </c>
      <c r="O27" t="n">
        <v>-3.59325950181207</v>
      </c>
      <c r="P27" t="n">
        <v>-6.03557959341782</v>
      </c>
      <c r="Q27" t="n">
        <v>-4.55781549019513</v>
      </c>
      <c r="R27" t="n">
        <v>2.94475213001232</v>
      </c>
      <c r="S27" t="n">
        <v>1.20994978755739</v>
      </c>
      <c r="T27" t="n">
        <v>8.21184942559589</v>
      </c>
      <c r="U27" t="n">
        <v>0.466443805485579</v>
      </c>
      <c r="V27" t="n">
        <v>0.485951953625157</v>
      </c>
      <c r="W27" t="n">
        <v>9.47065527850291</v>
      </c>
      <c r="X27" t="n">
        <v>7.32744233294293</v>
      </c>
      <c r="Y27" t="n">
        <v>2.57897558770695</v>
      </c>
      <c r="Z27" t="n">
        <v>2.08988231603562</v>
      </c>
      <c r="AA27" t="n">
        <v>-2.71715169906031</v>
      </c>
      <c r="AB27" t="n">
        <v>-0.520796870193556</v>
      </c>
      <c r="AC27" t="n">
        <v>-0.858832987954762</v>
      </c>
      <c r="AD27" t="n">
        <v>2.56826836331375</v>
      </c>
      <c r="AE27" t="n">
        <v>3.57118558152141</v>
      </c>
      <c r="AF27"/>
    </row>
    <row r="28">
      <c r="A28" t="s">
        <v>160</v>
      </c>
      <c r="B28" t="s">
        <v>283</v>
      </c>
      <c r="C28" t="s">
        <v>161</v>
      </c>
      <c r="D28" t="s">
        <v>284</v>
      </c>
      <c r="E28" t="s">
        <v>60</v>
      </c>
      <c r="F28" t="n">
        <v>1.41365240501984</v>
      </c>
      <c r="G28" t="n">
        <v>-7.29761776658446</v>
      </c>
      <c r="H28" t="n">
        <v>0.3307410768623</v>
      </c>
      <c r="I28" t="n">
        <v>-3.62823934034102</v>
      </c>
      <c r="J28" t="n">
        <v>-2.2292442534258</v>
      </c>
      <c r="K28" t="n">
        <v>-0.4189019501767</v>
      </c>
      <c r="L28" t="n">
        <v>2.4625610483793</v>
      </c>
      <c r="M28" t="n">
        <v>1.85551463128453</v>
      </c>
      <c r="N28" t="n">
        <v>0.969912216789494</v>
      </c>
      <c r="O28" t="n">
        <v>4.42261300365877</v>
      </c>
      <c r="P28" t="n">
        <v>1.56328156711417</v>
      </c>
      <c r="Q28" t="n">
        <v>2.34904380542138</v>
      </c>
      <c r="R28" t="n">
        <v>1.64638922987884</v>
      </c>
      <c r="S28" t="n">
        <v>-0.819991072419453</v>
      </c>
      <c r="T28" t="n">
        <v>-13.412999802129</v>
      </c>
      <c r="U28" t="n">
        <v>1.65991326384863</v>
      </c>
      <c r="V28" t="n">
        <v>-0.227735865652269</v>
      </c>
      <c r="W28" t="n">
        <v>1.38879315870498</v>
      </c>
      <c r="X28" t="n">
        <v>-0.01315212995706</v>
      </c>
      <c r="Y28" t="n">
        <v>0.942203897880299</v>
      </c>
      <c r="Z28" t="n">
        <v>-0.840145638457096</v>
      </c>
      <c r="AA28" t="n">
        <v>-0.402514309850334</v>
      </c>
      <c r="AB28" t="n">
        <v>1.56797367517957</v>
      </c>
      <c r="AC28" t="n">
        <v>-0.501517444371289</v>
      </c>
      <c r="AD28" t="n">
        <v>-0.103557560096666</v>
      </c>
      <c r="AE28" t="n">
        <v>-27.9530272814824</v>
      </c>
      <c r="AF28"/>
    </row>
    <row r="29">
      <c r="A29" t="s">
        <v>162</v>
      </c>
      <c r="B29" t="s">
        <v>283</v>
      </c>
      <c r="C29" t="s">
        <v>163</v>
      </c>
      <c r="D29" t="s">
        <v>284</v>
      </c>
      <c r="E29" t="s">
        <v>60</v>
      </c>
      <c r="F29" t="n">
        <v>-0.980593819361754</v>
      </c>
      <c r="G29" t="n">
        <v>-9.24858852132578</v>
      </c>
      <c r="H29" t="n">
        <v>0.427679193857318</v>
      </c>
      <c r="I29" t="n">
        <v>-3.15615807040924</v>
      </c>
      <c r="J29" t="n">
        <v>-0.10153619976741</v>
      </c>
      <c r="K29" t="n">
        <v>1.62709824379809</v>
      </c>
      <c r="L29" t="n">
        <v>5.2034461321615</v>
      </c>
      <c r="M29" t="n">
        <v>2.95614187432247</v>
      </c>
      <c r="N29" t="n">
        <v>1.86231142857176</v>
      </c>
      <c r="O29" t="n">
        <v>3.0476022450367</v>
      </c>
      <c r="P29" t="n">
        <v>2.43669356079979</v>
      </c>
      <c r="Q29" t="n">
        <v>2.76619445519041</v>
      </c>
      <c r="R29" t="n">
        <v>3.04159719416039</v>
      </c>
      <c r="S29" t="n">
        <v>0.313500673526001</v>
      </c>
      <c r="T29" t="n">
        <v>-10.6518354551462</v>
      </c>
      <c r="U29" t="n">
        <v>0.99041090563522</v>
      </c>
      <c r="V29" t="n">
        <v>-0.805314806701194</v>
      </c>
      <c r="W29" t="n">
        <v>1.9119262971636</v>
      </c>
      <c r="X29" t="n">
        <v>-0.118535763113453</v>
      </c>
      <c r="Y29" t="n">
        <v>1.93424406855718</v>
      </c>
      <c r="Z29" t="n">
        <v>-1.10348755678889</v>
      </c>
      <c r="AA29" t="n">
        <v>-0.769699620184486</v>
      </c>
      <c r="AB29" t="n">
        <v>2.14124470009014</v>
      </c>
      <c r="AC29" t="n">
        <v>2.06288378827784</v>
      </c>
      <c r="AD29" t="n">
        <v>1.04411432000931</v>
      </c>
      <c r="AE29" t="n">
        <v>-26.1118397986932</v>
      </c>
      <c r="AF29"/>
    </row>
    <row r="30">
      <c r="A30" t="s">
        <v>164</v>
      </c>
      <c r="B30" t="s">
        <v>283</v>
      </c>
      <c r="C30" t="s">
        <v>165</v>
      </c>
      <c r="D30" t="s">
        <v>284</v>
      </c>
      <c r="E30" t="s">
        <v>60</v>
      </c>
      <c r="F30" t="n">
        <v>18.3366551467987</v>
      </c>
      <c r="G30" t="n">
        <v>-21.2051307227302</v>
      </c>
      <c r="H30" t="n">
        <v>15.6525909120302</v>
      </c>
      <c r="I30" t="n">
        <v>10.5958115326203</v>
      </c>
      <c r="J30" t="n">
        <v>-3.27882614943537</v>
      </c>
      <c r="K30" t="n">
        <v>-7.8380133367323</v>
      </c>
      <c r="L30" t="n">
        <v>-4.79841158657181</v>
      </c>
      <c r="M30" t="n">
        <v>-0.924874084963438</v>
      </c>
      <c r="N30" t="n">
        <v>6.34078773979243</v>
      </c>
      <c r="O30" t="n">
        <v>8.04004635899577</v>
      </c>
      <c r="P30" t="n">
        <v>-6.5895847790531</v>
      </c>
      <c r="Q30" t="n">
        <v>1.77112435260341</v>
      </c>
      <c r="R30" t="n">
        <v>8.4312002837096</v>
      </c>
      <c r="S30" t="n">
        <v>3.65326945167635</v>
      </c>
      <c r="T30" t="n">
        <v>-20.6492090856696</v>
      </c>
      <c r="U30" t="n">
        <v>3.99410196064725</v>
      </c>
      <c r="V30" t="n">
        <v>3.77208933275252</v>
      </c>
      <c r="W30" t="n">
        <v>-14.6333098240821</v>
      </c>
      <c r="X30" t="n">
        <v>-24.8966520210566</v>
      </c>
      <c r="Y30" t="n">
        <v>-6.09140469902485</v>
      </c>
      <c r="Z30" t="n">
        <v>1.1268384541402</v>
      </c>
      <c r="AA30" t="n">
        <v>13.9393174983781</v>
      </c>
      <c r="AB30" t="n">
        <v>-4.42593461429984</v>
      </c>
      <c r="AC30" t="n">
        <v>-32.2255319326885</v>
      </c>
      <c r="AD30" t="n">
        <v>-7.7664149640969</v>
      </c>
      <c r="AE30" t="n">
        <v>1.71960203235384</v>
      </c>
      <c r="AF30"/>
    </row>
    <row r="31">
      <c r="A31" t="s">
        <v>166</v>
      </c>
      <c r="B31" t="s">
        <v>283</v>
      </c>
      <c r="C31" t="s">
        <v>167</v>
      </c>
      <c r="D31" t="s">
        <v>284</v>
      </c>
      <c r="E31" t="s">
        <v>60</v>
      </c>
      <c r="F31" t="n">
        <v>13.6543239607131</v>
      </c>
      <c r="G31" t="n">
        <v>9.2858971485263</v>
      </c>
      <c r="H31" t="n">
        <v>4.95495470779631</v>
      </c>
      <c r="I31" t="n">
        <v>-3.4607828300891</v>
      </c>
      <c r="J31" t="n">
        <v>3.24470987365858</v>
      </c>
      <c r="K31" t="n">
        <v>5.12619587004844</v>
      </c>
      <c r="L31" t="n">
        <v>-12.9777457423275</v>
      </c>
      <c r="M31" t="n">
        <v>-3.82192153760891</v>
      </c>
      <c r="N31" t="n">
        <v>-13.1458300076045</v>
      </c>
      <c r="O31" t="n">
        <v>4.88862257557979</v>
      </c>
      <c r="P31" t="n">
        <v>-7.33912385136883</v>
      </c>
      <c r="Q31" t="n">
        <v>4.33185950845606</v>
      </c>
      <c r="R31" t="n">
        <v>-11.4699936871616</v>
      </c>
      <c r="S31" t="n">
        <v>-28.0351251701112</v>
      </c>
      <c r="T31" t="n">
        <v>-48.1696744674716</v>
      </c>
      <c r="U31" t="n">
        <v>8.79427388333382</v>
      </c>
      <c r="V31" t="n">
        <v>1.48977205072568</v>
      </c>
      <c r="W31" t="n">
        <v>-5.05156880079836</v>
      </c>
      <c r="X31" t="n">
        <v>19.1828341464565</v>
      </c>
      <c r="Y31" t="n">
        <v>2.15953515342142</v>
      </c>
      <c r="Z31" t="n">
        <v>-6.45717922027838</v>
      </c>
      <c r="AA31" t="n">
        <v>-5.61224737119397</v>
      </c>
      <c r="AB31" t="n">
        <v>-0.452404976296206</v>
      </c>
      <c r="AC31" t="n">
        <v>-7.5847874957644</v>
      </c>
      <c r="AD31" t="n">
        <v>-5.69632940002596</v>
      </c>
      <c r="AE31" t="n">
        <v>-155.07581486009</v>
      </c>
      <c r="AF31"/>
    </row>
    <row r="32">
      <c r="A32" t="s">
        <v>168</v>
      </c>
      <c r="B32" t="s">
        <v>283</v>
      </c>
      <c r="C32" t="s">
        <v>169</v>
      </c>
      <c r="D32" t="s">
        <v>284</v>
      </c>
      <c r="E32" t="s">
        <v>60</v>
      </c>
      <c r="F32" t="n">
        <v>-0.765119564313095</v>
      </c>
      <c r="G32" t="n">
        <v>12.2575649573329</v>
      </c>
      <c r="H32" t="n">
        <v>-13.6248861550755</v>
      </c>
      <c r="I32" t="n">
        <v>-24.0131946398548</v>
      </c>
      <c r="J32" t="n">
        <v>-23.2746759162384</v>
      </c>
      <c r="K32" t="n">
        <v>-21.7504723742538</v>
      </c>
      <c r="L32" t="n">
        <v>4.31423036355045</v>
      </c>
      <c r="M32" t="n">
        <v>8.71532813640315</v>
      </c>
      <c r="N32" t="n">
        <v>4.23639148336523</v>
      </c>
      <c r="O32" t="n">
        <v>27.6225001255002</v>
      </c>
      <c r="P32" t="n">
        <v>14.8911357747652</v>
      </c>
      <c r="Q32" t="n">
        <v>2.52207584397401</v>
      </c>
      <c r="R32" t="n">
        <v>-0.77702648232827</v>
      </c>
      <c r="S32" t="n">
        <v>10.2169349006128</v>
      </c>
      <c r="T32" t="n">
        <v>-17.7911213360193</v>
      </c>
      <c r="U32" t="n">
        <v>12.6895960494916</v>
      </c>
      <c r="V32" t="n">
        <v>-0.0944104897349014</v>
      </c>
      <c r="W32" t="n">
        <v>25.3519787288728</v>
      </c>
      <c r="X32" t="n">
        <v>9.35274752962514</v>
      </c>
      <c r="Y32" t="n">
        <v>5.40446413214936</v>
      </c>
      <c r="Z32" t="n">
        <v>8.1505791793669</v>
      </c>
      <c r="AA32" t="n">
        <v>-7.25394431273185</v>
      </c>
      <c r="AB32" t="n">
        <v>5.03345138558374</v>
      </c>
      <c r="AC32" t="n">
        <v>-0.700286211276533</v>
      </c>
      <c r="AD32" t="n">
        <v>-5.56903382754393</v>
      </c>
      <c r="AE32" t="n">
        <v>-48.989263424163</v>
      </c>
      <c r="AF32"/>
    </row>
    <row r="33">
      <c r="A33" t="s">
        <v>170</v>
      </c>
      <c r="B33" t="s">
        <v>283</v>
      </c>
      <c r="C33" t="s">
        <v>171</v>
      </c>
      <c r="D33" t="s">
        <v>284</v>
      </c>
      <c r="E33" t="s">
        <v>60</v>
      </c>
      <c r="F33" t="n">
        <v>0.24469881014396</v>
      </c>
      <c r="G33" t="n">
        <v>2.35314555549428</v>
      </c>
      <c r="H33" t="n">
        <v>-4.47650441893401</v>
      </c>
      <c r="I33" t="n">
        <v>-3.98647458933433</v>
      </c>
      <c r="J33" t="n">
        <v>-4.42669951249144</v>
      </c>
      <c r="K33" t="n">
        <v>-2.71332027767</v>
      </c>
      <c r="L33" t="n">
        <v>-0.200424774475962</v>
      </c>
      <c r="M33" t="n">
        <v>-2.63228091091965</v>
      </c>
      <c r="N33" t="n">
        <v>-3.33737472879264</v>
      </c>
      <c r="O33" t="n">
        <v>1.18602831303861</v>
      </c>
      <c r="P33" t="n">
        <v>-0.572514550933839</v>
      </c>
      <c r="Q33" t="n">
        <v>-3.13438980290422</v>
      </c>
      <c r="R33" t="n">
        <v>-9.28250597027437</v>
      </c>
      <c r="S33" t="n">
        <v>-1.85573369250958</v>
      </c>
      <c r="T33" t="n">
        <v>-1.33655394968021</v>
      </c>
      <c r="U33" t="n">
        <v>-9.54031911273979</v>
      </c>
      <c r="V33" t="n">
        <v>4.67301171344952</v>
      </c>
      <c r="W33" t="n">
        <v>-3.0037629340519</v>
      </c>
      <c r="X33" t="n">
        <v>0.757056031912199</v>
      </c>
      <c r="Y33" t="n">
        <v>-4.54132884330936</v>
      </c>
      <c r="Z33" t="n">
        <v>-2.59443830600536</v>
      </c>
      <c r="AA33" t="n">
        <v>-1.72879469239964</v>
      </c>
      <c r="AB33" t="n">
        <v>0.603079270372086</v>
      </c>
      <c r="AC33" t="n">
        <v>5.91412540196418</v>
      </c>
      <c r="AD33" t="n">
        <v>5.62901227391472</v>
      </c>
      <c r="AE33" t="n">
        <v>3.89437844187365</v>
      </c>
      <c r="AF33"/>
    </row>
    <row r="34">
      <c r="A34" t="s">
        <v>172</v>
      </c>
      <c r="B34" t="s">
        <v>283</v>
      </c>
      <c r="C34" t="s">
        <v>173</v>
      </c>
      <c r="D34" t="s">
        <v>284</v>
      </c>
      <c r="E34" t="s">
        <v>60</v>
      </c>
      <c r="F34" t="n">
        <v>-1.45108391293286</v>
      </c>
      <c r="G34" t="n">
        <v>-0.553026819353607</v>
      </c>
      <c r="H34" t="n">
        <v>2.02347735470445</v>
      </c>
      <c r="I34" t="n">
        <v>0.0113985812436543</v>
      </c>
      <c r="J34" t="n">
        <v>-2.8259247224911</v>
      </c>
      <c r="K34" t="n">
        <v>-5.91415197820119</v>
      </c>
      <c r="L34" t="n">
        <v>0.495999554502276</v>
      </c>
      <c r="M34" t="n">
        <v>-2.02748790085726</v>
      </c>
      <c r="N34" t="n">
        <v>-0.488071238175711</v>
      </c>
      <c r="O34" t="n">
        <v>-6.09249466374585</v>
      </c>
      <c r="P34" t="n">
        <v>-2.66609958109676</v>
      </c>
      <c r="Q34" t="n">
        <v>-1.47137134821897</v>
      </c>
      <c r="R34" t="n">
        <v>1.35864259285901</v>
      </c>
      <c r="S34" t="n">
        <v>-4.25033053610281</v>
      </c>
      <c r="T34" t="n">
        <v>-6.8579791202365</v>
      </c>
      <c r="U34" t="n">
        <v>-1.7487923239394</v>
      </c>
      <c r="V34" t="n">
        <v>2.2288346004026</v>
      </c>
      <c r="W34" t="n">
        <v>-3.88214784360617</v>
      </c>
      <c r="X34" t="n">
        <v>7.45643706074844</v>
      </c>
      <c r="Y34" t="n">
        <v>2.23563892510118</v>
      </c>
      <c r="Z34" t="n">
        <v>-4.81349148666919</v>
      </c>
      <c r="AA34" t="n">
        <v>3.28368630584926</v>
      </c>
      <c r="AB34" t="n">
        <v>5.51700695032834</v>
      </c>
      <c r="AC34" t="n">
        <v>0.0437337162046765</v>
      </c>
      <c r="AD34" t="n">
        <v>-5.63600123922897</v>
      </c>
      <c r="AE34" t="n">
        <v>-30.3847615130056</v>
      </c>
      <c r="AF34"/>
    </row>
    <row r="35">
      <c r="A35" t="s">
        <v>174</v>
      </c>
      <c r="B35" t="s">
        <v>283</v>
      </c>
      <c r="C35" t="s">
        <v>175</v>
      </c>
      <c r="D35" t="s">
        <v>284</v>
      </c>
      <c r="E35" t="s">
        <v>60</v>
      </c>
      <c r="F35" t="n">
        <v>2.97773867797609</v>
      </c>
      <c r="G35" t="n">
        <v>9.62429974797762</v>
      </c>
      <c r="H35" t="n">
        <v>6.93170722795689</v>
      </c>
      <c r="I35" t="n">
        <v>4.84320571088385</v>
      </c>
      <c r="J35" t="n">
        <v>0.275207566775351</v>
      </c>
      <c r="K35" t="n">
        <v>-0.219848143737983</v>
      </c>
      <c r="L35" t="n">
        <v>3.24695840582972</v>
      </c>
      <c r="M35" t="n">
        <v>2.43036022355728</v>
      </c>
      <c r="N35" t="n">
        <v>-1.26078874112638</v>
      </c>
      <c r="O35" t="n">
        <v>-3.10659760728538</v>
      </c>
      <c r="P35" t="n">
        <v>-2.47003933436216</v>
      </c>
      <c r="Q35" t="n">
        <v>-2.72637535697089</v>
      </c>
      <c r="R35" t="n">
        <v>0.883559886093781</v>
      </c>
      <c r="S35" t="n">
        <v>-0.521765087352808</v>
      </c>
      <c r="T35" t="n">
        <v>-2.14180260712094</v>
      </c>
      <c r="U35" t="n">
        <v>-2.99456399022694</v>
      </c>
      <c r="V35" t="n">
        <v>-1.02305296688248</v>
      </c>
      <c r="W35" t="n">
        <v>2.38882073052835</v>
      </c>
      <c r="X35" t="n">
        <v>1.60656384212092</v>
      </c>
      <c r="Y35" t="n">
        <v>-2.61639337918185</v>
      </c>
      <c r="Z35" t="n">
        <v>4.07649761140484</v>
      </c>
      <c r="AA35" t="n">
        <v>-1.37946775622752</v>
      </c>
      <c r="AB35" t="n">
        <v>-1.76324281617186</v>
      </c>
      <c r="AC35" t="n">
        <v>0.699421177111082</v>
      </c>
      <c r="AD35" t="n">
        <v>1.61804179577894</v>
      </c>
      <c r="AE35" t="n">
        <v>-0.738268241419971</v>
      </c>
      <c r="AF35"/>
    </row>
    <row r="36">
      <c r="A36" t="s">
        <v>176</v>
      </c>
      <c r="B36" t="s">
        <v>283</v>
      </c>
      <c r="C36" t="s">
        <v>177</v>
      </c>
      <c r="D36" t="s">
        <v>284</v>
      </c>
      <c r="E36" t="s">
        <v>60</v>
      </c>
      <c r="F36" t="n">
        <v>-2.74009517794989</v>
      </c>
      <c r="G36" t="n">
        <v>-4.71139606227737</v>
      </c>
      <c r="H36" t="n">
        <v>-5.00096776738891</v>
      </c>
      <c r="I36" t="n">
        <v>-1.56720758610175</v>
      </c>
      <c r="J36" t="n">
        <v>-5.67523951354704</v>
      </c>
      <c r="K36" t="n">
        <v>0.488233899142695</v>
      </c>
      <c r="L36" t="n">
        <v>-2.89581550317774</v>
      </c>
      <c r="M36" t="n">
        <v>-1.50299361356996</v>
      </c>
      <c r="N36" t="n">
        <v>-1.11127375157319</v>
      </c>
      <c r="O36" t="n">
        <v>-3.89192562937456</v>
      </c>
      <c r="P36" t="n">
        <v>2.31239083561983</v>
      </c>
      <c r="Q36" t="n">
        <v>-6.30434422408666</v>
      </c>
      <c r="R36" t="n">
        <v>-2.79424434839283</v>
      </c>
      <c r="S36" t="n">
        <v>-6.44025333877945</v>
      </c>
      <c r="T36" t="n">
        <v>-2.66938279512566</v>
      </c>
      <c r="U36" t="n">
        <v>-3.17060648910837</v>
      </c>
      <c r="V36" t="n">
        <v>-7.09575178441144</v>
      </c>
      <c r="W36" t="n">
        <v>1.509876153977</v>
      </c>
      <c r="X36" t="n">
        <v>6.59361411376474</v>
      </c>
      <c r="Y36" t="n">
        <v>1.98818709093997</v>
      </c>
      <c r="Z36" t="n">
        <v>7.91935474707612</v>
      </c>
      <c r="AA36" t="n">
        <v>-4.04710395727625</v>
      </c>
      <c r="AB36" t="n">
        <v>-4.17185042811001</v>
      </c>
      <c r="AC36" t="n">
        <v>0.91906070250008</v>
      </c>
      <c r="AD36" t="n">
        <v>-1.40180207246472</v>
      </c>
      <c r="AE36" t="n">
        <v>-1.70159213921441</v>
      </c>
      <c r="AF36"/>
    </row>
    <row r="37">
      <c r="A37" t="s">
        <v>178</v>
      </c>
      <c r="B37" t="s">
        <v>283</v>
      </c>
      <c r="C37" t="s">
        <v>179</v>
      </c>
      <c r="D37" t="s">
        <v>284</v>
      </c>
      <c r="E37" t="s">
        <v>60</v>
      </c>
      <c r="F37" t="n">
        <v>2.01264635305268</v>
      </c>
      <c r="G37" t="n">
        <v>9.55352430732626</v>
      </c>
      <c r="H37" t="n">
        <v>15.0148600835526</v>
      </c>
      <c r="I37" t="n">
        <v>5.12748832829788</v>
      </c>
      <c r="J37" t="n">
        <v>-2.67553160648124</v>
      </c>
      <c r="K37" t="n">
        <v>-2.37941867479528</v>
      </c>
      <c r="L37" t="n">
        <v>5.23108019453479</v>
      </c>
      <c r="M37" t="n">
        <v>6.2900912612781</v>
      </c>
      <c r="N37" t="n">
        <v>1.83158879822158</v>
      </c>
      <c r="O37" t="n">
        <v>-0.768367673035265</v>
      </c>
      <c r="P37" t="n">
        <v>-6.03136075227858</v>
      </c>
      <c r="Q37" t="n">
        <v>-2.09695768805588</v>
      </c>
      <c r="R37" t="n">
        <v>1.97782626573904</v>
      </c>
      <c r="S37" t="n">
        <v>5.05123917289387</v>
      </c>
      <c r="T37" t="n">
        <v>-0.381111891229247</v>
      </c>
      <c r="U37" t="n">
        <v>3.75058294960544</v>
      </c>
      <c r="V37" t="n">
        <v>-0.232821412106739</v>
      </c>
      <c r="W37" t="n">
        <v>-2.94566606210839</v>
      </c>
      <c r="X37" t="n">
        <v>1.07111500640129</v>
      </c>
      <c r="Y37" t="n">
        <v>-1.399417354079</v>
      </c>
      <c r="Z37" t="n">
        <v>4.06743956478914</v>
      </c>
      <c r="AA37" t="n">
        <v>0.283945753155073</v>
      </c>
      <c r="AB37" t="n">
        <v>-2.53769863331835</v>
      </c>
      <c r="AC37" t="n">
        <v>2.54838387391514</v>
      </c>
      <c r="AD37" t="n">
        <v>-0.183878625011107</v>
      </c>
      <c r="AE37" t="n">
        <v>3.8689281447212</v>
      </c>
      <c r="AF37"/>
    </row>
    <row r="38">
      <c r="A38" t="s">
        <v>180</v>
      </c>
      <c r="B38" t="s">
        <v>283</v>
      </c>
      <c r="C38" t="s">
        <v>181</v>
      </c>
      <c r="D38" t="s">
        <v>284</v>
      </c>
      <c r="E38" t="s">
        <v>60</v>
      </c>
      <c r="F38" t="n">
        <v>5.89008524155762</v>
      </c>
      <c r="G38" t="n">
        <v>16.8762986544136</v>
      </c>
      <c r="H38" t="n">
        <v>4.3064050986747</v>
      </c>
      <c r="I38" t="n">
        <v>10.4339066181556</v>
      </c>
      <c r="J38" t="n">
        <v>5.89398808136774</v>
      </c>
      <c r="K38" t="n">
        <v>0.152683502241032</v>
      </c>
      <c r="L38" t="n">
        <v>4.85953649459084</v>
      </c>
      <c r="M38" t="n">
        <v>2.28318343183492</v>
      </c>
      <c r="N38" t="n">
        <v>-2.84674208095334</v>
      </c>
      <c r="O38" t="n">
        <v>-3.89334068573789</v>
      </c>
      <c r="P38" t="n">
        <v>-2.24839652128698</v>
      </c>
      <c r="Q38" t="n">
        <v>-2.1371461917153</v>
      </c>
      <c r="R38" t="n">
        <v>1.54591149565255</v>
      </c>
      <c r="S38" t="n">
        <v>-1.89119370528595</v>
      </c>
      <c r="T38" t="n">
        <v>-3.38676636127482</v>
      </c>
      <c r="U38" t="n">
        <v>-7.93162859652973</v>
      </c>
      <c r="V38" t="n">
        <v>0.0696527981098098</v>
      </c>
      <c r="W38" t="n">
        <v>5.46829914099959</v>
      </c>
      <c r="X38" t="n">
        <v>-0.258719605444113</v>
      </c>
      <c r="Y38" t="n">
        <v>-5.21078826799008</v>
      </c>
      <c r="Z38" t="n">
        <v>2.35452324374043</v>
      </c>
      <c r="AA38" t="n">
        <v>-2.49191990925479</v>
      </c>
      <c r="AB38" t="n">
        <v>-0.396011862576109</v>
      </c>
      <c r="AC38" t="n">
        <v>-0.488963685291694</v>
      </c>
      <c r="AD38" t="n">
        <v>4.12277978212003</v>
      </c>
      <c r="AE38" t="n">
        <v>-5.38440978690106</v>
      </c>
      <c r="AF38"/>
    </row>
    <row r="39">
      <c r="A39" t="s">
        <v>182</v>
      </c>
      <c r="B39" t="s">
        <v>283</v>
      </c>
      <c r="C39" t="s">
        <v>183</v>
      </c>
      <c r="D39" t="s">
        <v>284</v>
      </c>
      <c r="E39" t="s">
        <v>60</v>
      </c>
      <c r="F39" t="n">
        <v>-7.45599801333331</v>
      </c>
      <c r="G39" t="n">
        <v>3.54975228545848</v>
      </c>
      <c r="H39" t="n">
        <v>3.02770880036069</v>
      </c>
      <c r="I39" t="n">
        <v>-9.3097419585889</v>
      </c>
      <c r="J39" t="n">
        <v>0.616268695593979</v>
      </c>
      <c r="K39" t="n">
        <v>-0.430339157007173</v>
      </c>
      <c r="L39" t="n">
        <v>1.55803379213198</v>
      </c>
      <c r="M39" t="n">
        <v>-1.37671392019497</v>
      </c>
      <c r="N39" t="n">
        <v>1.3009479317446</v>
      </c>
      <c r="O39" t="n">
        <v>0.184080467155902</v>
      </c>
      <c r="P39" t="n">
        <v>1.81099762485749</v>
      </c>
      <c r="Q39" t="n">
        <v>-1.11078739072955</v>
      </c>
      <c r="R39" t="n">
        <v>2.53220728019257</v>
      </c>
      <c r="S39" t="n">
        <v>-17.2307774482144</v>
      </c>
      <c r="T39" t="n">
        <v>1.52683846731485</v>
      </c>
      <c r="U39" t="n">
        <v>0.308418077301758</v>
      </c>
      <c r="V39" t="n">
        <v>-0.668922070816163</v>
      </c>
      <c r="W39" t="n">
        <v>1.66406928929739</v>
      </c>
      <c r="X39" t="n">
        <v>12.5531583083222</v>
      </c>
      <c r="Y39" t="n">
        <v>3.01310656627584</v>
      </c>
      <c r="Z39" t="n">
        <v>1.13814554342533</v>
      </c>
      <c r="AA39" t="n">
        <v>-3.93101276841888</v>
      </c>
      <c r="AB39" t="n">
        <v>0.523524748240398</v>
      </c>
      <c r="AC39" t="n">
        <v>1.59053353258385</v>
      </c>
      <c r="AD39" t="n">
        <v>-0.00304115046796039</v>
      </c>
      <c r="AE39" t="n">
        <v>4.79052254308886</v>
      </c>
      <c r="AF39"/>
    </row>
    <row r="40">
      <c r="A40" t="s">
        <v>184</v>
      </c>
      <c r="B40" t="s">
        <v>283</v>
      </c>
      <c r="C40" t="s">
        <v>185</v>
      </c>
      <c r="D40" t="s">
        <v>284</v>
      </c>
      <c r="E40" t="s">
        <v>60</v>
      </c>
      <c r="F40" t="n">
        <v>-1.58145640460263</v>
      </c>
      <c r="G40" t="n">
        <v>-1.13720326015963</v>
      </c>
      <c r="H40" t="n">
        <v>-1.13156601268179</v>
      </c>
      <c r="I40" t="n">
        <v>-2.38773561254592</v>
      </c>
      <c r="J40" t="n">
        <v>0.459660678794437</v>
      </c>
      <c r="K40" t="n">
        <v>1.70261718189472</v>
      </c>
      <c r="L40" t="n">
        <v>1.24453280696802</v>
      </c>
      <c r="M40" t="n">
        <v>0.639750124091706</v>
      </c>
      <c r="N40" t="n">
        <v>1.44604278481345</v>
      </c>
      <c r="O40" t="n">
        <v>1.14919758205501</v>
      </c>
      <c r="P40" t="n">
        <v>1.14909184449183</v>
      </c>
      <c r="Q40" t="n">
        <v>0.860245660198841</v>
      </c>
      <c r="R40" t="n">
        <v>-0.352455557137355</v>
      </c>
      <c r="S40" t="n">
        <v>0.091140351830429</v>
      </c>
      <c r="T40" t="n">
        <v>1.07151297629516</v>
      </c>
      <c r="U40" t="n">
        <v>2.65481386294795</v>
      </c>
      <c r="V40" t="n">
        <v>2.47231330856971</v>
      </c>
      <c r="W40" t="n">
        <v>0.47214233102516</v>
      </c>
      <c r="X40" t="n">
        <v>3.17815479920722</v>
      </c>
      <c r="Y40" t="n">
        <v>2.55704028478933</v>
      </c>
      <c r="Z40" t="n">
        <v>0.2102804454345</v>
      </c>
      <c r="AA40" t="n">
        <v>0.0273394145003829</v>
      </c>
      <c r="AB40" t="n">
        <v>-0.730027961007957</v>
      </c>
      <c r="AC40" t="n">
        <v>-0.158339875235359</v>
      </c>
      <c r="AD40" t="n">
        <v>0.901908628736244</v>
      </c>
      <c r="AE40" t="n">
        <v>-1.5734868011834</v>
      </c>
      <c r="AF40"/>
    </row>
    <row r="41">
      <c r="A41" t="s">
        <v>186</v>
      </c>
      <c r="B41" t="s">
        <v>283</v>
      </c>
      <c r="C41" t="s">
        <v>187</v>
      </c>
      <c r="D41" t="s">
        <v>284</v>
      </c>
      <c r="E41" t="s">
        <v>60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188</v>
      </c>
      <c r="B42" t="s">
        <v>283</v>
      </c>
      <c r="C42" t="s">
        <v>189</v>
      </c>
      <c r="D42" t="s">
        <v>284</v>
      </c>
      <c r="E42" t="s">
        <v>60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190</v>
      </c>
      <c r="B43" t="s">
        <v>283</v>
      </c>
      <c r="C43" t="s">
        <v>191</v>
      </c>
      <c r="D43" t="s">
        <v>284</v>
      </c>
      <c r="E43" t="s">
        <v>60</v>
      </c>
      <c r="F43" t="n">
        <v>-2.69173448528656</v>
      </c>
      <c r="G43" t="n">
        <v>4.861600809328</v>
      </c>
      <c r="H43" t="n">
        <v>-2.2802248929933</v>
      </c>
      <c r="I43" t="n">
        <v>0.99569652052744</v>
      </c>
      <c r="J43" t="n">
        <v>0.176971810271618</v>
      </c>
      <c r="K43" t="n">
        <v>7.72555525611904</v>
      </c>
      <c r="L43" t="n">
        <v>2.48535818765607</v>
      </c>
      <c r="M43" t="n">
        <v>0.897876313020686</v>
      </c>
      <c r="N43" t="n">
        <v>-1.19090744127736</v>
      </c>
      <c r="O43" t="n">
        <v>-1.54434511755758</v>
      </c>
      <c r="P43" t="n">
        <v>3.35846087171597</v>
      </c>
      <c r="Q43" t="n">
        <v>0.105542018483895</v>
      </c>
      <c r="R43" t="n">
        <v>6.07130930861331</v>
      </c>
      <c r="S43" t="n">
        <v>5.1860870821378</v>
      </c>
      <c r="T43" t="n">
        <v>-0.433330411858022</v>
      </c>
      <c r="U43" t="n">
        <v>0.150400519310586</v>
      </c>
      <c r="V43" t="n">
        <v>2.15424534257404</v>
      </c>
      <c r="W43" t="n">
        <v>-8.03810847518082</v>
      </c>
      <c r="X43" t="n">
        <v>2.36703488706376</v>
      </c>
      <c r="Y43" t="n">
        <v>-1.05236132398237</v>
      </c>
      <c r="Z43" t="n">
        <v>0.00439861528462493</v>
      </c>
      <c r="AA43" t="n">
        <v>1.21528875432231</v>
      </c>
      <c r="AB43" t="n">
        <v>-3.35421375462422</v>
      </c>
      <c r="AC43" t="n">
        <v>-0.955140037961446</v>
      </c>
      <c r="AD43" t="n">
        <v>1.08353806242462</v>
      </c>
      <c r="AE43" t="n">
        <v>4.00926920226593</v>
      </c>
      <c r="AF43"/>
    </row>
    <row r="44">
      <c r="A44" t="s">
        <v>192</v>
      </c>
      <c r="B44" t="s">
        <v>283</v>
      </c>
      <c r="C44" t="s">
        <v>193</v>
      </c>
      <c r="D44" t="s">
        <v>284</v>
      </c>
      <c r="E44" t="s">
        <v>60</v>
      </c>
      <c r="F44" t="n">
        <v>0.326508980233597</v>
      </c>
      <c r="G44" t="n">
        <v>1.87408001960928</v>
      </c>
      <c r="H44" t="n">
        <v>0.846262625059578</v>
      </c>
      <c r="I44" t="n">
        <v>-1.28469997717855</v>
      </c>
      <c r="J44" t="n">
        <v>-0.501240160750562</v>
      </c>
      <c r="K44" t="n">
        <v>0.882127526764119</v>
      </c>
      <c r="L44" t="n">
        <v>0.107636114756846</v>
      </c>
      <c r="M44" t="n">
        <v>1.503335283042</v>
      </c>
      <c r="N44" t="n">
        <v>0.915810927103753</v>
      </c>
      <c r="O44" t="n">
        <v>0.812908927746932</v>
      </c>
      <c r="P44" t="n">
        <v>1.92457038571477</v>
      </c>
      <c r="Q44" t="n">
        <v>-0.915180963315913</v>
      </c>
      <c r="R44" t="n">
        <v>1.02443125607306</v>
      </c>
      <c r="S44" t="n">
        <v>-1.1002019394149</v>
      </c>
      <c r="T44" t="n">
        <v>-6.06324132797651</v>
      </c>
      <c r="U44" t="n">
        <v>4.06536355391814</v>
      </c>
      <c r="V44" t="n">
        <v>-0.322012017163473</v>
      </c>
      <c r="W44" t="n">
        <v>0.227238794582652</v>
      </c>
      <c r="X44" t="n">
        <v>3.26036698369736</v>
      </c>
      <c r="Y44" t="n">
        <v>-0.302042605109325</v>
      </c>
      <c r="Z44" t="n">
        <v>0.810460700684504</v>
      </c>
      <c r="AA44" t="n">
        <v>-0.346496933595597</v>
      </c>
      <c r="AB44" t="n">
        <v>1.48004046094919</v>
      </c>
      <c r="AC44" t="n">
        <v>0.739220620667204</v>
      </c>
      <c r="AD44" t="n">
        <v>-0.16158290057188</v>
      </c>
      <c r="AE44" t="n">
        <v>-2.06353740016356</v>
      </c>
      <c r="AF44"/>
    </row>
    <row r="45">
      <c r="A45" t="s">
        <v>194</v>
      </c>
      <c r="B45" t="s">
        <v>283</v>
      </c>
      <c r="C45" t="s">
        <v>195</v>
      </c>
      <c r="D45" t="s">
        <v>284</v>
      </c>
      <c r="E45" t="s">
        <v>60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196</v>
      </c>
      <c r="B46" t="s">
        <v>283</v>
      </c>
      <c r="C46" t="s">
        <v>197</v>
      </c>
      <c r="D46" t="s">
        <v>284</v>
      </c>
      <c r="E46" t="s">
        <v>60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198</v>
      </c>
      <c r="B47" t="s">
        <v>283</v>
      </c>
      <c r="C47" t="s">
        <v>199</v>
      </c>
      <c r="D47" t="s">
        <v>284</v>
      </c>
      <c r="E47" t="s">
        <v>60</v>
      </c>
      <c r="F47" t="n">
        <v>-1.5537160187163</v>
      </c>
      <c r="G47" t="n">
        <v>2.9420108179064</v>
      </c>
      <c r="H47" t="n">
        <v>1.63075435902854</v>
      </c>
      <c r="I47" t="n">
        <v>-0.113014363012005</v>
      </c>
      <c r="J47" t="n">
        <v>0.622419382061336</v>
      </c>
      <c r="K47" t="n">
        <v>0.300574175917364</v>
      </c>
      <c r="L47" t="n">
        <v>0.776827017557097</v>
      </c>
      <c r="M47" t="n">
        <v>-2.32443739213022</v>
      </c>
      <c r="N47" t="n">
        <v>-1.55966240044152</v>
      </c>
      <c r="O47" t="n">
        <v>-1.62500535364389</v>
      </c>
      <c r="P47" t="n">
        <v>1.12240468725035</v>
      </c>
      <c r="Q47" t="n">
        <v>2.18434668106306</v>
      </c>
      <c r="R47" t="n">
        <v>2.67547588392404</v>
      </c>
      <c r="S47" t="n">
        <v>3.67288968448649</v>
      </c>
      <c r="T47" t="n">
        <v>-0.388845177123386</v>
      </c>
      <c r="U47" t="n">
        <v>0.786278194273813</v>
      </c>
      <c r="V47" t="n">
        <v>2.85854939198985</v>
      </c>
      <c r="W47" t="n">
        <v>1.10440431911668</v>
      </c>
      <c r="X47" t="n">
        <v>2.00857606972529</v>
      </c>
      <c r="Y47" t="n">
        <v>1.36830207331008</v>
      </c>
      <c r="Z47" t="n">
        <v>1.57930911582545</v>
      </c>
      <c r="AA47" t="n">
        <v>1.52207335946406</v>
      </c>
      <c r="AB47" t="n">
        <v>0.950181167113657</v>
      </c>
      <c r="AC47" t="n">
        <v>3.80516667372636</v>
      </c>
      <c r="AD47" t="n">
        <v>-0.405552912065536</v>
      </c>
      <c r="AE47" t="n">
        <v>2.77790160301949</v>
      </c>
      <c r="AF47"/>
    </row>
    <row r="48">
      <c r="A48" t="s">
        <v>200</v>
      </c>
      <c r="B48" t="s">
        <v>283</v>
      </c>
      <c r="C48" t="s">
        <v>201</v>
      </c>
      <c r="D48" t="s">
        <v>284</v>
      </c>
      <c r="E48" t="s">
        <v>60</v>
      </c>
      <c r="F48" t="n">
        <v>-0.388713288849379</v>
      </c>
      <c r="G48" t="n">
        <v>1.15512977198607</v>
      </c>
      <c r="H48" t="n">
        <v>-0.577667839001108</v>
      </c>
      <c r="I48" t="n">
        <v>-1.50162703292384</v>
      </c>
      <c r="J48" t="n">
        <v>0.59713937936884</v>
      </c>
      <c r="K48" t="n">
        <v>-2.3723442101537</v>
      </c>
      <c r="L48" t="n">
        <v>0.908676006733055</v>
      </c>
      <c r="M48" t="n">
        <v>-1.86486435489809</v>
      </c>
      <c r="N48" t="n">
        <v>-2.79817757661288</v>
      </c>
      <c r="O48" t="n">
        <v>-3.05380122196814</v>
      </c>
      <c r="P48" t="n">
        <v>0.059004933680991</v>
      </c>
      <c r="Q48" t="n">
        <v>-0.510168155999791</v>
      </c>
      <c r="R48" t="n">
        <v>3.13395230150565</v>
      </c>
      <c r="S48" t="n">
        <v>1.10743161850389</v>
      </c>
      <c r="T48" t="n">
        <v>-1.21070194791886</v>
      </c>
      <c r="U48" t="n">
        <v>-0.817053399113193</v>
      </c>
      <c r="V48" t="n">
        <v>0.739532692398862</v>
      </c>
      <c r="W48" t="n">
        <v>1.07176027737434</v>
      </c>
      <c r="X48" t="n">
        <v>0.996960609622644</v>
      </c>
      <c r="Y48" t="n">
        <v>-0.231118410962379</v>
      </c>
      <c r="Z48" t="n">
        <v>1.50409674250191</v>
      </c>
      <c r="AA48" t="n">
        <v>1.31515235714125</v>
      </c>
      <c r="AB48" t="n">
        <v>-1.59220429019059</v>
      </c>
      <c r="AC48" t="n">
        <v>2.57869749907349</v>
      </c>
      <c r="AD48" t="n">
        <v>1.02911974478835</v>
      </c>
      <c r="AE48" t="n">
        <v>3.73037539600992</v>
      </c>
      <c r="AF48"/>
    </row>
    <row r="49">
      <c r="A49" t="s">
        <v>202</v>
      </c>
      <c r="B49" t="s">
        <v>283</v>
      </c>
      <c r="C49" t="s">
        <v>203</v>
      </c>
      <c r="D49" t="s">
        <v>284</v>
      </c>
      <c r="E49" t="s">
        <v>60</v>
      </c>
      <c r="F49" t="n">
        <v>0.891001254514935</v>
      </c>
      <c r="G49" t="n">
        <v>2.19509111426893</v>
      </c>
      <c r="H49" t="n">
        <v>-1.81555977492113</v>
      </c>
      <c r="I49" t="n">
        <v>-2.66517858849782</v>
      </c>
      <c r="J49" t="n">
        <v>1.17782970520212</v>
      </c>
      <c r="K49" t="n">
        <v>1.25337447537177</v>
      </c>
      <c r="L49" t="n">
        <v>1.89080325358223</v>
      </c>
      <c r="M49" t="n">
        <v>1.54125371820067</v>
      </c>
      <c r="N49" t="n">
        <v>-3.63750131214955</v>
      </c>
      <c r="O49" t="n">
        <v>-4.15632775436855</v>
      </c>
      <c r="P49" t="n">
        <v>-0.143556775646819</v>
      </c>
      <c r="Q49" t="n">
        <v>-0.104220030115533</v>
      </c>
      <c r="R49" t="n">
        <v>3.2830928275883</v>
      </c>
      <c r="S49" t="n">
        <v>0.0087363488601031</v>
      </c>
      <c r="T49" t="n">
        <v>-1.86094173014503</v>
      </c>
      <c r="U49" t="n">
        <v>-1.39466253306323</v>
      </c>
      <c r="V49" t="n">
        <v>2.46763840601458</v>
      </c>
      <c r="W49" t="n">
        <v>1.49815847228063</v>
      </c>
      <c r="X49" t="n">
        <v>1.26047219548566</v>
      </c>
      <c r="Y49" t="n">
        <v>-1.04988541678451</v>
      </c>
      <c r="Z49" t="n">
        <v>-2.15951908644608</v>
      </c>
      <c r="AA49" t="n">
        <v>-0.272720807023224</v>
      </c>
      <c r="AB49" t="n">
        <v>-0.296793775145331</v>
      </c>
      <c r="AC49" t="n">
        <v>1.20672818451212</v>
      </c>
      <c r="AD49" t="n">
        <v>2.90536387528388</v>
      </c>
      <c r="AE49" t="n">
        <v>4.07916524919264</v>
      </c>
      <c r="AF49"/>
    </row>
    <row r="50">
      <c r="A50" t="s">
        <v>204</v>
      </c>
      <c r="B50" t="s">
        <v>283</v>
      </c>
      <c r="C50" t="s">
        <v>205</v>
      </c>
      <c r="D50" t="s">
        <v>284</v>
      </c>
      <c r="E50" t="s">
        <v>60</v>
      </c>
      <c r="F50" t="n">
        <v>-0.13658763211759</v>
      </c>
      <c r="G50" t="n">
        <v>-2.25491246626047</v>
      </c>
      <c r="H50" t="n">
        <v>-2.33256221080219</v>
      </c>
      <c r="I50" t="n">
        <v>-2.55995292854351</v>
      </c>
      <c r="J50" t="n">
        <v>0.215514666179194</v>
      </c>
      <c r="K50" t="n">
        <v>-7.66669921027213</v>
      </c>
      <c r="L50" t="n">
        <v>0.639569854657522</v>
      </c>
      <c r="M50" t="n">
        <v>-3.58701496250357</v>
      </c>
      <c r="N50" t="n">
        <v>-3.23764621097159</v>
      </c>
      <c r="O50" t="n">
        <v>-3.84809224564155</v>
      </c>
      <c r="P50" t="n">
        <v>-1.12684685859905</v>
      </c>
      <c r="Q50" t="n">
        <v>-3.16094722664653</v>
      </c>
      <c r="R50" t="n">
        <v>3.7088154524075</v>
      </c>
      <c r="S50" t="n">
        <v>-0.368805490249495</v>
      </c>
      <c r="T50" t="n">
        <v>-1.42286598524562</v>
      </c>
      <c r="U50" t="n">
        <v>-1.77448418283469</v>
      </c>
      <c r="V50" t="n">
        <v>-1.71347963595846</v>
      </c>
      <c r="W50" t="n">
        <v>0.889826232399874</v>
      </c>
      <c r="X50" t="n">
        <v>0.354642806419744</v>
      </c>
      <c r="Y50" t="n">
        <v>-0.837892287910781</v>
      </c>
      <c r="Z50" t="n">
        <v>3.26130237275896</v>
      </c>
      <c r="AA50" t="n">
        <v>2.16609309692716</v>
      </c>
      <c r="AB50" t="n">
        <v>-3.68780120875445</v>
      </c>
      <c r="AC50" t="n">
        <v>2.77042140654522</v>
      </c>
      <c r="AD50" t="n">
        <v>1.15122639539205</v>
      </c>
      <c r="AE50" t="n">
        <v>4.37859863316684</v>
      </c>
      <c r="AF50"/>
    </row>
    <row r="51">
      <c r="A51" t="s">
        <v>206</v>
      </c>
      <c r="B51" t="s">
        <v>283</v>
      </c>
      <c r="C51" t="s">
        <v>207</v>
      </c>
      <c r="D51" t="s">
        <v>284</v>
      </c>
      <c r="E51" t="s">
        <v>60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208</v>
      </c>
      <c r="B52" t="s">
        <v>283</v>
      </c>
      <c r="C52" t="s">
        <v>209</v>
      </c>
      <c r="D52" t="s">
        <v>284</v>
      </c>
      <c r="E52" t="s">
        <v>60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210</v>
      </c>
      <c r="B53" t="s">
        <v>283</v>
      </c>
      <c r="C53" t="s">
        <v>211</v>
      </c>
      <c r="D53" t="s">
        <v>284</v>
      </c>
      <c r="E53" t="s">
        <v>60</v>
      </c>
      <c r="F53" t="n">
        <v>-10.3115032253423</v>
      </c>
      <c r="G53" t="n">
        <v>-6.42183448178237</v>
      </c>
      <c r="H53" t="n">
        <v>-3.94582655888787</v>
      </c>
      <c r="I53" t="n">
        <v>-1.74759395402672</v>
      </c>
      <c r="J53" t="n">
        <v>-4.71496186951483</v>
      </c>
      <c r="K53" t="n">
        <v>2.6291302538365</v>
      </c>
      <c r="L53" t="n">
        <v>-7.28451108836579</v>
      </c>
      <c r="M53" t="n">
        <v>3.62775371727901</v>
      </c>
      <c r="N53" t="n">
        <v>-4.02720896940852</v>
      </c>
      <c r="O53" t="n">
        <v>-5.16491544800006</v>
      </c>
      <c r="P53" t="n">
        <v>3.48899170409176</v>
      </c>
      <c r="Q53" t="n">
        <v>-0.362253488607044</v>
      </c>
      <c r="R53" t="n">
        <v>-0.599047058940415</v>
      </c>
      <c r="S53" t="n">
        <v>-3.32392512725984</v>
      </c>
      <c r="T53" t="n">
        <v>-1.72117345665137</v>
      </c>
      <c r="U53" t="n">
        <v>-2.27198917621713</v>
      </c>
      <c r="V53" t="n">
        <v>1.09621518020688</v>
      </c>
      <c r="W53" t="n">
        <v>7.10435484320876</v>
      </c>
      <c r="X53" t="n">
        <v>6.26477785131673</v>
      </c>
      <c r="Y53" t="n">
        <v>0.727494377214406</v>
      </c>
      <c r="Z53" t="n">
        <v>-0.739984493331606</v>
      </c>
      <c r="AA53" t="n">
        <v>-7.57927808625317</v>
      </c>
      <c r="AB53" t="n">
        <v>-3.25093251148753</v>
      </c>
      <c r="AC53" t="n">
        <v>-1.72861704583213</v>
      </c>
      <c r="AD53" t="n">
        <v>-2.847136943513</v>
      </c>
      <c r="AE53" t="n">
        <v>-17.1507117256474</v>
      </c>
      <c r="AF53"/>
    </row>
    <row r="54">
      <c r="A54" t="s">
        <v>212</v>
      </c>
      <c r="B54" t="s">
        <v>283</v>
      </c>
      <c r="C54" t="s">
        <v>213</v>
      </c>
      <c r="D54" t="s">
        <v>284</v>
      </c>
      <c r="E54" t="s">
        <v>60</v>
      </c>
      <c r="F54" t="n">
        <v>-6.95070774777085</v>
      </c>
      <c r="G54" t="n">
        <v>-0.326525983091169</v>
      </c>
      <c r="H54" t="n">
        <v>0.583451300128</v>
      </c>
      <c r="I54" t="n">
        <v>1.84255139408959</v>
      </c>
      <c r="J54" t="n">
        <v>0.265159429616574</v>
      </c>
      <c r="K54" t="n">
        <v>2.34100901131748</v>
      </c>
      <c r="L54" t="n">
        <v>-4.61520691905628</v>
      </c>
      <c r="M54" t="n">
        <v>3.28602734627593</v>
      </c>
      <c r="N54" t="n">
        <v>0.040794540453124</v>
      </c>
      <c r="O54" t="n">
        <v>-4.1769759556986</v>
      </c>
      <c r="P54" t="n">
        <v>1.15324296394207</v>
      </c>
      <c r="Q54" t="n">
        <v>-3.683446306509</v>
      </c>
      <c r="R54" t="n">
        <v>3.63799971368866</v>
      </c>
      <c r="S54" t="n">
        <v>-2.4585983768883</v>
      </c>
      <c r="T54" t="n">
        <v>-3.56960394800017</v>
      </c>
      <c r="U54" t="n">
        <v>-3.07326808195217</v>
      </c>
      <c r="V54" t="n">
        <v>1.71923533759525</v>
      </c>
      <c r="W54" t="n">
        <v>0.0119443500590162</v>
      </c>
      <c r="X54" t="n">
        <v>0.658700010883801</v>
      </c>
      <c r="Y54" t="n">
        <v>-0.664697384502569</v>
      </c>
      <c r="Z54" t="n">
        <v>-0.88258143989714</v>
      </c>
      <c r="AA54" t="n">
        <v>-3.53656154503923</v>
      </c>
      <c r="AB54" t="n">
        <v>-1.05433894328729</v>
      </c>
      <c r="AC54" t="n">
        <v>-1.92259808161017</v>
      </c>
      <c r="AD54" t="n">
        <v>0.2758249086691</v>
      </c>
      <c r="AE54" t="n">
        <v>-11.3046494551763</v>
      </c>
      <c r="AF54"/>
    </row>
    <row r="55">
      <c r="A55" t="s">
        <v>214</v>
      </c>
      <c r="B55" t="s">
        <v>283</v>
      </c>
      <c r="C55" t="s">
        <v>215</v>
      </c>
      <c r="D55" t="s">
        <v>284</v>
      </c>
      <c r="E55" t="s">
        <v>60</v>
      </c>
      <c r="F55" t="n">
        <v>-4.74876719201691</v>
      </c>
      <c r="G55" t="n">
        <v>3.72956248346297</v>
      </c>
      <c r="H55" t="n">
        <v>3.82430867423354</v>
      </c>
      <c r="I55" t="n">
        <v>4.38296825082905</v>
      </c>
      <c r="J55" t="n">
        <v>3.40582556399552</v>
      </c>
      <c r="K55" t="n">
        <v>2.24203720911783</v>
      </c>
      <c r="L55" t="n">
        <v>-2.98600727080462</v>
      </c>
      <c r="M55" t="n">
        <v>3.00724086514655</v>
      </c>
      <c r="N55" t="n">
        <v>2.36240489781033</v>
      </c>
      <c r="O55" t="n">
        <v>-3.67908042704791</v>
      </c>
      <c r="P55" t="n">
        <v>-0.195894711024449</v>
      </c>
      <c r="Q55" t="n">
        <v>-5.42792483914026</v>
      </c>
      <c r="R55" t="n">
        <v>5.89528234644528</v>
      </c>
      <c r="S55" t="n">
        <v>-2.07298862523969</v>
      </c>
      <c r="T55" t="n">
        <v>-4.46459281960471</v>
      </c>
      <c r="U55" t="n">
        <v>-3.45736123570373</v>
      </c>
      <c r="V55" t="n">
        <v>2.13128442658815</v>
      </c>
      <c r="W55" t="n">
        <v>-3.85454537751826</v>
      </c>
      <c r="X55" t="n">
        <v>-2.68938506363563</v>
      </c>
      <c r="Y55" t="n">
        <v>-1.53430108542153</v>
      </c>
      <c r="Z55" t="n">
        <v>-1.11236188451623</v>
      </c>
      <c r="AA55" t="n">
        <v>-1.19950420271519</v>
      </c>
      <c r="AB55" t="n">
        <v>0.184696267161598</v>
      </c>
      <c r="AC55" t="n">
        <v>-2.05094096823674</v>
      </c>
      <c r="AD55" t="n">
        <v>2.15533607226352</v>
      </c>
      <c r="AE55" t="n">
        <v>-7.98549584161904</v>
      </c>
      <c r="AF55"/>
    </row>
    <row r="56">
      <c r="A56" t="s">
        <v>216</v>
      </c>
      <c r="B56" t="s">
        <v>283</v>
      </c>
      <c r="C56" t="s">
        <v>217</v>
      </c>
      <c r="D56" t="s">
        <v>284</v>
      </c>
      <c r="E56" t="s">
        <v>60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218</v>
      </c>
      <c r="B57" t="s">
        <v>283</v>
      </c>
      <c r="C57" t="s">
        <v>219</v>
      </c>
      <c r="D57" t="s">
        <v>284</v>
      </c>
      <c r="E57" t="s">
        <v>60</v>
      </c>
      <c r="F57" t="n">
        <v>-0.0595236802200287</v>
      </c>
      <c r="G57" t="n">
        <v>1.30860871392741</v>
      </c>
      <c r="H57" t="n">
        <v>0.33230935766984</v>
      </c>
      <c r="I57" t="n">
        <v>-1.53393598972928</v>
      </c>
      <c r="J57" t="n">
        <v>-0.417541184832477</v>
      </c>
      <c r="K57" t="n">
        <v>0.382383381887827</v>
      </c>
      <c r="L57" t="n">
        <v>0.244739128055122</v>
      </c>
      <c r="M57" t="n">
        <v>0.903487777297611</v>
      </c>
      <c r="N57" t="n">
        <v>0.340102808998279</v>
      </c>
      <c r="O57" t="n">
        <v>0.143790550033628</v>
      </c>
      <c r="P57" t="n">
        <v>1.52708885687981</v>
      </c>
      <c r="Q57" t="n">
        <v>-0.671143765560083</v>
      </c>
      <c r="R57" t="n">
        <v>1.17336902945613</v>
      </c>
      <c r="S57" t="n">
        <v>-0.487876332971506</v>
      </c>
      <c r="T57" t="n">
        <v>-4.37040876804361</v>
      </c>
      <c r="U57" t="n">
        <v>3.0379862132486</v>
      </c>
      <c r="V57" t="n">
        <v>0.144312739747542</v>
      </c>
      <c r="W57" t="n">
        <v>0.322039321531553</v>
      </c>
      <c r="X57" t="n">
        <v>2.68565561956337</v>
      </c>
      <c r="Y57" t="n">
        <v>-0.117694762089395</v>
      </c>
      <c r="Z57" t="n">
        <v>0.75654012230795</v>
      </c>
      <c r="AA57" t="n">
        <v>-0.0344559820616942</v>
      </c>
      <c r="AB57" t="n">
        <v>0.642729952060459</v>
      </c>
      <c r="AC57" t="n">
        <v>0.987472569820849</v>
      </c>
      <c r="AD57" t="n">
        <v>0.250319059893676</v>
      </c>
      <c r="AE57" t="n">
        <v>-0.430804792780712</v>
      </c>
      <c r="AF57"/>
    </row>
    <row r="58">
      <c r="A58" t="s">
        <v>220</v>
      </c>
      <c r="B58" t="s">
        <v>283</v>
      </c>
      <c r="C58" t="s">
        <v>221</v>
      </c>
      <c r="D58" t="s">
        <v>284</v>
      </c>
      <c r="E58" t="s">
        <v>60</v>
      </c>
      <c r="F58" t="n">
        <v>-0.0364832795736878</v>
      </c>
      <c r="G58" t="n">
        <v>1.38489492065557</v>
      </c>
      <c r="H58" t="n">
        <v>0.396844950663877</v>
      </c>
      <c r="I58" t="n">
        <v>-1.46551526876662</v>
      </c>
      <c r="J58" t="n">
        <v>-0.380532132988376</v>
      </c>
      <c r="K58" t="n">
        <v>0.431855961250102</v>
      </c>
      <c r="L58" t="n">
        <v>0.278996957366341</v>
      </c>
      <c r="M58" t="n">
        <v>0.927535531969635</v>
      </c>
      <c r="N58" t="n">
        <v>0.35480598436289</v>
      </c>
      <c r="O58" t="n">
        <v>0.144287836064954</v>
      </c>
      <c r="P58" t="n">
        <v>1.57712159304745</v>
      </c>
      <c r="Q58" t="n">
        <v>-0.676885839210335</v>
      </c>
      <c r="R58" t="n">
        <v>1.16238681269814</v>
      </c>
      <c r="S58" t="n">
        <v>-0.573060307923511</v>
      </c>
      <c r="T58" t="n">
        <v>-4.43311337560896</v>
      </c>
      <c r="U58" t="n">
        <v>3.00727876730006</v>
      </c>
      <c r="V58" t="n">
        <v>0.109647812627741</v>
      </c>
      <c r="W58" t="n">
        <v>0.326699431378832</v>
      </c>
      <c r="X58" t="n">
        <v>2.77746709285272</v>
      </c>
      <c r="Y58" t="n">
        <v>-0.0912050449330629</v>
      </c>
      <c r="Z58" t="n">
        <v>0.787343225983438</v>
      </c>
      <c r="AA58" t="n">
        <v>-0.10794536734752</v>
      </c>
      <c r="AB58" t="n">
        <v>0.675133613869533</v>
      </c>
      <c r="AC58" t="n">
        <v>0.984452644079762</v>
      </c>
      <c r="AD58" t="n">
        <v>0.2092778775489</v>
      </c>
      <c r="AE58" t="n">
        <v>-0.478123418460769</v>
      </c>
      <c r="AF58"/>
    </row>
    <row r="59">
      <c r="A59" t="s">
        <v>222</v>
      </c>
      <c r="B59" t="s">
        <v>283</v>
      </c>
      <c r="C59" t="s">
        <v>223</v>
      </c>
      <c r="D59" t="s">
        <v>284</v>
      </c>
      <c r="E59" t="s">
        <v>60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2025-01-08T11:41:37Z</dcterms:created>
</coreProperties>
</file>