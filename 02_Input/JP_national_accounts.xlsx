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9294151c07b659b/Desktop/Ders/BSE_Macro_Accounters/02_Input/"/>
    </mc:Choice>
  </mc:AlternateContent>
  <xr:revisionPtr revIDLastSave="1" documentId="11_85C434FB88F063AFB8ECE6E8BC89D0A1EC0611D5" xr6:coauthVersionLast="47" xr6:coauthVersionMax="47" xr10:uidLastSave="{9C8180D0-A7E7-44A5-B1E6-277C5B52C537}"/>
  <bookViews>
    <workbookView xWindow="-108" yWindow="-108" windowWidth="23256" windowHeight="13896" tabRatio="857" xr2:uid="{00000000-000D-0000-FFFF-FFFF00000000}"/>
  </bookViews>
  <sheets>
    <sheet name="Legend" sheetId="1" r:id="rId1"/>
    <sheet name="VA_CP" sheetId="291" r:id="rId2"/>
    <sheet name="GO_CP" sheetId="292" r:id="rId3"/>
    <sheet name="II_CP" sheetId="293" r:id="rId4"/>
    <sheet name="VA_PYP" sheetId="294" r:id="rId5"/>
    <sheet name="GO_PYP" sheetId="295" r:id="rId6"/>
    <sheet name="II_PYP" sheetId="296" r:id="rId7"/>
    <sheet name="COMP" sheetId="297" r:id="rId8"/>
    <sheet name="EMP" sheetId="298" r:id="rId9"/>
    <sheet name="EMPE" sheetId="299" r:id="rId10"/>
    <sheet name="H_EMP" sheetId="300" r:id="rId11"/>
    <sheet name="H_EMPE" sheetId="301" r:id="rId12"/>
    <sheet name="VA_PI" sheetId="302" r:id="rId13"/>
    <sheet name="GO_PI" sheetId="303" r:id="rId14"/>
    <sheet name="II_PI" sheetId="304" r:id="rId15"/>
    <sheet name="VA_Q" sheetId="305" r:id="rId16"/>
    <sheet name="Sheet1" sheetId="308" r:id="rId17"/>
    <sheet name="GO_Q" sheetId="306" r:id="rId18"/>
    <sheet name="II_Q" sheetId="307" r:id="rId19"/>
  </sheets>
  <calcPr calcId="181029"/>
</workbook>
</file>

<file path=xl/calcChain.xml><?xml version="1.0" encoding="utf-8"?>
<calcChain xmlns="http://schemas.openxmlformats.org/spreadsheetml/2006/main">
  <c r="D30" i="308" l="1"/>
  <c r="C30" i="308"/>
  <c r="A26" i="1"/>
  <c r="A25" i="1"/>
  <c r="A24" i="1"/>
  <c r="A22" i="1"/>
  <c r="A21" i="1"/>
  <c r="A20" i="1"/>
  <c r="A18" i="1"/>
  <c r="A17" i="1"/>
  <c r="A16" i="1"/>
  <c r="A15" i="1"/>
  <c r="A14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<sst xmlns="http://schemas.openxmlformats.org/spreadsheetml/2006/main" count="5546" uniqueCount="204">
  <si>
    <t>Variable</t>
  </si>
  <si>
    <t>Description</t>
  </si>
  <si>
    <t>Values</t>
  </si>
  <si>
    <t/>
  </si>
  <si>
    <t>VA_CP</t>
  </si>
  <si>
    <t>GVA, current prices, millions of national currency</t>
  </si>
  <si>
    <t>GO_CP</t>
  </si>
  <si>
    <t>Gross output, current prices, millions of national currency</t>
  </si>
  <si>
    <t>II_CP</t>
  </si>
  <si>
    <t>Intermediate inputs, current prices, millions of national currency</t>
  </si>
  <si>
    <t>VA_PYP</t>
  </si>
  <si>
    <t>GVA, prev.year prices, millions of national currency</t>
  </si>
  <si>
    <t>GO_PYP</t>
  </si>
  <si>
    <t>Gross output, prev.year prices, millions of national currency</t>
  </si>
  <si>
    <t>II_PYP</t>
  </si>
  <si>
    <t>Intermediate inputs, prev.year prices, millions of national currency</t>
  </si>
  <si>
    <t>COMP</t>
  </si>
  <si>
    <t>Compensation of employees, current prices, millions of national currency</t>
  </si>
  <si>
    <t>EMP</t>
  </si>
  <si>
    <t>Number of persons employed, th.</t>
  </si>
  <si>
    <t>EMPE</t>
  </si>
  <si>
    <t>Number of employees, th.</t>
  </si>
  <si>
    <t>H_EMP</t>
  </si>
  <si>
    <t>Total hours worked by persons engaged, th.</t>
  </si>
  <si>
    <t>H_EMPE</t>
  </si>
  <si>
    <t>Total hours worked by employees, th.</t>
  </si>
  <si>
    <t>Prices</t>
  </si>
  <si>
    <t>VA_PI</t>
  </si>
  <si>
    <t>GVA, price indexes (2020)</t>
  </si>
  <si>
    <t>GO_PI</t>
  </si>
  <si>
    <t>Gross output, price indexes (2020)</t>
  </si>
  <si>
    <t>II_PI</t>
  </si>
  <si>
    <t>Intermediate inputs, price indexes (2020)</t>
  </si>
  <si>
    <t>Volumes</t>
  </si>
  <si>
    <t>VA_Q</t>
  </si>
  <si>
    <t>GVA, chained linked volumes (2020), millions of national currency</t>
  </si>
  <si>
    <t>GO_Q</t>
  </si>
  <si>
    <t>Gross output, chained linked volumes (2020), millions of national currency</t>
  </si>
  <si>
    <t>II_Q</t>
  </si>
  <si>
    <t>Intermediate inputs, chained linked volumes (2020), millions of national currency</t>
  </si>
  <si>
    <t>National Accounts</t>
  </si>
  <si>
    <t>Source: Euklems &amp; INTANProd database, 2024 release</t>
  </si>
  <si>
    <t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</si>
  <si>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>Notes</t>
  </si>
  <si>
    <t>Numbers displayed are in accordance with the industry classification (NACE Rev. 2/ISIC Rev. 4) and the European System of National Accounts (ESA 2010).</t>
  </si>
  <si>
    <t>Extracted from Eurostat:		08/04/2024</t>
  </si>
  <si>
    <t>For more information and updates, see: https://euklems-intanprod-llee.luiss.it/</t>
  </si>
  <si>
    <t>Acknowledgements and disclaimer</t>
  </si>
  <si>
    <t>This update of the EUKLEMS &amp; INTANProd database 2024 has been funded by the WIPO:</t>
  </si>
  <si>
    <t>Procurement procedure ECFIN/2020/OP/0001 – Provision of Industry level growth and productivity data with special focus on intangible assets – 2020/S 114-275561</t>
  </si>
  <si>
    <t>Any errors or omissions are entirely the responsibility of the Luiss Lab of European Economics - LLEE</t>
  </si>
  <si>
    <t>For comments and suggestions please send an email to euklems-intanprod@luiss.it</t>
  </si>
  <si>
    <t>var</t>
  </si>
  <si>
    <t>nace_r2_code</t>
  </si>
  <si>
    <t>geo_code</t>
  </si>
  <si>
    <t>nace_r2_name</t>
  </si>
  <si>
    <t>geo_name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</si>
  <si>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</si>
  <si>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</si>
  <si>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</si>
  <si>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</si>
  <si>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</si>
  <si>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</si>
  <si>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</si>
  <si>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</si>
  <si>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</si>
  <si>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</si>
  <si>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</si>
  <si>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</si>
  <si>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</si>
  <si>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</si>
  <si>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</si>
  <si>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</si>
  <si>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</si>
  <si>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</si>
  <si>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</si>
  <si>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</si>
  <si>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</si>
  <si>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</si>
  <si>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</si>
  <si>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</si>
  <si>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</si>
  <si>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</si>
  <si>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</si>
  <si>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</t>
  </si>
  <si>
    <t>Agriculture, forestry and fishing</t>
  </si>
  <si>
    <t>JP</t>
  </si>
  <si>
    <t>Japan</t>
  </si>
  <si>
    <t>B</t>
  </si>
  <si>
    <t>Mining and quarrying</t>
  </si>
  <si>
    <t>C</t>
  </si>
  <si>
    <t>Manufacturing</t>
  </si>
  <si>
    <t>C10-C12</t>
  </si>
  <si>
    <t>Manufacture of food products; beverages and tobacco products</t>
  </si>
  <si>
    <t>C13-C15</t>
  </si>
  <si>
    <t>Manufacture of textiles, wearing apparel, leather and related products</t>
  </si>
  <si>
    <t>C16-C18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</si>
  <si>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</si>
  <si>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</si>
  <si>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</si>
  <si>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</si>
  <si>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</si>
  <si>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C20-C21</t>
  </si>
  <si>
    <t>Chemicals; basic pharmaceutical products</t>
  </si>
  <si>
    <t>C21</t>
  </si>
  <si>
    <t>Manufacture of basic pharmaceutical products and pharmaceutical preparations</t>
  </si>
  <si>
    <t>C22-C23</t>
  </si>
  <si>
    <t>Manufacture of rubber and plastic products and other non-metallic mineral products</t>
  </si>
  <si>
    <t>C24-C25</t>
  </si>
  <si>
    <t>Manufacture of basic metals and fabricated metal products, except machinery and equipment</t>
  </si>
  <si>
    <t>C26</t>
  </si>
  <si>
    <t>Manufacture of computer, electronic and optical products</t>
  </si>
  <si>
    <t>C26-C27</t>
  </si>
  <si>
    <t>Computer, electronic, optical products; electrical equipment</t>
  </si>
  <si>
    <t>C27</t>
  </si>
  <si>
    <t>Manufacture of electrical equipment</t>
  </si>
  <si>
    <t>C28</t>
  </si>
  <si>
    <t>Manufacture of machinery and equipment n.e.c.</t>
  </si>
  <si>
    <t>C29-C30</t>
  </si>
  <si>
    <t>Manufacture of motor vehicles, trailers, semi-trailers and of other transport equipment</t>
  </si>
  <si>
    <t>C31-C33</t>
  </si>
  <si>
    <t>Manufacture of furniture; jewellery, musical instruments, toys; repair and installation of machinery and equipment</t>
  </si>
  <si>
    <t>D</t>
  </si>
  <si>
    <t>Electricity, gas, steam and air conditioning supply</t>
  </si>
  <si>
    <t>D-E</t>
  </si>
  <si>
    <t>Electricity, gas, steam; water supply, sewerage, waste management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</si>
  <si>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</si>
  <si>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</si>
  <si>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</si>
  <si>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</si>
  <si>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</si>
  <si>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 and motorcycles</t>
  </si>
  <si>
    <t>G45</t>
  </si>
  <si>
    <t>Wholesale and retail trade and repair of motor vehicles and motorcycles</t>
  </si>
  <si>
    <t>G46</t>
  </si>
  <si>
    <t>Wholesale trade, except of motor vehicles and motorcycles</t>
  </si>
  <si>
    <t>G47</t>
  </si>
  <si>
    <t>Retail trade, except of motor vehicles and motorcycles</t>
  </si>
  <si>
    <t>H</t>
  </si>
  <si>
    <t>Transportation and storage</t>
  </si>
  <si>
    <t>H49</t>
  </si>
  <si>
    <t>Land transport and transport via pipelines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</si>
  <si>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</si>
  <si>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</si>
  <si>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</si>
  <si>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</si>
  <si>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</si>
  <si>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</si>
  <si>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</si>
  <si>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</si>
  <si>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</t>
  </si>
  <si>
    <t>Accommodation and food service activities</t>
  </si>
  <si>
    <t>J</t>
  </si>
  <si>
    <t>Information and communication</t>
  </si>
  <si>
    <t>J58-J60</t>
  </si>
  <si>
    <t>Publishing, motion picture, video, television programme production; sound recording, programming and broadcasting activities</t>
  </si>
  <si>
    <t>J61</t>
  </si>
  <si>
    <t>Telecommunications</t>
  </si>
  <si>
    <t>J62-J63</t>
  </si>
  <si>
    <t>Computer programming, consultancy, and information service activities</t>
  </si>
  <si>
    <t>K</t>
  </si>
  <si>
    <t>Financial and insurance activities</t>
  </si>
  <si>
    <t>L</t>
  </si>
  <si>
    <t>Real estate activities</t>
  </si>
  <si>
    <t>L68A</t>
  </si>
  <si>
    <t>Imputed rents of owner-occupied dwellings</t>
  </si>
  <si>
    <t>M</t>
  </si>
  <si>
    <t>Professional, scientific and technical activities</t>
  </si>
  <si>
    <t>M-N</t>
  </si>
  <si>
    <t>Professional, scientific and technical activities; administrative and support service activities</t>
  </si>
  <si>
    <t>MARKT</t>
  </si>
  <si>
    <t>Market economy (all industries excluding L, O, P, Q, T and U)</t>
  </si>
  <si>
    <t>MARKTxAG</t>
  </si>
  <si>
    <t>Non-agricultural market economy (Market economy less industry A)</t>
  </si>
  <si>
    <t>N</t>
  </si>
  <si>
    <t>Administrative and support service activities</t>
  </si>
  <si>
    <t>O</t>
  </si>
  <si>
    <t>Public administration and defence; compulsory social security</t>
  </si>
  <si>
    <t>O-Q</t>
  </si>
  <si>
    <t>Public administration, defence, education, human health and social work activities</t>
  </si>
  <si>
    <t>P</t>
  </si>
  <si>
    <t>Education</t>
  </si>
  <si>
    <t>Q</t>
  </si>
  <si>
    <t>Human health and social work activities</t>
  </si>
  <si>
    <t>Q86</t>
  </si>
  <si>
    <t>Human health activities</t>
  </si>
  <si>
    <t>Q87-Q88</t>
  </si>
  <si>
    <t>Residential care activities and social work activities without accommodation</t>
  </si>
  <si>
    <t>R</t>
  </si>
  <si>
    <t>Arts, entertainment and recreation</t>
  </si>
  <si>
    <t>R-S</t>
  </si>
  <si>
    <t>Arts, entertainment, recreation; other services and service activities, etc.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</si>
  <si>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</si>
  <si>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</si>
  <si>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</si>
  <si>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</si>
  <si>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TOT</t>
  </si>
  <si>
    <t>Total - all NACE activities</t>
  </si>
  <si>
    <t>TOT_IND</t>
  </si>
  <si>
    <t>Total industries (A-S)</t>
  </si>
  <si>
    <t>U</t>
  </si>
  <si>
    <t>Activities of extraterritorial organisations and bodies</t>
  </si>
  <si>
    <t>va_q</t>
  </si>
  <si>
    <t>va_cp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</si>
</sst>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4"/>
      <color rgb="FFFFFFFF"/>
      <name val="Calibri"/>
    </font>
    <font>
      <b/>
      <sz val="14"/>
      <color rgb="FF000000"/>
      <name val="Calibri"/>
    </font>
    <font>
      <sz val="8"/>
      <color rgb="FF000000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va_q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Sheet1!$B$2:$B$28</c:f>
              <c:strCach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strCache>
            </c:strRef>
          </c:cat>
          <c:val>
            <c:numRef>
              <c:f>Sheet1!$C$2:$C$28</c:f>
              <c:numCache>
                <c:formatCode>0.00</c:formatCode>
                <c:ptCount val="27"/>
                <c:pt idx="0">
                  <c:v>463494911.524059</c:v>
                </c:pt>
                <c:pt idx="1">
                  <c:v>478390847.63077003</c:v>
                </c:pt>
                <c:pt idx="2">
                  <c:v>485459088.58859599</c:v>
                </c:pt>
                <c:pt idx="3">
                  <c:v>480048823.84213698</c:v>
                </c:pt>
                <c:pt idx="4">
                  <c:v>480423458.94138801</c:v>
                </c:pt>
                <c:pt idx="5">
                  <c:v>491397891.36571002</c:v>
                </c:pt>
                <c:pt idx="6">
                  <c:v>489831060.07862997</c:v>
                </c:pt>
                <c:pt idx="7">
                  <c:v>491827811.07048303</c:v>
                </c:pt>
                <c:pt idx="8">
                  <c:v>499670515.620125</c:v>
                </c:pt>
                <c:pt idx="9">
                  <c:v>510663887.02842301</c:v>
                </c:pt>
                <c:pt idx="10">
                  <c:v>522227849.632644</c:v>
                </c:pt>
                <c:pt idx="11">
                  <c:v>529586054.72097999</c:v>
                </c:pt>
                <c:pt idx="12">
                  <c:v>537901083.94433105</c:v>
                </c:pt>
                <c:pt idx="13">
                  <c:v>532263633.67620701</c:v>
                </c:pt>
                <c:pt idx="14">
                  <c:v>497448206.66842002</c:v>
                </c:pt>
                <c:pt idx="15">
                  <c:v>516597086.81589401</c:v>
                </c:pt>
                <c:pt idx="16">
                  <c:v>515836569.04726899</c:v>
                </c:pt>
                <c:pt idx="17">
                  <c:v>522261068.94423699</c:v>
                </c:pt>
                <c:pt idx="18">
                  <c:v>533078484.23495603</c:v>
                </c:pt>
                <c:pt idx="19">
                  <c:v>535497731.79818201</c:v>
                </c:pt>
                <c:pt idx="20">
                  <c:v>544526776.98032105</c:v>
                </c:pt>
                <c:pt idx="21">
                  <c:v>548715386.38096499</c:v>
                </c:pt>
                <c:pt idx="22">
                  <c:v>560522458.70053196</c:v>
                </c:pt>
                <c:pt idx="23">
                  <c:v>564875247.49539399</c:v>
                </c:pt>
                <c:pt idx="24">
                  <c:v>562385735.41634405</c:v>
                </c:pt>
                <c:pt idx="25">
                  <c:v>536382075</c:v>
                </c:pt>
                <c:pt idx="26">
                  <c:v>553595675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0-4446-AD0F-36BDC2B6D05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va_cp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Sheet1!$B$2:$B$28</c:f>
              <c:strCache>
                <c:ptCount val="27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</c:strCache>
            </c:strRef>
          </c:cat>
          <c:val>
            <c:numRef>
              <c:f>Sheet1!$D$2:$D$28</c:f>
              <c:numCache>
                <c:formatCode>0.00</c:formatCode>
                <c:ptCount val="27"/>
                <c:pt idx="0">
                  <c:v>517306724</c:v>
                </c:pt>
                <c:pt idx="1">
                  <c:v>530834859</c:v>
                </c:pt>
                <c:pt idx="2">
                  <c:v>541529315</c:v>
                </c:pt>
                <c:pt idx="3">
                  <c:v>535877014</c:v>
                </c:pt>
                <c:pt idx="4">
                  <c:v>529448867</c:v>
                </c:pt>
                <c:pt idx="5">
                  <c:v>535696744</c:v>
                </c:pt>
                <c:pt idx="6">
                  <c:v>528543826</c:v>
                </c:pt>
                <c:pt idx="7">
                  <c:v>524121819</c:v>
                </c:pt>
                <c:pt idx="8">
                  <c:v>524457508</c:v>
                </c:pt>
                <c:pt idx="9">
                  <c:v>530393903</c:v>
                </c:pt>
                <c:pt idx="10">
                  <c:v>534950813</c:v>
                </c:pt>
                <c:pt idx="11">
                  <c:v>536229058</c:v>
                </c:pt>
                <c:pt idx="12">
                  <c:v>540420032</c:v>
                </c:pt>
                <c:pt idx="13">
                  <c:v>528343873</c:v>
                </c:pt>
                <c:pt idx="14">
                  <c:v>495454345</c:v>
                </c:pt>
                <c:pt idx="15">
                  <c:v>505472156</c:v>
                </c:pt>
                <c:pt idx="16">
                  <c:v>494826464</c:v>
                </c:pt>
                <c:pt idx="17">
                  <c:v>497635100</c:v>
                </c:pt>
                <c:pt idx="18">
                  <c:v>505334233</c:v>
                </c:pt>
                <c:pt idx="19">
                  <c:v>514630732</c:v>
                </c:pt>
                <c:pt idx="20">
                  <c:v>534876041</c:v>
                </c:pt>
                <c:pt idx="21">
                  <c:v>542415663</c:v>
                </c:pt>
                <c:pt idx="22">
                  <c:v>550565614</c:v>
                </c:pt>
                <c:pt idx="23">
                  <c:v>553632009</c:v>
                </c:pt>
                <c:pt idx="24">
                  <c:v>554957808</c:v>
                </c:pt>
                <c:pt idx="25">
                  <c:v>536382075</c:v>
                </c:pt>
                <c:pt idx="26">
                  <c:v>547406749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10-4446-AD0F-36BDC2B6D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512832"/>
        <c:axId val="1116515232"/>
      </c:lineChart>
      <c:catAx>
        <c:axId val="111651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6515232"/>
        <c:crosses val="autoZero"/>
        <c:auto val="1"/>
        <c:lblAlgn val="ctr"/>
        <c:lblOffset val="100"/>
        <c:noMultiLvlLbl val="0"/>
      </c:catAx>
      <c:valAx>
        <c:axId val="1116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651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3</xdr:row>
      <xdr:rowOff>133350</xdr:rowOff>
    </xdr:from>
    <xdr:to>
      <xdr:col>15</xdr:col>
      <xdr:colOff>259080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03B97-4B7E-5C35-7982-75B2B45D8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tabSelected="1" workbookViewId="0">
      <selection activeCell="H19" sqref="H19"/>
    </sheetView>
  </sheetViews>
  <sheetFormatPr defaultColWidth="11.5546875" defaultRowHeight="14.4" x14ac:dyDescent="0.3"/>
  <sheetData>
    <row r="1" spans="1:25" ht="18" x14ac:dyDescent="0.3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x14ac:dyDescent="0.35">
      <c r="A2" s="1" t="s">
        <v>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t="s">
        <v>41</v>
      </c>
    </row>
    <row r="4" spans="1:25" ht="18" x14ac:dyDescent="0.35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A5" t="s">
        <v>3</v>
      </c>
    </row>
    <row r="6" spans="1:25" ht="18" x14ac:dyDescent="0.35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x14ac:dyDescent="0.35">
      <c r="A7" s="2" t="s">
        <v>2</v>
      </c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4" t="str">
        <f>HYPERLINK("#'VA_CP'!A1", "VA_CP")</f>
        <v>VA_CP</v>
      </c>
      <c r="B8" t="s">
        <v>5</v>
      </c>
    </row>
    <row r="9" spans="1:25" x14ac:dyDescent="0.3">
      <c r="A9" s="4" t="str">
        <f>HYPERLINK("#'GO_CP'!A1", "GO_CP")</f>
        <v>GO_CP</v>
      </c>
      <c r="B9" t="s">
        <v>7</v>
      </c>
    </row>
    <row r="10" spans="1:25" x14ac:dyDescent="0.3">
      <c r="A10" s="4" t="str">
        <f>HYPERLINK("#'II_CP'!A1", "II_CP")</f>
        <v>II_CP</v>
      </c>
      <c r="B10" t="s">
        <v>9</v>
      </c>
    </row>
    <row r="11" spans="1:25" x14ac:dyDescent="0.3">
      <c r="A11" s="4" t="str">
        <f>HYPERLINK("#'VA_PYP'!A1", "VA_PYP")</f>
        <v>VA_PYP</v>
      </c>
      <c r="B11" t="s">
        <v>11</v>
      </c>
    </row>
    <row r="12" spans="1:25" x14ac:dyDescent="0.3">
      <c r="A12" s="4" t="str">
        <f>HYPERLINK("#'GO_PYP'!A1", "GO_PYP")</f>
        <v>GO_PYP</v>
      </c>
      <c r="B12" t="s">
        <v>13</v>
      </c>
    </row>
    <row r="13" spans="1:25" x14ac:dyDescent="0.3">
      <c r="A13" s="4" t="str">
        <f>HYPERLINK("#'II_PYP'!A1", "II_PYP")</f>
        <v>II_PYP</v>
      </c>
      <c r="B13" t="s">
        <v>15</v>
      </c>
    </row>
    <row r="14" spans="1:25" x14ac:dyDescent="0.3">
      <c r="A14" s="4" t="str">
        <f>HYPERLINK("#'COMP'!A1", "COMP")</f>
        <v>COMP</v>
      </c>
      <c r="B14" t="s">
        <v>17</v>
      </c>
    </row>
    <row r="15" spans="1:25" x14ac:dyDescent="0.3">
      <c r="A15" s="4" t="str">
        <f>HYPERLINK("#'EMP'!A1", "EMP")</f>
        <v>EMP</v>
      </c>
      <c r="B15" t="s">
        <v>19</v>
      </c>
    </row>
    <row r="16" spans="1:25" x14ac:dyDescent="0.3">
      <c r="A16" s="4" t="str">
        <f>HYPERLINK("#'EMPE'!A1", "EMPE")</f>
        <v>EMPE</v>
      </c>
      <c r="B16" t="s">
        <v>21</v>
      </c>
    </row>
    <row r="17" spans="1:25" x14ac:dyDescent="0.3">
      <c r="A17" s="4" t="str">
        <f>HYPERLINK("#'H_EMP'!A1", "H_EMP")</f>
        <v>H_EMP</v>
      </c>
      <c r="B17" t="s">
        <v>23</v>
      </c>
    </row>
    <row r="18" spans="1:25" x14ac:dyDescent="0.3">
      <c r="A18" s="4" t="str">
        <f>HYPERLINK("#'H_EMPE'!A1", "H_EMPE")</f>
        <v>H_EMPE</v>
      </c>
      <c r="B18" t="s">
        <v>25</v>
      </c>
    </row>
    <row r="19" spans="1:25" ht="18" x14ac:dyDescent="0.35">
      <c r="A19" s="2" t="s">
        <v>26</v>
      </c>
      <c r="B19" s="2" t="s">
        <v>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">
      <c r="A20" s="4" t="str">
        <f>HYPERLINK("#'VA_PI'!A1", "VA_PI")</f>
        <v>VA_PI</v>
      </c>
      <c r="B20" t="s">
        <v>28</v>
      </c>
    </row>
    <row r="21" spans="1:25" x14ac:dyDescent="0.3">
      <c r="A21" s="4" t="str">
        <f>HYPERLINK("#'GO_PI'!A1", "GO_PI")</f>
        <v>GO_PI</v>
      </c>
      <c r="B21" t="s">
        <v>30</v>
      </c>
    </row>
    <row r="22" spans="1:25" x14ac:dyDescent="0.3">
      <c r="A22" s="4" t="str">
        <f>HYPERLINK("#'II_PI'!A1", "II_PI")</f>
        <v>II_PI</v>
      </c>
      <c r="B22" t="s">
        <v>32</v>
      </c>
    </row>
    <row r="23" spans="1:25" ht="18" x14ac:dyDescent="0.35">
      <c r="A23" s="2" t="s">
        <v>33</v>
      </c>
      <c r="B23" s="2" t="s">
        <v>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">
      <c r="A24" s="4" t="str">
        <f>HYPERLINK("#'VA_Q'!A1", "VA_Q")</f>
        <v>VA_Q</v>
      </c>
      <c r="B24" t="s">
        <v>35</v>
      </c>
    </row>
    <row r="25" spans="1:25" x14ac:dyDescent="0.3">
      <c r="A25" s="4" t="str">
        <f>HYPERLINK("#'GO_Q'!A1", "GO_Q")</f>
        <v>GO_Q</v>
      </c>
      <c r="B25" t="s">
        <v>37</v>
      </c>
    </row>
    <row r="26" spans="1:25" x14ac:dyDescent="0.3">
      <c r="A26" s="4" t="str">
        <f>HYPERLINK("#'II_Q'!A1", "II_Q")</f>
        <v>II_Q</v>
      </c>
      <c r="B26" t="s">
        <v>39</v>
      </c>
    </row>
    <row r="27" spans="1:25" x14ac:dyDescent="0.3">
      <c r="A27" t="s">
        <v>3</v>
      </c>
    </row>
    <row r="28" spans="1:25" x14ac:dyDescent="0.3">
      <c r="A28" t="s">
        <v>3</v>
      </c>
    </row>
    <row r="29" spans="1:25" ht="18" x14ac:dyDescent="0.35">
      <c r="A29" s="1" t="s">
        <v>43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3" t="s">
        <v>44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3">
      <c r="A31" s="3" t="s">
        <v>45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3">
      <c r="A32" s="3" t="s">
        <v>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8" x14ac:dyDescent="0.35">
      <c r="A33" s="1" t="s">
        <v>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t="s">
        <v>3</v>
      </c>
    </row>
    <row r="35" spans="1:25" ht="18" x14ac:dyDescent="0.35">
      <c r="A35" s="1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3" t="s">
        <v>48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">
      <c r="A37" s="3" t="s">
        <v>49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">
      <c r="A38" s="3" t="s">
        <v>50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3">
      <c r="A39" s="3" t="s">
        <v>51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opLeftCell="P27" workbookViewId="0">
      <selection activeCell="F57" sqref="F57:AF57"/>
    </sheetView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4</v>
      </c>
      <c r="B2" t="s">
        <v>84</v>
      </c>
      <c r="C2" t="s">
        <v>86</v>
      </c>
      <c r="D2" t="s">
        <v>85</v>
      </c>
      <c r="E2" t="s">
        <v>87</v>
      </c>
      <c r="F2">
        <v>8766147</v>
      </c>
      <c r="G2">
        <v>9030867</v>
      </c>
      <c r="H2">
        <v>8470507</v>
      </c>
      <c r="I2">
        <v>8758820</v>
      </c>
      <c r="J2">
        <v>8468418</v>
      </c>
      <c r="K2">
        <v>8265460</v>
      </c>
      <c r="L2">
        <v>7409000</v>
      </c>
      <c r="M2">
        <v>7365383</v>
      </c>
      <c r="N2">
        <v>6961326</v>
      </c>
      <c r="O2">
        <v>6675307</v>
      </c>
      <c r="P2">
        <v>6099007</v>
      </c>
      <c r="Q2">
        <v>5988559</v>
      </c>
      <c r="R2">
        <v>5889910</v>
      </c>
      <c r="S2">
        <v>5784926</v>
      </c>
      <c r="T2">
        <v>5587961</v>
      </c>
      <c r="U2">
        <v>5844162</v>
      </c>
      <c r="V2">
        <v>5627203</v>
      </c>
      <c r="W2">
        <v>5870872</v>
      </c>
      <c r="X2">
        <v>5675355</v>
      </c>
      <c r="Y2">
        <v>5450738</v>
      </c>
      <c r="Z2">
        <v>5856616</v>
      </c>
      <c r="AA2">
        <v>6435194</v>
      </c>
      <c r="AB2">
        <v>6567050</v>
      </c>
      <c r="AC2">
        <v>6133890</v>
      </c>
      <c r="AD2">
        <v>6143632</v>
      </c>
      <c r="AE2">
        <v>5942145</v>
      </c>
      <c r="AF2">
        <v>5675594</v>
      </c>
    </row>
    <row r="3" spans="1:32" x14ac:dyDescent="0.3">
      <c r="A3" t="s">
        <v>4</v>
      </c>
      <c r="B3" t="s">
        <v>88</v>
      </c>
      <c r="C3" t="s">
        <v>86</v>
      </c>
      <c r="D3" t="s">
        <v>89</v>
      </c>
      <c r="E3" t="s">
        <v>87</v>
      </c>
      <c r="F3">
        <v>840109</v>
      </c>
      <c r="G3">
        <v>837932</v>
      </c>
      <c r="H3">
        <v>781299</v>
      </c>
      <c r="I3">
        <v>716409</v>
      </c>
      <c r="J3">
        <v>627438</v>
      </c>
      <c r="K3">
        <v>611308</v>
      </c>
      <c r="L3">
        <v>601336</v>
      </c>
      <c r="M3">
        <v>520477</v>
      </c>
      <c r="N3">
        <v>492818</v>
      </c>
      <c r="O3">
        <v>411710</v>
      </c>
      <c r="P3">
        <v>410614</v>
      </c>
      <c r="Q3">
        <v>400541</v>
      </c>
      <c r="R3">
        <v>395162</v>
      </c>
      <c r="S3">
        <v>354871</v>
      </c>
      <c r="T3">
        <v>292793</v>
      </c>
      <c r="U3">
        <v>312173</v>
      </c>
      <c r="V3">
        <v>321127</v>
      </c>
      <c r="W3">
        <v>309229</v>
      </c>
      <c r="X3">
        <v>360514</v>
      </c>
      <c r="Y3">
        <v>398695</v>
      </c>
      <c r="Z3">
        <v>409241</v>
      </c>
      <c r="AA3">
        <v>364166</v>
      </c>
      <c r="AB3">
        <v>385642</v>
      </c>
      <c r="AC3">
        <v>383815</v>
      </c>
      <c r="AD3">
        <v>382684</v>
      </c>
      <c r="AE3">
        <v>382131</v>
      </c>
      <c r="AF3">
        <v>367518</v>
      </c>
    </row>
    <row r="4" spans="1:32" x14ac:dyDescent="0.3">
      <c r="A4" t="s">
        <v>4</v>
      </c>
      <c r="B4" t="s">
        <v>90</v>
      </c>
      <c r="C4" t="s">
        <v>86</v>
      </c>
      <c r="D4" t="s">
        <v>91</v>
      </c>
      <c r="E4" t="s">
        <v>87</v>
      </c>
      <c r="F4">
        <v>122945667</v>
      </c>
      <c r="G4">
        <v>125593928</v>
      </c>
      <c r="H4">
        <v>127380180</v>
      </c>
      <c r="I4">
        <v>122966139</v>
      </c>
      <c r="J4">
        <v>118716033</v>
      </c>
      <c r="K4">
        <v>120597820</v>
      </c>
      <c r="L4">
        <v>112652178</v>
      </c>
      <c r="M4">
        <v>109003113</v>
      </c>
      <c r="N4">
        <v>109927976</v>
      </c>
      <c r="O4">
        <v>112135882</v>
      </c>
      <c r="P4">
        <v>114387543</v>
      </c>
      <c r="Q4">
        <v>114826468</v>
      </c>
      <c r="R4">
        <v>118271999</v>
      </c>
      <c r="S4">
        <v>112582714</v>
      </c>
      <c r="T4">
        <v>94537012</v>
      </c>
      <c r="U4">
        <v>105242212</v>
      </c>
      <c r="V4">
        <v>97426352</v>
      </c>
      <c r="W4">
        <v>98699842</v>
      </c>
      <c r="X4">
        <v>98602489</v>
      </c>
      <c r="Y4">
        <v>101942467</v>
      </c>
      <c r="Z4">
        <v>110415763</v>
      </c>
      <c r="AA4">
        <v>110738622</v>
      </c>
      <c r="AB4">
        <v>113320057</v>
      </c>
      <c r="AC4">
        <v>115072008</v>
      </c>
      <c r="AD4">
        <v>113112038</v>
      </c>
      <c r="AE4">
        <v>108011729</v>
      </c>
      <c r="AF4">
        <v>112701474</v>
      </c>
    </row>
    <row r="5" spans="1:32" x14ac:dyDescent="0.3">
      <c r="A5" t="s">
        <v>4</v>
      </c>
      <c r="B5" t="s">
        <v>92</v>
      </c>
      <c r="C5" t="s">
        <v>86</v>
      </c>
      <c r="D5" t="s">
        <v>93</v>
      </c>
      <c r="E5" t="s">
        <v>87</v>
      </c>
      <c r="F5">
        <v>13610539</v>
      </c>
      <c r="G5">
        <v>13618562</v>
      </c>
      <c r="H5">
        <v>13829309</v>
      </c>
      <c r="I5">
        <v>14221901</v>
      </c>
      <c r="J5">
        <v>14658012</v>
      </c>
      <c r="K5">
        <v>14562319</v>
      </c>
      <c r="L5">
        <v>14473957</v>
      </c>
      <c r="M5">
        <v>14194453</v>
      </c>
      <c r="N5">
        <v>14066293</v>
      </c>
      <c r="O5">
        <v>13896431</v>
      </c>
      <c r="P5">
        <v>13210612</v>
      </c>
      <c r="Q5">
        <v>12900628</v>
      </c>
      <c r="R5">
        <v>12940799</v>
      </c>
      <c r="S5">
        <v>12714474</v>
      </c>
      <c r="T5">
        <v>12430297</v>
      </c>
      <c r="U5">
        <v>12703152</v>
      </c>
      <c r="V5">
        <v>12179509</v>
      </c>
      <c r="W5">
        <v>12375022</v>
      </c>
      <c r="X5">
        <v>12175353</v>
      </c>
      <c r="Y5">
        <v>12453154</v>
      </c>
      <c r="Z5">
        <v>13516796</v>
      </c>
      <c r="AA5">
        <v>13989523</v>
      </c>
      <c r="AB5">
        <v>13914102</v>
      </c>
      <c r="AC5">
        <v>13762402</v>
      </c>
      <c r="AD5">
        <v>13923325</v>
      </c>
      <c r="AE5">
        <v>13181470</v>
      </c>
      <c r="AF5">
        <v>13396806</v>
      </c>
    </row>
    <row r="6" spans="1:32" x14ac:dyDescent="0.3">
      <c r="A6" t="s">
        <v>4</v>
      </c>
      <c r="B6" t="s">
        <v>94</v>
      </c>
      <c r="C6" t="s">
        <v>86</v>
      </c>
      <c r="D6" t="s">
        <v>95</v>
      </c>
      <c r="E6" t="s">
        <v>87</v>
      </c>
      <c r="F6">
        <v>4734580</v>
      </c>
      <c r="G6">
        <v>4380022</v>
      </c>
      <c r="H6">
        <v>4082333</v>
      </c>
      <c r="I6">
        <v>3870778</v>
      </c>
      <c r="J6">
        <v>3317564</v>
      </c>
      <c r="K6">
        <v>2991096</v>
      </c>
      <c r="L6">
        <v>2542526</v>
      </c>
      <c r="M6">
        <v>2251869</v>
      </c>
      <c r="N6">
        <v>2083791</v>
      </c>
      <c r="O6">
        <v>1953301</v>
      </c>
      <c r="P6">
        <v>1736391</v>
      </c>
      <c r="Q6">
        <v>1681783</v>
      </c>
      <c r="R6">
        <v>1711839</v>
      </c>
      <c r="S6">
        <v>1619660</v>
      </c>
      <c r="T6">
        <v>1358623</v>
      </c>
      <c r="U6">
        <v>1261221</v>
      </c>
      <c r="V6">
        <v>1282422</v>
      </c>
      <c r="W6">
        <v>1316282</v>
      </c>
      <c r="X6">
        <v>1241925</v>
      </c>
      <c r="Y6">
        <v>1278634</v>
      </c>
      <c r="Z6">
        <v>1489838</v>
      </c>
      <c r="AA6">
        <v>1288763</v>
      </c>
      <c r="AB6">
        <v>1226083</v>
      </c>
      <c r="AC6">
        <v>1292233</v>
      </c>
      <c r="AD6">
        <v>1310350</v>
      </c>
      <c r="AE6">
        <v>1223550</v>
      </c>
      <c r="AF6">
        <v>1074669</v>
      </c>
    </row>
    <row r="7" spans="1:32" x14ac:dyDescent="0.3">
      <c r="A7" t="s">
        <v>4</v>
      </c>
      <c r="B7" t="s">
        <v>96</v>
      </c>
      <c r="C7" t="s">
        <v>86</v>
      </c>
      <c r="D7" t="s">
        <v>97</v>
      </c>
      <c r="E7" t="s">
        <v>87</v>
      </c>
      <c r="F7">
        <v>8940642</v>
      </c>
      <c r="G7">
        <v>9054353</v>
      </c>
      <c r="H7">
        <v>9047680</v>
      </c>
      <c r="I7">
        <v>8807456</v>
      </c>
      <c r="J7">
        <v>8331493</v>
      </c>
      <c r="K7">
        <v>8487482</v>
      </c>
      <c r="L7">
        <v>8012369</v>
      </c>
      <c r="M7">
        <v>7468066</v>
      </c>
      <c r="N7">
        <v>7288572</v>
      </c>
      <c r="O7">
        <v>7220775</v>
      </c>
      <c r="P7">
        <v>7296691</v>
      </c>
      <c r="Q7">
        <v>6752400</v>
      </c>
      <c r="R7">
        <v>6445261</v>
      </c>
      <c r="S7">
        <v>6176254</v>
      </c>
      <c r="T7">
        <v>5755883</v>
      </c>
      <c r="U7">
        <v>5838639</v>
      </c>
      <c r="V7">
        <v>5483509</v>
      </c>
      <c r="W7">
        <v>5280945</v>
      </c>
      <c r="X7">
        <v>5384977</v>
      </c>
      <c r="Y7">
        <v>5483332</v>
      </c>
      <c r="Z7">
        <v>6089581</v>
      </c>
      <c r="AA7">
        <v>6096026</v>
      </c>
      <c r="AB7">
        <v>5993792</v>
      </c>
      <c r="AC7">
        <v>5866359</v>
      </c>
      <c r="AD7">
        <v>6090477</v>
      </c>
      <c r="AE7">
        <v>5676079</v>
      </c>
      <c r="AF7">
        <v>5826937</v>
      </c>
    </row>
    <row r="8" spans="1:32" x14ac:dyDescent="0.3">
      <c r="A8" t="s">
        <v>4</v>
      </c>
      <c r="B8" t="s">
        <v>98</v>
      </c>
      <c r="C8" t="s">
        <v>86</v>
      </c>
      <c r="D8" t="s">
        <v>99</v>
      </c>
      <c r="E8" t="s">
        <v>87</v>
      </c>
      <c r="F8">
        <v>5449877</v>
      </c>
      <c r="G8">
        <v>6046721</v>
      </c>
      <c r="H8">
        <v>6378182</v>
      </c>
      <c r="I8">
        <v>5969288</v>
      </c>
      <c r="J8">
        <v>5717542</v>
      </c>
      <c r="K8">
        <v>5512574</v>
      </c>
      <c r="L8">
        <v>5519130</v>
      </c>
      <c r="M8">
        <v>5678313</v>
      </c>
      <c r="N8">
        <v>5238146</v>
      </c>
      <c r="O8">
        <v>5323661</v>
      </c>
      <c r="P8">
        <v>5140643</v>
      </c>
      <c r="Q8">
        <v>5342748</v>
      </c>
      <c r="R8">
        <v>4978675</v>
      </c>
      <c r="S8">
        <v>4972166</v>
      </c>
      <c r="T8">
        <v>4588550</v>
      </c>
      <c r="U8">
        <v>5204109</v>
      </c>
      <c r="V8">
        <v>4442333</v>
      </c>
      <c r="W8">
        <v>4423491</v>
      </c>
      <c r="X8">
        <v>5199108</v>
      </c>
      <c r="Y8">
        <v>4927085</v>
      </c>
      <c r="Z8">
        <v>5259987</v>
      </c>
      <c r="AA8">
        <v>5671658</v>
      </c>
      <c r="AB8">
        <v>5823060</v>
      </c>
      <c r="AC8">
        <v>5740952</v>
      </c>
      <c r="AD8">
        <v>5833319</v>
      </c>
      <c r="AE8">
        <v>5826296</v>
      </c>
      <c r="AF8">
        <v>6877362</v>
      </c>
    </row>
    <row r="9" spans="1:32" x14ac:dyDescent="0.3">
      <c r="A9" t="s">
        <v>4</v>
      </c>
      <c r="B9" t="s">
        <v>100</v>
      </c>
      <c r="C9" t="s">
        <v>86</v>
      </c>
      <c r="D9" t="s">
        <v>101</v>
      </c>
      <c r="E9" t="s">
        <v>87</v>
      </c>
      <c r="F9">
        <v>7900495</v>
      </c>
      <c r="G9">
        <v>7840548</v>
      </c>
      <c r="H9">
        <v>7978014</v>
      </c>
      <c r="I9">
        <v>7460882</v>
      </c>
      <c r="J9">
        <v>7616538</v>
      </c>
      <c r="K9">
        <v>6991647</v>
      </c>
      <c r="L9">
        <v>6762271</v>
      </c>
      <c r="M9">
        <v>6706728</v>
      </c>
      <c r="N9">
        <v>6652730</v>
      </c>
      <c r="O9">
        <v>6474619</v>
      </c>
      <c r="P9">
        <v>6436491</v>
      </c>
      <c r="Q9">
        <v>6097717</v>
      </c>
      <c r="R9">
        <v>6182003</v>
      </c>
      <c r="S9">
        <v>5576135</v>
      </c>
      <c r="T9">
        <v>5653749</v>
      </c>
      <c r="U9">
        <v>6086565</v>
      </c>
      <c r="V9">
        <v>5689222</v>
      </c>
      <c r="W9">
        <v>5851408</v>
      </c>
      <c r="X9">
        <v>5889393</v>
      </c>
      <c r="Y9">
        <v>5866554</v>
      </c>
      <c r="Z9">
        <v>7167355</v>
      </c>
      <c r="AA9">
        <v>7648028</v>
      </c>
      <c r="AB9">
        <v>7490950</v>
      </c>
      <c r="AC9">
        <v>7462703</v>
      </c>
      <c r="AD9">
        <v>7981581</v>
      </c>
      <c r="AE9">
        <v>8124291</v>
      </c>
      <c r="AF9">
        <v>7701491</v>
      </c>
    </row>
    <row r="10" spans="1:32" x14ac:dyDescent="0.3">
      <c r="A10" t="s">
        <v>4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4</v>
      </c>
      <c r="B11" t="s">
        <v>104</v>
      </c>
      <c r="C11" t="s">
        <v>86</v>
      </c>
      <c r="D11" t="s">
        <v>105</v>
      </c>
      <c r="E11" t="s">
        <v>87</v>
      </c>
      <c r="F11">
        <v>3659015</v>
      </c>
      <c r="G11">
        <v>3727399</v>
      </c>
      <c r="H11">
        <v>3777307</v>
      </c>
      <c r="I11">
        <v>3771765</v>
      </c>
      <c r="J11">
        <v>3877432</v>
      </c>
      <c r="K11">
        <v>4224114</v>
      </c>
      <c r="L11">
        <v>4134929</v>
      </c>
      <c r="M11">
        <v>4250821</v>
      </c>
      <c r="N11">
        <v>4423761</v>
      </c>
      <c r="O11">
        <v>4374247</v>
      </c>
      <c r="P11">
        <v>4237454</v>
      </c>
      <c r="Q11">
        <v>4377428</v>
      </c>
      <c r="R11">
        <v>4250677</v>
      </c>
      <c r="S11">
        <v>4231417</v>
      </c>
      <c r="T11">
        <v>4353826</v>
      </c>
      <c r="U11">
        <v>4647345</v>
      </c>
      <c r="V11">
        <v>4554415</v>
      </c>
      <c r="W11">
        <v>4300369</v>
      </c>
      <c r="X11">
        <v>4241057</v>
      </c>
      <c r="Y11">
        <v>4003012</v>
      </c>
      <c r="Z11">
        <v>4318310</v>
      </c>
      <c r="AA11">
        <v>4562213</v>
      </c>
      <c r="AB11">
        <v>4489816</v>
      </c>
      <c r="AC11">
        <v>4475910</v>
      </c>
      <c r="AD11">
        <v>4367793</v>
      </c>
      <c r="AE11">
        <v>4591255</v>
      </c>
      <c r="AF11">
        <v>4342964</v>
      </c>
    </row>
    <row r="12" spans="1:32" x14ac:dyDescent="0.3">
      <c r="A12" t="s">
        <v>4</v>
      </c>
      <c r="B12" t="s">
        <v>106</v>
      </c>
      <c r="C12" t="s">
        <v>86</v>
      </c>
      <c r="D12" t="s">
        <v>107</v>
      </c>
      <c r="E12" t="s">
        <v>87</v>
      </c>
      <c r="F12">
        <v>9982696</v>
      </c>
      <c r="G12">
        <v>9952356</v>
      </c>
      <c r="H12">
        <v>9906002</v>
      </c>
      <c r="I12">
        <v>9453068</v>
      </c>
      <c r="J12">
        <v>8985964</v>
      </c>
      <c r="K12">
        <v>9113462</v>
      </c>
      <c r="L12">
        <v>8464224</v>
      </c>
      <c r="M12">
        <v>8075013</v>
      </c>
      <c r="N12">
        <v>8175007</v>
      </c>
      <c r="O12">
        <v>8637614</v>
      </c>
      <c r="P12">
        <v>8578629</v>
      </c>
      <c r="Q12">
        <v>8353293</v>
      </c>
      <c r="R12">
        <v>8901008</v>
      </c>
      <c r="S12">
        <v>8331574</v>
      </c>
      <c r="T12">
        <v>6879375</v>
      </c>
      <c r="U12">
        <v>7704963</v>
      </c>
      <c r="V12">
        <v>7464413</v>
      </c>
      <c r="W12">
        <v>7344368</v>
      </c>
      <c r="X12">
        <v>7482129</v>
      </c>
      <c r="Y12">
        <v>7683666</v>
      </c>
      <c r="Z12">
        <v>8488208</v>
      </c>
      <c r="AA12">
        <v>8307352</v>
      </c>
      <c r="AB12">
        <v>8606366</v>
      </c>
      <c r="AC12">
        <v>8878198</v>
      </c>
      <c r="AD12">
        <v>9015390</v>
      </c>
      <c r="AE12">
        <v>9092588</v>
      </c>
      <c r="AF12">
        <v>9057162</v>
      </c>
    </row>
    <row r="13" spans="1:32" x14ac:dyDescent="0.3">
      <c r="A13" t="s">
        <v>4</v>
      </c>
      <c r="B13" t="s">
        <v>108</v>
      </c>
      <c r="C13" t="s">
        <v>86</v>
      </c>
      <c r="D13" t="s">
        <v>109</v>
      </c>
      <c r="E13" t="s">
        <v>87</v>
      </c>
      <c r="F13">
        <v>15410253</v>
      </c>
      <c r="G13">
        <v>15474577</v>
      </c>
      <c r="H13">
        <v>15752167</v>
      </c>
      <c r="I13">
        <v>13947212</v>
      </c>
      <c r="J13">
        <v>13291671</v>
      </c>
      <c r="K13">
        <v>14070504</v>
      </c>
      <c r="L13">
        <v>12963342</v>
      </c>
      <c r="M13">
        <v>11910986</v>
      </c>
      <c r="N13">
        <v>12156233</v>
      </c>
      <c r="O13">
        <v>12815240</v>
      </c>
      <c r="P13">
        <v>14322684</v>
      </c>
      <c r="Q13">
        <v>14540155</v>
      </c>
      <c r="R13">
        <v>15142024</v>
      </c>
      <c r="S13">
        <v>15041308</v>
      </c>
      <c r="T13">
        <v>11849623</v>
      </c>
      <c r="U13">
        <v>14453809</v>
      </c>
      <c r="V13">
        <v>12347192</v>
      </c>
      <c r="W13">
        <v>13596490</v>
      </c>
      <c r="X13">
        <v>13684898</v>
      </c>
      <c r="Y13">
        <v>14517636</v>
      </c>
      <c r="Z13">
        <v>15185381</v>
      </c>
      <c r="AA13">
        <v>15446685</v>
      </c>
      <c r="AB13">
        <v>15752912</v>
      </c>
      <c r="AC13">
        <v>15801295</v>
      </c>
      <c r="AD13">
        <v>15456519</v>
      </c>
      <c r="AE13">
        <v>14246950</v>
      </c>
      <c r="AF13">
        <v>15535741</v>
      </c>
    </row>
    <row r="14" spans="1:32" x14ac:dyDescent="0.3">
      <c r="A14" t="s">
        <v>4</v>
      </c>
      <c r="B14" t="s">
        <v>110</v>
      </c>
      <c r="C14" t="s">
        <v>86</v>
      </c>
      <c r="D14" t="s">
        <v>111</v>
      </c>
      <c r="E14" t="s">
        <v>87</v>
      </c>
      <c r="F14">
        <v>16008028</v>
      </c>
      <c r="G14">
        <v>16920553</v>
      </c>
      <c r="H14">
        <v>17563983</v>
      </c>
      <c r="I14">
        <v>17110319</v>
      </c>
      <c r="J14">
        <v>17029957</v>
      </c>
      <c r="K14">
        <v>18382106</v>
      </c>
      <c r="L14">
        <v>14768194</v>
      </c>
      <c r="M14">
        <v>14067412</v>
      </c>
      <c r="N14">
        <v>14996846</v>
      </c>
      <c r="O14">
        <v>15513451</v>
      </c>
      <c r="P14">
        <v>15250915</v>
      </c>
      <c r="Q14">
        <v>15635754</v>
      </c>
      <c r="R14">
        <v>16320792</v>
      </c>
      <c r="S14">
        <v>14897149</v>
      </c>
      <c r="T14">
        <v>11765948</v>
      </c>
      <c r="U14">
        <v>13108192</v>
      </c>
      <c r="V14">
        <v>11470946</v>
      </c>
      <c r="W14">
        <v>10140544</v>
      </c>
      <c r="X14">
        <v>10034740</v>
      </c>
      <c r="Y14">
        <v>10511704</v>
      </c>
      <c r="Z14">
        <v>11258137</v>
      </c>
      <c r="AA14">
        <v>10898186</v>
      </c>
      <c r="AB14">
        <v>10873317</v>
      </c>
      <c r="AC14">
        <v>11596439</v>
      </c>
      <c r="AD14">
        <v>10623583</v>
      </c>
      <c r="AE14">
        <v>10578765</v>
      </c>
      <c r="AF14">
        <v>11633892</v>
      </c>
    </row>
    <row r="15" spans="1:32" x14ac:dyDescent="0.3">
      <c r="A15" t="s">
        <v>4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4</v>
      </c>
      <c r="B16" t="s">
        <v>114</v>
      </c>
      <c r="C16" t="s">
        <v>86</v>
      </c>
      <c r="D16" t="s">
        <v>115</v>
      </c>
      <c r="E16" t="s">
        <v>87</v>
      </c>
      <c r="F16">
        <v>9484964</v>
      </c>
      <c r="G16">
        <v>9313531</v>
      </c>
      <c r="H16">
        <v>9384004</v>
      </c>
      <c r="I16">
        <v>8771928</v>
      </c>
      <c r="J16">
        <v>8178000</v>
      </c>
      <c r="K16">
        <v>8481380</v>
      </c>
      <c r="L16">
        <v>7702936</v>
      </c>
      <c r="M16">
        <v>6854734</v>
      </c>
      <c r="N16">
        <v>7055823</v>
      </c>
      <c r="O16">
        <v>7122515</v>
      </c>
      <c r="P16">
        <v>7300142</v>
      </c>
      <c r="Q16">
        <v>7530784</v>
      </c>
      <c r="R16">
        <v>7811978</v>
      </c>
      <c r="S16">
        <v>7146732</v>
      </c>
      <c r="T16">
        <v>5902461</v>
      </c>
      <c r="U16">
        <v>6442970</v>
      </c>
      <c r="V16">
        <v>6138941</v>
      </c>
      <c r="W16">
        <v>6020288</v>
      </c>
      <c r="X16">
        <v>5963160</v>
      </c>
      <c r="Y16">
        <v>6635222</v>
      </c>
      <c r="Z16">
        <v>6630454</v>
      </c>
      <c r="AA16">
        <v>6577412</v>
      </c>
      <c r="AB16">
        <v>7055715</v>
      </c>
      <c r="AC16">
        <v>7632407</v>
      </c>
      <c r="AD16">
        <v>7364742</v>
      </c>
      <c r="AE16">
        <v>6836641</v>
      </c>
      <c r="AF16">
        <v>6686762</v>
      </c>
    </row>
    <row r="17" spans="1:32" x14ac:dyDescent="0.3">
      <c r="A17" t="s">
        <v>4</v>
      </c>
      <c r="B17" t="s">
        <v>116</v>
      </c>
      <c r="C17" t="s">
        <v>86</v>
      </c>
      <c r="D17" t="s">
        <v>117</v>
      </c>
      <c r="E17" t="s">
        <v>87</v>
      </c>
      <c r="F17">
        <v>11890077</v>
      </c>
      <c r="G17">
        <v>12764122</v>
      </c>
      <c r="H17">
        <v>13365666</v>
      </c>
      <c r="I17">
        <v>12599157</v>
      </c>
      <c r="J17">
        <v>11650608</v>
      </c>
      <c r="K17">
        <v>12118205</v>
      </c>
      <c r="L17">
        <v>11448459</v>
      </c>
      <c r="M17">
        <v>10077849</v>
      </c>
      <c r="N17">
        <v>10740683</v>
      </c>
      <c r="O17">
        <v>11468161</v>
      </c>
      <c r="P17">
        <v>12166661</v>
      </c>
      <c r="Q17">
        <v>12985110</v>
      </c>
      <c r="R17">
        <v>13828986</v>
      </c>
      <c r="S17">
        <v>13688186</v>
      </c>
      <c r="T17">
        <v>9652942</v>
      </c>
      <c r="U17">
        <v>11025858</v>
      </c>
      <c r="V17">
        <v>11761044</v>
      </c>
      <c r="W17">
        <v>12071556</v>
      </c>
      <c r="X17">
        <v>11727724</v>
      </c>
      <c r="Y17">
        <v>12300977</v>
      </c>
      <c r="Z17">
        <v>13387489</v>
      </c>
      <c r="AA17">
        <v>13279717</v>
      </c>
      <c r="AB17">
        <v>14382274</v>
      </c>
      <c r="AC17">
        <v>15157580</v>
      </c>
      <c r="AD17">
        <v>14629285</v>
      </c>
      <c r="AE17">
        <v>13337438</v>
      </c>
      <c r="AF17">
        <v>14808805</v>
      </c>
    </row>
    <row r="18" spans="1:32" x14ac:dyDescent="0.3">
      <c r="A18" t="s">
        <v>4</v>
      </c>
      <c r="B18" t="s">
        <v>118</v>
      </c>
      <c r="C18" t="s">
        <v>86</v>
      </c>
      <c r="D18" t="s">
        <v>119</v>
      </c>
      <c r="E18" t="s">
        <v>87</v>
      </c>
      <c r="F18">
        <v>12612936</v>
      </c>
      <c r="G18">
        <v>13234862</v>
      </c>
      <c r="H18">
        <v>13092597</v>
      </c>
      <c r="I18">
        <v>13836853</v>
      </c>
      <c r="J18">
        <v>13197228</v>
      </c>
      <c r="K18">
        <v>12742805</v>
      </c>
      <c r="L18">
        <v>13137059</v>
      </c>
      <c r="M18">
        <v>14942730</v>
      </c>
      <c r="N18">
        <v>14636946</v>
      </c>
      <c r="O18">
        <v>15026051</v>
      </c>
      <c r="P18">
        <v>16326737</v>
      </c>
      <c r="Q18">
        <v>16386554</v>
      </c>
      <c r="R18">
        <v>17459798</v>
      </c>
      <c r="S18">
        <v>15987720</v>
      </c>
      <c r="T18">
        <v>12508000</v>
      </c>
      <c r="U18">
        <v>14897842</v>
      </c>
      <c r="V18">
        <v>12796021</v>
      </c>
      <c r="W18">
        <v>14163981</v>
      </c>
      <c r="X18">
        <v>13705655</v>
      </c>
      <c r="Y18">
        <v>14318765</v>
      </c>
      <c r="Z18">
        <v>15554174</v>
      </c>
      <c r="AA18">
        <v>14998952</v>
      </c>
      <c r="AB18">
        <v>15622329</v>
      </c>
      <c r="AC18">
        <v>15207600</v>
      </c>
      <c r="AD18">
        <v>14251622</v>
      </c>
      <c r="AE18">
        <v>13086223</v>
      </c>
      <c r="AF18">
        <v>13455563</v>
      </c>
    </row>
    <row r="19" spans="1:32" x14ac:dyDescent="0.3">
      <c r="A19" t="s">
        <v>4</v>
      </c>
      <c r="B19" t="s">
        <v>120</v>
      </c>
      <c r="C19" t="s">
        <v>86</v>
      </c>
      <c r="D19" t="s">
        <v>121</v>
      </c>
      <c r="E19" t="s">
        <v>87</v>
      </c>
      <c r="F19">
        <v>3261565</v>
      </c>
      <c r="G19">
        <v>3266322</v>
      </c>
      <c r="H19">
        <v>3222936</v>
      </c>
      <c r="I19">
        <v>3145532</v>
      </c>
      <c r="J19">
        <v>2864024</v>
      </c>
      <c r="K19">
        <v>2920126</v>
      </c>
      <c r="L19">
        <v>2722782</v>
      </c>
      <c r="M19">
        <v>2524139</v>
      </c>
      <c r="N19">
        <v>2413145</v>
      </c>
      <c r="O19">
        <v>2309816</v>
      </c>
      <c r="P19">
        <v>2383493</v>
      </c>
      <c r="Q19">
        <v>2242114</v>
      </c>
      <c r="R19">
        <v>2298159</v>
      </c>
      <c r="S19">
        <v>2199939</v>
      </c>
      <c r="T19">
        <v>1837735</v>
      </c>
      <c r="U19">
        <v>1867547</v>
      </c>
      <c r="V19">
        <v>1816385</v>
      </c>
      <c r="W19">
        <v>1815098</v>
      </c>
      <c r="X19">
        <v>1872370</v>
      </c>
      <c r="Y19">
        <v>1962726</v>
      </c>
      <c r="Z19">
        <v>2070053</v>
      </c>
      <c r="AA19">
        <v>1974107</v>
      </c>
      <c r="AB19">
        <v>2089341</v>
      </c>
      <c r="AC19">
        <v>2197930</v>
      </c>
      <c r="AD19">
        <v>2264052</v>
      </c>
      <c r="AE19">
        <v>2210183</v>
      </c>
      <c r="AF19">
        <v>2303320</v>
      </c>
    </row>
    <row r="20" spans="1:32" x14ac:dyDescent="0.3">
      <c r="A20" t="s">
        <v>4</v>
      </c>
      <c r="B20" t="s">
        <v>122</v>
      </c>
      <c r="C20" t="s">
        <v>86</v>
      </c>
      <c r="D20" t="s">
        <v>123</v>
      </c>
      <c r="E20" t="s">
        <v>87</v>
      </c>
      <c r="F20">
        <v>10772636</v>
      </c>
      <c r="G20">
        <v>10780663</v>
      </c>
      <c r="H20">
        <v>11536700</v>
      </c>
      <c r="I20">
        <v>11816421</v>
      </c>
      <c r="J20">
        <v>11682062</v>
      </c>
      <c r="K20">
        <v>11395190</v>
      </c>
      <c r="L20">
        <v>11451741</v>
      </c>
      <c r="M20">
        <v>10945578</v>
      </c>
      <c r="N20">
        <v>10358183</v>
      </c>
      <c r="O20">
        <v>10175358</v>
      </c>
      <c r="P20">
        <v>9320916</v>
      </c>
      <c r="Q20">
        <v>8611923</v>
      </c>
      <c r="R20">
        <v>7552583</v>
      </c>
      <c r="S20">
        <v>6711027</v>
      </c>
      <c r="T20">
        <v>8094082</v>
      </c>
      <c r="U20">
        <v>8027223</v>
      </c>
      <c r="V20">
        <v>5215142</v>
      </c>
      <c r="W20">
        <v>4244869</v>
      </c>
      <c r="X20">
        <v>4956031</v>
      </c>
      <c r="Y20">
        <v>6414144</v>
      </c>
      <c r="Z20">
        <v>8370166</v>
      </c>
      <c r="AA20">
        <v>8564987</v>
      </c>
      <c r="AB20">
        <v>8732461</v>
      </c>
      <c r="AC20">
        <v>8646329</v>
      </c>
      <c r="AD20">
        <v>9241471</v>
      </c>
      <c r="AE20">
        <v>9372026</v>
      </c>
      <c r="AF20">
        <v>6833905</v>
      </c>
    </row>
    <row r="21" spans="1:32" x14ac:dyDescent="0.3">
      <c r="A21" t="s">
        <v>4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4</v>
      </c>
      <c r="B22" t="s">
        <v>126</v>
      </c>
      <c r="C22" t="s">
        <v>86</v>
      </c>
      <c r="D22" t="s">
        <v>127</v>
      </c>
      <c r="E22" t="s">
        <v>87</v>
      </c>
      <c r="F22">
        <v>5351931</v>
      </c>
      <c r="G22">
        <v>5685317</v>
      </c>
      <c r="H22">
        <v>5907159</v>
      </c>
      <c r="I22">
        <v>6065142</v>
      </c>
      <c r="J22">
        <v>6227691</v>
      </c>
      <c r="K22">
        <v>6168116</v>
      </c>
      <c r="L22">
        <v>6362004</v>
      </c>
      <c r="M22">
        <v>6442841</v>
      </c>
      <c r="N22">
        <v>6405072</v>
      </c>
      <c r="O22">
        <v>6437308</v>
      </c>
      <c r="P22">
        <v>6479794</v>
      </c>
      <c r="Q22">
        <v>6518600</v>
      </c>
      <c r="R22">
        <v>6615855</v>
      </c>
      <c r="S22">
        <v>6644548</v>
      </c>
      <c r="T22">
        <v>6599085</v>
      </c>
      <c r="U22">
        <v>6463566</v>
      </c>
      <c r="V22">
        <v>6498760</v>
      </c>
      <c r="W22">
        <v>6510821</v>
      </c>
      <c r="X22">
        <v>6578407</v>
      </c>
      <c r="Y22">
        <v>6822567</v>
      </c>
      <c r="Z22">
        <v>7020790</v>
      </c>
      <c r="AA22">
        <v>7199790</v>
      </c>
      <c r="AB22">
        <v>7474191</v>
      </c>
      <c r="AC22">
        <v>7636105</v>
      </c>
      <c r="AD22">
        <v>7810045</v>
      </c>
      <c r="AE22">
        <v>7917086</v>
      </c>
      <c r="AF22">
        <v>8332186</v>
      </c>
    </row>
    <row r="23" spans="1:32" x14ac:dyDescent="0.3">
      <c r="A23" t="s">
        <v>4</v>
      </c>
      <c r="B23" t="s">
        <v>128</v>
      </c>
      <c r="C23" t="s">
        <v>86</v>
      </c>
      <c r="D23" t="s">
        <v>129</v>
      </c>
      <c r="E23" t="s">
        <v>87</v>
      </c>
      <c r="F23">
        <v>39602789</v>
      </c>
      <c r="G23">
        <v>41205114</v>
      </c>
      <c r="H23">
        <v>39272122</v>
      </c>
      <c r="I23">
        <v>37950676</v>
      </c>
      <c r="J23">
        <v>36753940</v>
      </c>
      <c r="K23">
        <v>35695728</v>
      </c>
      <c r="L23">
        <v>34013890</v>
      </c>
      <c r="M23">
        <v>31958035</v>
      </c>
      <c r="N23">
        <v>30748923</v>
      </c>
      <c r="O23">
        <v>29808169</v>
      </c>
      <c r="P23">
        <v>28777343</v>
      </c>
      <c r="Q23">
        <v>28707557</v>
      </c>
      <c r="R23">
        <v>27078619</v>
      </c>
      <c r="S23">
        <v>25923441</v>
      </c>
      <c r="T23">
        <v>24923603</v>
      </c>
      <c r="U23">
        <v>23464645</v>
      </c>
      <c r="V23">
        <v>23611634</v>
      </c>
      <c r="W23">
        <v>23447552</v>
      </c>
      <c r="X23">
        <v>25350662</v>
      </c>
      <c r="Y23">
        <v>26416880</v>
      </c>
      <c r="Z23">
        <v>27894668</v>
      </c>
      <c r="AA23">
        <v>29281498</v>
      </c>
      <c r="AB23">
        <v>30122930</v>
      </c>
      <c r="AC23">
        <v>30048042</v>
      </c>
      <c r="AD23">
        <v>30433978</v>
      </c>
      <c r="AE23">
        <v>30809216</v>
      </c>
      <c r="AF23">
        <v>30156361</v>
      </c>
    </row>
    <row r="24" spans="1:32" x14ac:dyDescent="0.3">
      <c r="A24" t="s">
        <v>4</v>
      </c>
      <c r="B24" t="s">
        <v>130</v>
      </c>
      <c r="C24" t="s">
        <v>86</v>
      </c>
      <c r="D24" t="s">
        <v>131</v>
      </c>
      <c r="E24" t="s">
        <v>87</v>
      </c>
      <c r="F24">
        <v>75567720</v>
      </c>
      <c r="G24">
        <v>76014084</v>
      </c>
      <c r="H24">
        <v>78863151</v>
      </c>
      <c r="I24">
        <v>76469585</v>
      </c>
      <c r="J24">
        <v>76206009</v>
      </c>
      <c r="K24">
        <v>74726165</v>
      </c>
      <c r="L24">
        <v>74580579</v>
      </c>
      <c r="M24">
        <v>73776368</v>
      </c>
      <c r="N24">
        <v>73571744</v>
      </c>
      <c r="O24">
        <v>77636200</v>
      </c>
      <c r="P24">
        <v>78826673</v>
      </c>
      <c r="Q24">
        <v>75885062</v>
      </c>
      <c r="R24">
        <v>73964581</v>
      </c>
      <c r="S24">
        <v>74224479</v>
      </c>
      <c r="T24">
        <v>67740965</v>
      </c>
      <c r="U24">
        <v>69563937</v>
      </c>
      <c r="V24">
        <v>70364309</v>
      </c>
      <c r="W24">
        <v>71655283</v>
      </c>
      <c r="X24">
        <v>72863503</v>
      </c>
      <c r="Y24">
        <v>71543475</v>
      </c>
      <c r="Z24">
        <v>72364708</v>
      </c>
      <c r="AA24">
        <v>72547178</v>
      </c>
      <c r="AB24">
        <v>74377770</v>
      </c>
      <c r="AC24">
        <v>73052981</v>
      </c>
      <c r="AD24">
        <v>71754612</v>
      </c>
      <c r="AE24">
        <v>71171530</v>
      </c>
      <c r="AF24">
        <v>77224478</v>
      </c>
    </row>
    <row r="25" spans="1:32" x14ac:dyDescent="0.3">
      <c r="A25" t="s">
        <v>4</v>
      </c>
      <c r="B25" t="s">
        <v>132</v>
      </c>
      <c r="C25" t="s">
        <v>86</v>
      </c>
      <c r="D25" t="s">
        <v>133</v>
      </c>
      <c r="E25" t="s">
        <v>87</v>
      </c>
      <c r="F25">
        <v>3809910</v>
      </c>
      <c r="G25">
        <v>3995779</v>
      </c>
      <c r="H25">
        <v>4337900</v>
      </c>
      <c r="I25">
        <v>4392995</v>
      </c>
      <c r="J25">
        <v>4649479</v>
      </c>
      <c r="K25">
        <v>4941495</v>
      </c>
      <c r="L25">
        <v>4407134</v>
      </c>
      <c r="M25">
        <v>4272316</v>
      </c>
      <c r="N25">
        <v>4260628</v>
      </c>
      <c r="O25">
        <v>4335949</v>
      </c>
      <c r="P25">
        <v>3645252</v>
      </c>
      <c r="Q25">
        <v>3333721</v>
      </c>
      <c r="R25">
        <v>3015623</v>
      </c>
      <c r="S25">
        <v>2528043</v>
      </c>
      <c r="T25">
        <v>1992729</v>
      </c>
      <c r="U25">
        <v>1943907</v>
      </c>
      <c r="V25">
        <v>1507595</v>
      </c>
      <c r="W25">
        <v>1625165</v>
      </c>
      <c r="X25">
        <v>1764057</v>
      </c>
      <c r="Y25">
        <v>2002435</v>
      </c>
      <c r="Z25">
        <v>2161120</v>
      </c>
      <c r="AA25">
        <v>2255284</v>
      </c>
      <c r="AB25">
        <v>2408011</v>
      </c>
      <c r="AC25">
        <v>2405083</v>
      </c>
      <c r="AD25">
        <v>2430087</v>
      </c>
      <c r="AE25">
        <v>2440969</v>
      </c>
      <c r="AF25">
        <v>2306884</v>
      </c>
    </row>
    <row r="26" spans="1:32" x14ac:dyDescent="0.3">
      <c r="A26" t="s">
        <v>4</v>
      </c>
      <c r="B26" t="s">
        <v>134</v>
      </c>
      <c r="C26" t="s">
        <v>86</v>
      </c>
      <c r="D26" t="s">
        <v>135</v>
      </c>
      <c r="E26" t="s">
        <v>87</v>
      </c>
      <c r="F26">
        <v>43143338</v>
      </c>
      <c r="G26">
        <v>43478287</v>
      </c>
      <c r="H26">
        <v>46509205</v>
      </c>
      <c r="I26">
        <v>45537253</v>
      </c>
      <c r="J26">
        <v>45275442</v>
      </c>
      <c r="K26">
        <v>43861525</v>
      </c>
      <c r="L26">
        <v>43404346</v>
      </c>
      <c r="M26">
        <v>42404763</v>
      </c>
      <c r="N26">
        <v>42082950</v>
      </c>
      <c r="O26">
        <v>46401105</v>
      </c>
      <c r="P26">
        <v>50113238</v>
      </c>
      <c r="Q26">
        <v>48603505</v>
      </c>
      <c r="R26">
        <v>46723017</v>
      </c>
      <c r="S26">
        <v>47139760</v>
      </c>
      <c r="T26">
        <v>40221863</v>
      </c>
      <c r="U26">
        <v>41447222</v>
      </c>
      <c r="V26">
        <v>43151798</v>
      </c>
      <c r="W26">
        <v>42087303</v>
      </c>
      <c r="X26">
        <v>41517869</v>
      </c>
      <c r="Y26">
        <v>38433326</v>
      </c>
      <c r="Z26">
        <v>37398316</v>
      </c>
      <c r="AA26">
        <v>37220196</v>
      </c>
      <c r="AB26">
        <v>38755766</v>
      </c>
      <c r="AC26">
        <v>38528150</v>
      </c>
      <c r="AD26">
        <v>36611391</v>
      </c>
      <c r="AE26">
        <v>36389644</v>
      </c>
      <c r="AF26">
        <v>41362805</v>
      </c>
    </row>
    <row r="27" spans="1:32" x14ac:dyDescent="0.3">
      <c r="A27" t="s">
        <v>4</v>
      </c>
      <c r="B27" t="s">
        <v>136</v>
      </c>
      <c r="C27" t="s">
        <v>86</v>
      </c>
      <c r="D27" t="s">
        <v>137</v>
      </c>
      <c r="E27" t="s">
        <v>87</v>
      </c>
      <c r="F27">
        <v>28614472</v>
      </c>
      <c r="G27">
        <v>28540018</v>
      </c>
      <c r="H27">
        <v>28016046</v>
      </c>
      <c r="I27">
        <v>26539337</v>
      </c>
      <c r="J27">
        <v>26281088</v>
      </c>
      <c r="K27">
        <v>25923145</v>
      </c>
      <c r="L27">
        <v>26769099</v>
      </c>
      <c r="M27">
        <v>27099289</v>
      </c>
      <c r="N27">
        <v>27228166</v>
      </c>
      <c r="O27">
        <v>26899146</v>
      </c>
      <c r="P27">
        <v>25068183</v>
      </c>
      <c r="Q27">
        <v>23947836</v>
      </c>
      <c r="R27">
        <v>24225941</v>
      </c>
      <c r="S27">
        <v>24556676</v>
      </c>
      <c r="T27">
        <v>25526373</v>
      </c>
      <c r="U27">
        <v>26172808</v>
      </c>
      <c r="V27">
        <v>25704916</v>
      </c>
      <c r="W27">
        <v>27942815</v>
      </c>
      <c r="X27">
        <v>29581577</v>
      </c>
      <c r="Y27">
        <v>31107714</v>
      </c>
      <c r="Z27">
        <v>32805272</v>
      </c>
      <c r="AA27">
        <v>33071698</v>
      </c>
      <c r="AB27">
        <v>33213993</v>
      </c>
      <c r="AC27">
        <v>32119748</v>
      </c>
      <c r="AD27">
        <v>32713134</v>
      </c>
      <c r="AE27">
        <v>32340917</v>
      </c>
      <c r="AF27">
        <v>33554789</v>
      </c>
    </row>
    <row r="28" spans="1:32" x14ac:dyDescent="0.3">
      <c r="A28" t="s">
        <v>4</v>
      </c>
      <c r="B28" t="s">
        <v>138</v>
      </c>
      <c r="C28" t="s">
        <v>86</v>
      </c>
      <c r="D28" t="s">
        <v>139</v>
      </c>
      <c r="E28" t="s">
        <v>87</v>
      </c>
      <c r="F28">
        <v>28762895</v>
      </c>
      <c r="G28">
        <v>27349323</v>
      </c>
      <c r="H28">
        <v>27402197</v>
      </c>
      <c r="I28">
        <v>26576650</v>
      </c>
      <c r="J28">
        <v>26093692</v>
      </c>
      <c r="K28">
        <v>26122898</v>
      </c>
      <c r="L28">
        <v>26123315</v>
      </c>
      <c r="M28">
        <v>26233109</v>
      </c>
      <c r="N28">
        <v>26473192</v>
      </c>
      <c r="O28">
        <v>27285443</v>
      </c>
      <c r="P28">
        <v>27115757</v>
      </c>
      <c r="Q28">
        <v>28111286</v>
      </c>
      <c r="R28">
        <v>29058249</v>
      </c>
      <c r="S28">
        <v>27997961</v>
      </c>
      <c r="T28">
        <v>25308359</v>
      </c>
      <c r="U28">
        <v>25785505</v>
      </c>
      <c r="V28">
        <v>25033445</v>
      </c>
      <c r="W28">
        <v>26145534</v>
      </c>
      <c r="X28">
        <v>26326982</v>
      </c>
      <c r="Y28">
        <v>27806456</v>
      </c>
      <c r="Z28">
        <v>28495693</v>
      </c>
      <c r="AA28">
        <v>28529243</v>
      </c>
      <c r="AB28">
        <v>29386392</v>
      </c>
      <c r="AC28">
        <v>29549434</v>
      </c>
      <c r="AD28">
        <v>29909443</v>
      </c>
      <c r="AE28">
        <v>22754632</v>
      </c>
      <c r="AF28">
        <v>22626022</v>
      </c>
    </row>
    <row r="29" spans="1:32" x14ac:dyDescent="0.3">
      <c r="A29" t="s">
        <v>4</v>
      </c>
      <c r="B29" t="s">
        <v>140</v>
      </c>
      <c r="C29" t="s">
        <v>86</v>
      </c>
      <c r="D29" t="s">
        <v>141</v>
      </c>
      <c r="E29" t="s">
        <v>87</v>
      </c>
      <c r="F29">
        <v>21074619</v>
      </c>
      <c r="G29">
        <v>19840520</v>
      </c>
      <c r="H29">
        <v>19962597</v>
      </c>
      <c r="I29">
        <v>19430820</v>
      </c>
      <c r="J29">
        <v>19414958</v>
      </c>
      <c r="K29">
        <v>19693599</v>
      </c>
      <c r="L29">
        <v>19842672</v>
      </c>
      <c r="M29">
        <v>19995503</v>
      </c>
      <c r="N29">
        <v>20327834</v>
      </c>
      <c r="O29">
        <v>20583520</v>
      </c>
      <c r="P29">
        <v>20373805</v>
      </c>
      <c r="Q29">
        <v>21058643</v>
      </c>
      <c r="R29">
        <v>21734611</v>
      </c>
      <c r="S29">
        <v>20956314</v>
      </c>
      <c r="T29">
        <v>19533057</v>
      </c>
      <c r="U29">
        <v>19484194</v>
      </c>
      <c r="V29">
        <v>18926204</v>
      </c>
      <c r="W29">
        <v>19807170</v>
      </c>
      <c r="X29">
        <v>19718327</v>
      </c>
      <c r="Y29">
        <v>21015821</v>
      </c>
      <c r="Z29">
        <v>21577610</v>
      </c>
      <c r="AA29">
        <v>21732826</v>
      </c>
      <c r="AB29">
        <v>22373060</v>
      </c>
      <c r="AC29">
        <v>22883222</v>
      </c>
      <c r="AD29">
        <v>23279133</v>
      </c>
      <c r="AE29">
        <v>17586889</v>
      </c>
      <c r="AF29">
        <v>17939318</v>
      </c>
    </row>
    <row r="30" spans="1:32" x14ac:dyDescent="0.3">
      <c r="A30" t="s">
        <v>4</v>
      </c>
      <c r="B30" t="s">
        <v>142</v>
      </c>
      <c r="C30" t="s">
        <v>86</v>
      </c>
      <c r="D30" t="s">
        <v>143</v>
      </c>
      <c r="E30" t="s">
        <v>87</v>
      </c>
      <c r="F30">
        <v>2575190</v>
      </c>
      <c r="G30">
        <v>2099193</v>
      </c>
      <c r="H30">
        <v>2332675</v>
      </c>
      <c r="I30">
        <v>2479566</v>
      </c>
      <c r="J30">
        <v>2208623</v>
      </c>
      <c r="K30">
        <v>2045541</v>
      </c>
      <c r="L30">
        <v>2065624</v>
      </c>
      <c r="M30">
        <v>2031696</v>
      </c>
      <c r="N30">
        <v>2070521</v>
      </c>
      <c r="O30">
        <v>2211654</v>
      </c>
      <c r="P30">
        <v>2221959</v>
      </c>
      <c r="Q30">
        <v>2453782</v>
      </c>
      <c r="R30">
        <v>2755550</v>
      </c>
      <c r="S30">
        <v>2781053</v>
      </c>
      <c r="T30">
        <v>1830786</v>
      </c>
      <c r="U30">
        <v>2134546</v>
      </c>
      <c r="V30">
        <v>1885661</v>
      </c>
      <c r="W30">
        <v>1901283</v>
      </c>
      <c r="X30">
        <v>2011455</v>
      </c>
      <c r="Y30">
        <v>2155414</v>
      </c>
      <c r="Z30">
        <v>2119168</v>
      </c>
      <c r="AA30">
        <v>1928771</v>
      </c>
      <c r="AB30">
        <v>2009717</v>
      </c>
      <c r="AC30">
        <v>1583739</v>
      </c>
      <c r="AD30">
        <v>1570733</v>
      </c>
      <c r="AE30">
        <v>1486993</v>
      </c>
      <c r="AF30">
        <v>1346328</v>
      </c>
    </row>
    <row r="31" spans="1:32" x14ac:dyDescent="0.3">
      <c r="A31" t="s">
        <v>4</v>
      </c>
      <c r="B31" t="s">
        <v>144</v>
      </c>
      <c r="C31" t="s">
        <v>86</v>
      </c>
      <c r="D31" t="s">
        <v>145</v>
      </c>
      <c r="E31" t="s">
        <v>87</v>
      </c>
      <c r="F31">
        <v>1672337</v>
      </c>
      <c r="G31">
        <v>1728438</v>
      </c>
      <c r="H31">
        <v>1726394</v>
      </c>
      <c r="I31">
        <v>1683730</v>
      </c>
      <c r="J31">
        <v>1745570</v>
      </c>
      <c r="K31">
        <v>1856740</v>
      </c>
      <c r="L31">
        <v>1680847</v>
      </c>
      <c r="M31">
        <v>1632442</v>
      </c>
      <c r="N31">
        <v>1526839</v>
      </c>
      <c r="O31">
        <v>1689208</v>
      </c>
      <c r="P31">
        <v>1629094</v>
      </c>
      <c r="Q31">
        <v>1682488</v>
      </c>
      <c r="R31">
        <v>1725886</v>
      </c>
      <c r="S31">
        <v>1528634</v>
      </c>
      <c r="T31">
        <v>1281313</v>
      </c>
      <c r="U31">
        <v>1456007</v>
      </c>
      <c r="V31">
        <v>1552706</v>
      </c>
      <c r="W31">
        <v>1450314</v>
      </c>
      <c r="X31">
        <v>1559769</v>
      </c>
      <c r="Y31">
        <v>1458841</v>
      </c>
      <c r="Z31">
        <v>1411450</v>
      </c>
      <c r="AA31">
        <v>1464383</v>
      </c>
      <c r="AB31">
        <v>1469238</v>
      </c>
      <c r="AC31">
        <v>1492381</v>
      </c>
      <c r="AD31">
        <v>1478496</v>
      </c>
      <c r="AE31">
        <v>727900</v>
      </c>
      <c r="AF31">
        <v>473026</v>
      </c>
    </row>
    <row r="32" spans="1:32" x14ac:dyDescent="0.3">
      <c r="A32" t="s">
        <v>4</v>
      </c>
      <c r="B32" t="s">
        <v>146</v>
      </c>
      <c r="C32" t="s">
        <v>86</v>
      </c>
      <c r="D32" t="s">
        <v>147</v>
      </c>
      <c r="E32" t="s">
        <v>87</v>
      </c>
      <c r="F32">
        <v>1738202</v>
      </c>
      <c r="G32">
        <v>1959395</v>
      </c>
      <c r="H32">
        <v>1674069</v>
      </c>
      <c r="I32">
        <v>1336854</v>
      </c>
      <c r="J32">
        <v>1093709</v>
      </c>
      <c r="K32">
        <v>881487</v>
      </c>
      <c r="L32">
        <v>885101</v>
      </c>
      <c r="M32">
        <v>955656</v>
      </c>
      <c r="N32">
        <v>970417</v>
      </c>
      <c r="O32">
        <v>1212103</v>
      </c>
      <c r="P32">
        <v>1319602</v>
      </c>
      <c r="Q32">
        <v>1309696</v>
      </c>
      <c r="R32">
        <v>1265843</v>
      </c>
      <c r="S32">
        <v>1290291</v>
      </c>
      <c r="T32">
        <v>1234191</v>
      </c>
      <c r="U32">
        <v>1352367</v>
      </c>
      <c r="V32">
        <v>1282255</v>
      </c>
      <c r="W32">
        <v>1642566</v>
      </c>
      <c r="X32">
        <v>1697637</v>
      </c>
      <c r="Y32">
        <v>1840103</v>
      </c>
      <c r="Z32">
        <v>2031292</v>
      </c>
      <c r="AA32">
        <v>2027810</v>
      </c>
      <c r="AB32">
        <v>2107303</v>
      </c>
      <c r="AC32">
        <v>2098082</v>
      </c>
      <c r="AD32">
        <v>2065467</v>
      </c>
      <c r="AE32">
        <v>1422279</v>
      </c>
      <c r="AF32">
        <v>1374759</v>
      </c>
    </row>
    <row r="33" spans="1:32" x14ac:dyDescent="0.3">
      <c r="A33" t="s">
        <v>4</v>
      </c>
      <c r="B33" t="s">
        <v>148</v>
      </c>
      <c r="C33" t="s">
        <v>86</v>
      </c>
      <c r="D33" t="s">
        <v>149</v>
      </c>
      <c r="E33" t="s">
        <v>87</v>
      </c>
      <c r="F33">
        <v>1702547</v>
      </c>
      <c r="G33">
        <v>1721777</v>
      </c>
      <c r="H33">
        <v>1706462</v>
      </c>
      <c r="I33">
        <v>1645680</v>
      </c>
      <c r="J33">
        <v>1630832</v>
      </c>
      <c r="K33">
        <v>1645531</v>
      </c>
      <c r="L33">
        <v>1649071</v>
      </c>
      <c r="M33">
        <v>1617812</v>
      </c>
      <c r="N33">
        <v>1577581</v>
      </c>
      <c r="O33">
        <v>1588958</v>
      </c>
      <c r="P33">
        <v>1571297</v>
      </c>
      <c r="Q33">
        <v>1606677</v>
      </c>
      <c r="R33">
        <v>1576359</v>
      </c>
      <c r="S33">
        <v>1441669</v>
      </c>
      <c r="T33">
        <v>1429012</v>
      </c>
      <c r="U33">
        <v>1358391</v>
      </c>
      <c r="V33">
        <v>1386619</v>
      </c>
      <c r="W33">
        <v>1344201</v>
      </c>
      <c r="X33">
        <v>1339794</v>
      </c>
      <c r="Y33">
        <v>1336277</v>
      </c>
      <c r="Z33">
        <v>1356173</v>
      </c>
      <c r="AA33">
        <v>1375453</v>
      </c>
      <c r="AB33">
        <v>1427074</v>
      </c>
      <c r="AC33">
        <v>1492010</v>
      </c>
      <c r="AD33">
        <v>1515614</v>
      </c>
      <c r="AE33">
        <v>1530571</v>
      </c>
      <c r="AF33">
        <v>1492591</v>
      </c>
    </row>
    <row r="34" spans="1:32" x14ac:dyDescent="0.3">
      <c r="A34" t="s">
        <v>4</v>
      </c>
      <c r="B34" t="s">
        <v>150</v>
      </c>
      <c r="C34" t="s">
        <v>86</v>
      </c>
      <c r="D34" t="s">
        <v>151</v>
      </c>
      <c r="E34" t="s">
        <v>87</v>
      </c>
      <c r="F34">
        <v>15860388</v>
      </c>
      <c r="G34">
        <v>16363384</v>
      </c>
      <c r="H34">
        <v>17201887</v>
      </c>
      <c r="I34">
        <v>17306025</v>
      </c>
      <c r="J34">
        <v>17213987</v>
      </c>
      <c r="K34">
        <v>16662253</v>
      </c>
      <c r="L34">
        <v>16315673</v>
      </c>
      <c r="M34">
        <v>16167406</v>
      </c>
      <c r="N34">
        <v>15655028</v>
      </c>
      <c r="O34">
        <v>15058973</v>
      </c>
      <c r="P34">
        <v>14390533</v>
      </c>
      <c r="Q34">
        <v>14457749</v>
      </c>
      <c r="R34">
        <v>14600459</v>
      </c>
      <c r="S34">
        <v>13856620</v>
      </c>
      <c r="T34">
        <v>13445626</v>
      </c>
      <c r="U34">
        <v>12914157</v>
      </c>
      <c r="V34">
        <v>12517470</v>
      </c>
      <c r="W34">
        <v>11950466</v>
      </c>
      <c r="X34">
        <v>12523691</v>
      </c>
      <c r="Y34">
        <v>12834422</v>
      </c>
      <c r="Z34">
        <v>12722740</v>
      </c>
      <c r="AA34">
        <v>13898097</v>
      </c>
      <c r="AB34">
        <v>14245718</v>
      </c>
      <c r="AC34">
        <v>14311645</v>
      </c>
      <c r="AD34">
        <v>13836565</v>
      </c>
      <c r="AE34">
        <v>8949706</v>
      </c>
      <c r="AF34">
        <v>7676877</v>
      </c>
    </row>
    <row r="35" spans="1:32" x14ac:dyDescent="0.3">
      <c r="A35" t="s">
        <v>4</v>
      </c>
      <c r="B35" t="s">
        <v>152</v>
      </c>
      <c r="C35" t="s">
        <v>86</v>
      </c>
      <c r="D35" t="s">
        <v>153</v>
      </c>
      <c r="E35" t="s">
        <v>87</v>
      </c>
      <c r="F35">
        <v>17234468</v>
      </c>
      <c r="G35">
        <v>19718573</v>
      </c>
      <c r="H35">
        <v>21532697</v>
      </c>
      <c r="I35">
        <v>23377701</v>
      </c>
      <c r="J35">
        <v>24072270</v>
      </c>
      <c r="K35">
        <v>25182333</v>
      </c>
      <c r="L35">
        <v>26071956</v>
      </c>
      <c r="M35">
        <v>26498984</v>
      </c>
      <c r="N35">
        <v>26771495</v>
      </c>
      <c r="O35">
        <v>26483099</v>
      </c>
      <c r="P35">
        <v>26832846</v>
      </c>
      <c r="Q35">
        <v>26852827</v>
      </c>
      <c r="R35">
        <v>26949292</v>
      </c>
      <c r="S35">
        <v>26899026</v>
      </c>
      <c r="T35">
        <v>25788914</v>
      </c>
      <c r="U35">
        <v>25357685</v>
      </c>
      <c r="V35">
        <v>24902819</v>
      </c>
      <c r="W35">
        <v>24916302</v>
      </c>
      <c r="X35">
        <v>25293576</v>
      </c>
      <c r="Y35">
        <v>25630623</v>
      </c>
      <c r="Z35">
        <v>26615953</v>
      </c>
      <c r="AA35">
        <v>27039638</v>
      </c>
      <c r="AB35">
        <v>26820512</v>
      </c>
      <c r="AC35">
        <v>27177577</v>
      </c>
      <c r="AD35">
        <v>27178254</v>
      </c>
      <c r="AE35">
        <v>27412976</v>
      </c>
      <c r="AF35">
        <v>28043905</v>
      </c>
    </row>
    <row r="36" spans="1:32" x14ac:dyDescent="0.3">
      <c r="A36" t="s">
        <v>4</v>
      </c>
      <c r="B36" t="s">
        <v>154</v>
      </c>
      <c r="C36" t="s">
        <v>86</v>
      </c>
      <c r="D36" t="s">
        <v>155</v>
      </c>
      <c r="E36" t="s">
        <v>87</v>
      </c>
      <c r="F36">
        <v>4806614</v>
      </c>
      <c r="G36">
        <v>5170058</v>
      </c>
      <c r="H36">
        <v>5248162</v>
      </c>
      <c r="I36">
        <v>5386685</v>
      </c>
      <c r="J36">
        <v>5341264</v>
      </c>
      <c r="K36">
        <v>5454000</v>
      </c>
      <c r="L36">
        <v>5415574</v>
      </c>
      <c r="M36">
        <v>5331900</v>
      </c>
      <c r="N36">
        <v>5403206</v>
      </c>
      <c r="O36">
        <v>5454429</v>
      </c>
      <c r="P36">
        <v>5746163</v>
      </c>
      <c r="Q36">
        <v>5575370</v>
      </c>
      <c r="R36">
        <v>5423183</v>
      </c>
      <c r="S36">
        <v>4981531</v>
      </c>
      <c r="T36">
        <v>4644489</v>
      </c>
      <c r="U36">
        <v>4703412</v>
      </c>
      <c r="V36">
        <v>4439102</v>
      </c>
      <c r="W36">
        <v>4331781</v>
      </c>
      <c r="X36">
        <v>4454254</v>
      </c>
      <c r="Y36">
        <v>4742664</v>
      </c>
      <c r="Z36">
        <v>5152140</v>
      </c>
      <c r="AA36">
        <v>5108016</v>
      </c>
      <c r="AB36">
        <v>4880998</v>
      </c>
      <c r="AC36">
        <v>4910477</v>
      </c>
      <c r="AD36">
        <v>4894594</v>
      </c>
      <c r="AE36">
        <v>4576623</v>
      </c>
      <c r="AF36">
        <v>4791012</v>
      </c>
    </row>
    <row r="37" spans="1:32" x14ac:dyDescent="0.3">
      <c r="A37" t="s">
        <v>4</v>
      </c>
      <c r="B37" t="s">
        <v>156</v>
      </c>
      <c r="C37" t="s">
        <v>86</v>
      </c>
      <c r="D37" t="s">
        <v>157</v>
      </c>
      <c r="E37" t="s">
        <v>87</v>
      </c>
      <c r="F37">
        <v>7553915</v>
      </c>
      <c r="G37">
        <v>8789399</v>
      </c>
      <c r="H37">
        <v>9785074</v>
      </c>
      <c r="I37">
        <v>9886589</v>
      </c>
      <c r="J37">
        <v>9917767</v>
      </c>
      <c r="K37">
        <v>10037359</v>
      </c>
      <c r="L37">
        <v>10020115</v>
      </c>
      <c r="M37">
        <v>9960182</v>
      </c>
      <c r="N37">
        <v>10026421</v>
      </c>
      <c r="O37">
        <v>9487246</v>
      </c>
      <c r="P37">
        <v>9036960</v>
      </c>
      <c r="Q37">
        <v>8786292</v>
      </c>
      <c r="R37">
        <v>8793939</v>
      </c>
      <c r="S37">
        <v>9169747</v>
      </c>
      <c r="T37">
        <v>9203290</v>
      </c>
      <c r="U37">
        <v>9300522</v>
      </c>
      <c r="V37">
        <v>9354983</v>
      </c>
      <c r="W37">
        <v>9381460</v>
      </c>
      <c r="X37">
        <v>9577693</v>
      </c>
      <c r="Y37">
        <v>9550402</v>
      </c>
      <c r="Z37">
        <v>9856981</v>
      </c>
      <c r="AA37">
        <v>10213982</v>
      </c>
      <c r="AB37">
        <v>9930602</v>
      </c>
      <c r="AC37">
        <v>9962459</v>
      </c>
      <c r="AD37">
        <v>9510810</v>
      </c>
      <c r="AE37">
        <v>10300898</v>
      </c>
      <c r="AF37">
        <v>9996384</v>
      </c>
    </row>
    <row r="38" spans="1:32" x14ac:dyDescent="0.3">
      <c r="A38" t="s">
        <v>4</v>
      </c>
      <c r="B38" t="s">
        <v>158</v>
      </c>
      <c r="C38" t="s">
        <v>86</v>
      </c>
      <c r="D38" t="s">
        <v>159</v>
      </c>
      <c r="E38" t="s">
        <v>87</v>
      </c>
      <c r="F38">
        <v>4873939</v>
      </c>
      <c r="G38">
        <v>5759116</v>
      </c>
      <c r="H38">
        <v>6499461</v>
      </c>
      <c r="I38">
        <v>8104427</v>
      </c>
      <c r="J38">
        <v>8813239</v>
      </c>
      <c r="K38">
        <v>9690974</v>
      </c>
      <c r="L38">
        <v>10636267</v>
      </c>
      <c r="M38">
        <v>11206902</v>
      </c>
      <c r="N38">
        <v>11341868</v>
      </c>
      <c r="O38">
        <v>11541424</v>
      </c>
      <c r="P38">
        <v>12049723</v>
      </c>
      <c r="Q38">
        <v>12491165</v>
      </c>
      <c r="R38">
        <v>12732170</v>
      </c>
      <c r="S38">
        <v>12747748</v>
      </c>
      <c r="T38">
        <v>11941135</v>
      </c>
      <c r="U38">
        <v>11353751</v>
      </c>
      <c r="V38">
        <v>11108734</v>
      </c>
      <c r="W38">
        <v>11203061</v>
      </c>
      <c r="X38">
        <v>11261629</v>
      </c>
      <c r="Y38">
        <v>11337557</v>
      </c>
      <c r="Z38">
        <v>11606832</v>
      </c>
      <c r="AA38">
        <v>11717640</v>
      </c>
      <c r="AB38">
        <v>12008912</v>
      </c>
      <c r="AC38">
        <v>12304641</v>
      </c>
      <c r="AD38">
        <v>12772850</v>
      </c>
      <c r="AE38">
        <v>12535455</v>
      </c>
      <c r="AF38">
        <v>13256509</v>
      </c>
    </row>
    <row r="39" spans="1:32" x14ac:dyDescent="0.3">
      <c r="A39" t="s">
        <v>4</v>
      </c>
      <c r="B39" t="s">
        <v>160</v>
      </c>
      <c r="C39" t="s">
        <v>86</v>
      </c>
      <c r="D39" t="s">
        <v>161</v>
      </c>
      <c r="E39" t="s">
        <v>87</v>
      </c>
      <c r="F39">
        <v>26479956</v>
      </c>
      <c r="G39">
        <v>28203515</v>
      </c>
      <c r="H39">
        <v>28478528</v>
      </c>
      <c r="I39">
        <v>27082312</v>
      </c>
      <c r="J39">
        <v>26535179</v>
      </c>
      <c r="K39">
        <v>26787771</v>
      </c>
      <c r="L39">
        <v>29176371</v>
      </c>
      <c r="M39">
        <v>31342802</v>
      </c>
      <c r="N39">
        <v>32422520</v>
      </c>
      <c r="O39">
        <v>32097448</v>
      </c>
      <c r="P39">
        <v>32356588</v>
      </c>
      <c r="Q39">
        <v>31414016</v>
      </c>
      <c r="R39">
        <v>31393687</v>
      </c>
      <c r="S39">
        <v>26158941</v>
      </c>
      <c r="T39">
        <v>24812195</v>
      </c>
      <c r="U39">
        <v>24499009</v>
      </c>
      <c r="V39">
        <v>23323768</v>
      </c>
      <c r="W39">
        <v>22463131</v>
      </c>
      <c r="X39">
        <v>23223051</v>
      </c>
      <c r="Y39">
        <v>22782221</v>
      </c>
      <c r="Z39">
        <v>23002017</v>
      </c>
      <c r="AA39">
        <v>22262451</v>
      </c>
      <c r="AB39">
        <v>22331480</v>
      </c>
      <c r="AC39">
        <v>22738691</v>
      </c>
      <c r="AD39">
        <v>22593196</v>
      </c>
      <c r="AE39">
        <v>22661723</v>
      </c>
      <c r="AF39">
        <v>23431963</v>
      </c>
    </row>
    <row r="40" spans="1:32" x14ac:dyDescent="0.3">
      <c r="A40" t="s">
        <v>4</v>
      </c>
      <c r="B40" t="s">
        <v>162</v>
      </c>
      <c r="C40" t="s">
        <v>86</v>
      </c>
      <c r="D40" t="s">
        <v>163</v>
      </c>
      <c r="E40" t="s">
        <v>87</v>
      </c>
      <c r="F40">
        <v>53596964</v>
      </c>
      <c r="G40">
        <v>54763029</v>
      </c>
      <c r="H40">
        <v>56074932</v>
      </c>
      <c r="I40">
        <v>56219444</v>
      </c>
      <c r="J40">
        <v>56645523</v>
      </c>
      <c r="K40">
        <v>57855189</v>
      </c>
      <c r="L40">
        <v>57354680</v>
      </c>
      <c r="M40">
        <v>56943645</v>
      </c>
      <c r="N40">
        <v>57069969</v>
      </c>
      <c r="O40">
        <v>57693979</v>
      </c>
      <c r="P40">
        <v>58782860</v>
      </c>
      <c r="Q40">
        <v>60436589</v>
      </c>
      <c r="R40">
        <v>60998519</v>
      </c>
      <c r="S40">
        <v>61943311</v>
      </c>
      <c r="T40">
        <v>62122685</v>
      </c>
      <c r="U40">
        <v>62370460</v>
      </c>
      <c r="V40">
        <v>62408349</v>
      </c>
      <c r="W40">
        <v>62469104</v>
      </c>
      <c r="X40">
        <v>63179054</v>
      </c>
      <c r="Y40">
        <v>63923483</v>
      </c>
      <c r="Z40">
        <v>64568472</v>
      </c>
      <c r="AA40">
        <v>64908460</v>
      </c>
      <c r="AB40">
        <v>65393074</v>
      </c>
      <c r="AC40">
        <v>65236666</v>
      </c>
      <c r="AD40">
        <v>65709959</v>
      </c>
      <c r="AE40">
        <v>65782379</v>
      </c>
      <c r="AF40">
        <v>65567912</v>
      </c>
    </row>
    <row r="41" spans="1:32" x14ac:dyDescent="0.3">
      <c r="A41" t="s">
        <v>4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4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4</v>
      </c>
      <c r="B43" t="s">
        <v>168</v>
      </c>
      <c r="C43" t="s">
        <v>86</v>
      </c>
      <c r="D43" t="s">
        <v>169</v>
      </c>
      <c r="E43" t="s">
        <v>87</v>
      </c>
      <c r="F43">
        <v>23279624</v>
      </c>
      <c r="G43">
        <v>24782692</v>
      </c>
      <c r="H43">
        <v>25935274</v>
      </c>
      <c r="I43">
        <v>26663552</v>
      </c>
      <c r="J43">
        <v>26395108</v>
      </c>
      <c r="K43">
        <v>29195046</v>
      </c>
      <c r="L43">
        <v>29536594</v>
      </c>
      <c r="M43">
        <v>29527487</v>
      </c>
      <c r="N43">
        <v>30135024</v>
      </c>
      <c r="O43">
        <v>30947432</v>
      </c>
      <c r="P43">
        <v>32718881</v>
      </c>
      <c r="Q43">
        <v>34871398</v>
      </c>
      <c r="R43">
        <v>37279400</v>
      </c>
      <c r="S43">
        <v>39220061</v>
      </c>
      <c r="T43">
        <v>36781215</v>
      </c>
      <c r="U43">
        <v>35936497</v>
      </c>
      <c r="V43">
        <v>37211847</v>
      </c>
      <c r="W43">
        <v>37317844</v>
      </c>
      <c r="X43">
        <v>38801691</v>
      </c>
      <c r="Y43">
        <v>39945733</v>
      </c>
      <c r="Z43">
        <v>41923032</v>
      </c>
      <c r="AA43">
        <v>43448505</v>
      </c>
      <c r="AB43">
        <v>43780498</v>
      </c>
      <c r="AC43">
        <v>44665180</v>
      </c>
      <c r="AD43">
        <v>46044305</v>
      </c>
      <c r="AE43">
        <v>46565432</v>
      </c>
      <c r="AF43">
        <v>47673811</v>
      </c>
    </row>
    <row r="44" spans="1:32" x14ac:dyDescent="0.3">
      <c r="A44" t="s">
        <v>4</v>
      </c>
      <c r="B44" t="s">
        <v>170</v>
      </c>
      <c r="C44" t="s">
        <v>86</v>
      </c>
      <c r="D44" t="s">
        <v>171</v>
      </c>
      <c r="E44" t="s">
        <v>87</v>
      </c>
      <c r="F44">
        <v>394461417</v>
      </c>
      <c r="G44">
        <v>404646425</v>
      </c>
      <c r="H44">
        <v>412038652</v>
      </c>
      <c r="I44">
        <v>405269702</v>
      </c>
      <c r="J44">
        <v>398228269</v>
      </c>
      <c r="K44">
        <v>401579319</v>
      </c>
      <c r="L44">
        <v>393656119</v>
      </c>
      <c r="M44">
        <v>389738867</v>
      </c>
      <c r="N44">
        <v>390017361</v>
      </c>
      <c r="O44">
        <v>395055993</v>
      </c>
      <c r="P44">
        <v>398035709</v>
      </c>
      <c r="Q44">
        <v>397068191</v>
      </c>
      <c r="R44">
        <v>399557813</v>
      </c>
      <c r="S44">
        <v>386267374</v>
      </c>
      <c r="T44">
        <v>353221370</v>
      </c>
      <c r="U44">
        <v>362252107</v>
      </c>
      <c r="V44">
        <v>350685537</v>
      </c>
      <c r="W44">
        <v>352011833</v>
      </c>
      <c r="X44">
        <v>358628241</v>
      </c>
      <c r="Y44">
        <v>365930758</v>
      </c>
      <c r="Z44">
        <v>382938086</v>
      </c>
      <c r="AA44">
        <v>387661431</v>
      </c>
      <c r="AB44">
        <v>395003835</v>
      </c>
      <c r="AC44">
        <v>396646586</v>
      </c>
      <c r="AD44">
        <v>395965615</v>
      </c>
      <c r="AE44">
        <v>377001404</v>
      </c>
      <c r="AF44">
        <v>386039070</v>
      </c>
    </row>
    <row r="45" spans="1:32" x14ac:dyDescent="0.3">
      <c r="A45" t="s">
        <v>4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4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4</v>
      </c>
      <c r="B47" t="s">
        <v>176</v>
      </c>
      <c r="C47" t="s">
        <v>86</v>
      </c>
      <c r="D47" t="s">
        <v>177</v>
      </c>
      <c r="E47" t="s">
        <v>87</v>
      </c>
      <c r="F47">
        <v>24499072</v>
      </c>
      <c r="G47">
        <v>25204622</v>
      </c>
      <c r="H47">
        <v>26045416</v>
      </c>
      <c r="I47">
        <v>26442369</v>
      </c>
      <c r="J47">
        <v>26424173</v>
      </c>
      <c r="K47">
        <v>26972453</v>
      </c>
      <c r="L47">
        <v>27135668</v>
      </c>
      <c r="M47">
        <v>27196073</v>
      </c>
      <c r="N47">
        <v>26956510</v>
      </c>
      <c r="O47">
        <v>26796869</v>
      </c>
      <c r="P47">
        <v>26583894</v>
      </c>
      <c r="Q47">
        <v>26771756</v>
      </c>
      <c r="R47">
        <v>27047586</v>
      </c>
      <c r="S47">
        <v>27143925</v>
      </c>
      <c r="T47">
        <v>26446596</v>
      </c>
      <c r="U47">
        <v>25894289</v>
      </c>
      <c r="V47">
        <v>26013762</v>
      </c>
      <c r="W47">
        <v>25656169</v>
      </c>
      <c r="X47">
        <v>25334087</v>
      </c>
      <c r="Y47">
        <v>25967628</v>
      </c>
      <c r="Z47">
        <v>26393171</v>
      </c>
      <c r="AA47">
        <v>26713467</v>
      </c>
      <c r="AB47">
        <v>27024737</v>
      </c>
      <c r="AC47">
        <v>27491066</v>
      </c>
      <c r="AD47">
        <v>27876178</v>
      </c>
      <c r="AE47">
        <v>27896887</v>
      </c>
      <c r="AF47">
        <v>28259273</v>
      </c>
    </row>
    <row r="48" spans="1:32" x14ac:dyDescent="0.3">
      <c r="A48" t="s">
        <v>4</v>
      </c>
      <c r="B48" t="s">
        <v>178</v>
      </c>
      <c r="C48" t="s">
        <v>86</v>
      </c>
      <c r="D48" t="s">
        <v>179</v>
      </c>
      <c r="E48" t="s">
        <v>87</v>
      </c>
      <c r="F48">
        <v>65410004</v>
      </c>
      <c r="G48">
        <v>67885786</v>
      </c>
      <c r="H48">
        <v>70146243</v>
      </c>
      <c r="I48">
        <v>71536321</v>
      </c>
      <c r="J48">
        <v>72103088</v>
      </c>
      <c r="K48">
        <v>74054188</v>
      </c>
      <c r="L48">
        <v>75487843</v>
      </c>
      <c r="M48">
        <v>75559951</v>
      </c>
      <c r="N48">
        <v>75617175</v>
      </c>
      <c r="O48">
        <v>75880969</v>
      </c>
      <c r="P48">
        <v>76551460</v>
      </c>
      <c r="Q48">
        <v>77009751</v>
      </c>
      <c r="R48">
        <v>77981345</v>
      </c>
      <c r="S48">
        <v>78125317</v>
      </c>
      <c r="T48">
        <v>78245026</v>
      </c>
      <c r="U48">
        <v>78803504</v>
      </c>
      <c r="V48">
        <v>79600540</v>
      </c>
      <c r="W48">
        <v>81076079</v>
      </c>
      <c r="X48">
        <v>81491756</v>
      </c>
      <c r="Y48">
        <v>82792991</v>
      </c>
      <c r="Z48">
        <v>85435377</v>
      </c>
      <c r="AA48">
        <v>87925542</v>
      </c>
      <c r="AB48">
        <v>88188146</v>
      </c>
      <c r="AC48">
        <v>89734620</v>
      </c>
      <c r="AD48">
        <v>91263134</v>
      </c>
      <c r="AE48">
        <v>91552950</v>
      </c>
      <c r="AF48">
        <v>93565852</v>
      </c>
    </row>
    <row r="49" spans="1:32" x14ac:dyDescent="0.3">
      <c r="A49" t="s">
        <v>4</v>
      </c>
      <c r="B49" t="s">
        <v>180</v>
      </c>
      <c r="C49" t="s">
        <v>86</v>
      </c>
      <c r="D49" t="s">
        <v>181</v>
      </c>
      <c r="E49" t="s">
        <v>87</v>
      </c>
      <c r="F49">
        <v>19029749</v>
      </c>
      <c r="G49">
        <v>19457489</v>
      </c>
      <c r="H49">
        <v>19867463</v>
      </c>
      <c r="I49">
        <v>19996702</v>
      </c>
      <c r="J49">
        <v>19907935</v>
      </c>
      <c r="K49">
        <v>19836866</v>
      </c>
      <c r="L49">
        <v>19906606</v>
      </c>
      <c r="M49">
        <v>19960526</v>
      </c>
      <c r="N49">
        <v>19621839</v>
      </c>
      <c r="O49">
        <v>19468076</v>
      </c>
      <c r="P49">
        <v>19485400</v>
      </c>
      <c r="Q49">
        <v>19588745</v>
      </c>
      <c r="R49">
        <v>19615405</v>
      </c>
      <c r="S49">
        <v>19643236</v>
      </c>
      <c r="T49">
        <v>19222515</v>
      </c>
      <c r="U49">
        <v>19078386</v>
      </c>
      <c r="V49">
        <v>19379578</v>
      </c>
      <c r="W49">
        <v>19159585</v>
      </c>
      <c r="X49">
        <v>18805052</v>
      </c>
      <c r="Y49">
        <v>19061080</v>
      </c>
      <c r="Z49">
        <v>19145073</v>
      </c>
      <c r="AA49">
        <v>19304394</v>
      </c>
      <c r="AB49">
        <v>19397658</v>
      </c>
      <c r="AC49">
        <v>19474275</v>
      </c>
      <c r="AD49">
        <v>19602853</v>
      </c>
      <c r="AE49">
        <v>19562268</v>
      </c>
      <c r="AF49">
        <v>19658828</v>
      </c>
    </row>
    <row r="50" spans="1:32" x14ac:dyDescent="0.3">
      <c r="A50" t="s">
        <v>4</v>
      </c>
      <c r="B50" t="s">
        <v>182</v>
      </c>
      <c r="C50" t="s">
        <v>86</v>
      </c>
      <c r="D50" t="s">
        <v>183</v>
      </c>
      <c r="E50" t="s">
        <v>87</v>
      </c>
      <c r="F50">
        <v>21881183</v>
      </c>
      <c r="G50">
        <v>23223675</v>
      </c>
      <c r="H50">
        <v>24233364</v>
      </c>
      <c r="I50">
        <v>25097250</v>
      </c>
      <c r="J50">
        <v>25770980</v>
      </c>
      <c r="K50">
        <v>27244869</v>
      </c>
      <c r="L50">
        <v>28445569</v>
      </c>
      <c r="M50">
        <v>28403352</v>
      </c>
      <c r="N50">
        <v>29038826</v>
      </c>
      <c r="O50">
        <v>29616024</v>
      </c>
      <c r="P50">
        <v>30482166</v>
      </c>
      <c r="Q50">
        <v>30649250</v>
      </c>
      <c r="R50">
        <v>31318354</v>
      </c>
      <c r="S50">
        <v>31338156</v>
      </c>
      <c r="T50">
        <v>32575915</v>
      </c>
      <c r="U50">
        <v>33830829</v>
      </c>
      <c r="V50">
        <v>34207200</v>
      </c>
      <c r="W50">
        <v>36260325</v>
      </c>
      <c r="X50">
        <v>37352617</v>
      </c>
      <c r="Y50">
        <v>37764283</v>
      </c>
      <c r="Z50">
        <v>39897133</v>
      </c>
      <c r="AA50">
        <v>41907681</v>
      </c>
      <c r="AB50">
        <v>41765751</v>
      </c>
      <c r="AC50">
        <v>42769279</v>
      </c>
      <c r="AD50">
        <v>43784103</v>
      </c>
      <c r="AE50">
        <v>44093795</v>
      </c>
      <c r="AF50">
        <v>45647751</v>
      </c>
    </row>
    <row r="51" spans="1:32" x14ac:dyDescent="0.3">
      <c r="A51" t="s">
        <v>4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4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4</v>
      </c>
      <c r="B53" t="s">
        <v>188</v>
      </c>
      <c r="C53" t="s">
        <v>86</v>
      </c>
      <c r="D53" t="s">
        <v>189</v>
      </c>
      <c r="E53" t="s">
        <v>87</v>
      </c>
      <c r="F53">
        <v>8619181</v>
      </c>
      <c r="G53">
        <v>8322013</v>
      </c>
      <c r="H53">
        <v>8121383</v>
      </c>
      <c r="I53">
        <v>7900224</v>
      </c>
      <c r="J53">
        <v>7476591</v>
      </c>
      <c r="K53">
        <v>7658443</v>
      </c>
      <c r="L53">
        <v>7028150</v>
      </c>
      <c r="M53">
        <v>7323723</v>
      </c>
      <c r="N53">
        <v>7147807</v>
      </c>
      <c r="O53">
        <v>6990461</v>
      </c>
      <c r="P53">
        <v>7112377</v>
      </c>
      <c r="Q53">
        <v>7177311</v>
      </c>
      <c r="R53">
        <v>7007912</v>
      </c>
      <c r="S53">
        <v>6830222</v>
      </c>
      <c r="T53">
        <v>6813349</v>
      </c>
      <c r="U53">
        <v>6590942</v>
      </c>
      <c r="V53">
        <v>6435039</v>
      </c>
      <c r="W53">
        <v>6793140</v>
      </c>
      <c r="X53">
        <v>6963152</v>
      </c>
      <c r="Y53">
        <v>6953630</v>
      </c>
      <c r="Z53">
        <v>6991254</v>
      </c>
      <c r="AA53">
        <v>6691474</v>
      </c>
      <c r="AB53">
        <v>6588253</v>
      </c>
      <c r="AC53">
        <v>6507821</v>
      </c>
      <c r="AD53">
        <v>6389109</v>
      </c>
      <c r="AE53">
        <v>5134091</v>
      </c>
      <c r="AF53">
        <v>5389565</v>
      </c>
    </row>
    <row r="54" spans="1:32" x14ac:dyDescent="0.3">
      <c r="A54" t="s">
        <v>4</v>
      </c>
      <c r="B54" t="s">
        <v>190</v>
      </c>
      <c r="C54" t="s">
        <v>86</v>
      </c>
      <c r="D54" t="s">
        <v>191</v>
      </c>
      <c r="E54" t="s">
        <v>87</v>
      </c>
      <c r="F54">
        <v>18997087</v>
      </c>
      <c r="G54">
        <v>19081033</v>
      </c>
      <c r="H54">
        <v>19276951</v>
      </c>
      <c r="I54">
        <v>19520270</v>
      </c>
      <c r="J54">
        <v>19236442</v>
      </c>
      <c r="K54">
        <v>20169231</v>
      </c>
      <c r="L54">
        <v>19361482</v>
      </c>
      <c r="M54">
        <v>19957284</v>
      </c>
      <c r="N54">
        <v>20094060</v>
      </c>
      <c r="O54">
        <v>19903664</v>
      </c>
      <c r="P54">
        <v>20319214</v>
      </c>
      <c r="Q54">
        <v>20422205</v>
      </c>
      <c r="R54">
        <v>20508017</v>
      </c>
      <c r="S54">
        <v>19908759</v>
      </c>
      <c r="T54">
        <v>19309560</v>
      </c>
      <c r="U54">
        <v>18841336</v>
      </c>
      <c r="V54">
        <v>18631661</v>
      </c>
      <c r="W54">
        <v>18480088</v>
      </c>
      <c r="X54">
        <v>18072289</v>
      </c>
      <c r="Y54">
        <v>17942337</v>
      </c>
      <c r="Z54">
        <v>17846699</v>
      </c>
      <c r="AA54">
        <v>17352062</v>
      </c>
      <c r="AB54">
        <v>17459134</v>
      </c>
      <c r="AC54">
        <v>17230889</v>
      </c>
      <c r="AD54">
        <v>17525392</v>
      </c>
      <c r="AE54">
        <v>15051072</v>
      </c>
      <c r="AF54">
        <v>15294976</v>
      </c>
    </row>
    <row r="55" spans="1:32" x14ac:dyDescent="0.3">
      <c r="A55" t="s">
        <v>4</v>
      </c>
      <c r="B55" t="s">
        <v>192</v>
      </c>
      <c r="C55" t="s">
        <v>86</v>
      </c>
      <c r="D55" t="s">
        <v>193</v>
      </c>
      <c r="E55" t="s">
        <v>87</v>
      </c>
      <c r="F55">
        <v>10377906</v>
      </c>
      <c r="G55">
        <v>10759020</v>
      </c>
      <c r="H55">
        <v>11155568</v>
      </c>
      <c r="I55">
        <v>11620046</v>
      </c>
      <c r="J55">
        <v>11759851</v>
      </c>
      <c r="K55">
        <v>12510788</v>
      </c>
      <c r="L55">
        <v>12333332</v>
      </c>
      <c r="M55">
        <v>12633561</v>
      </c>
      <c r="N55">
        <v>12946253</v>
      </c>
      <c r="O55">
        <v>12913203</v>
      </c>
      <c r="P55">
        <v>13206837</v>
      </c>
      <c r="Q55">
        <v>13244894</v>
      </c>
      <c r="R55">
        <v>13500105</v>
      </c>
      <c r="S55">
        <v>13078537</v>
      </c>
      <c r="T55">
        <v>12496211</v>
      </c>
      <c r="U55">
        <v>12250394</v>
      </c>
      <c r="V55">
        <v>12196622</v>
      </c>
      <c r="W55">
        <v>11686948</v>
      </c>
      <c r="X55">
        <v>11109137</v>
      </c>
      <c r="Y55">
        <v>10988707</v>
      </c>
      <c r="Z55">
        <v>10855445</v>
      </c>
      <c r="AA55">
        <v>10660588</v>
      </c>
      <c r="AB55">
        <v>10870881</v>
      </c>
      <c r="AC55">
        <v>10723068</v>
      </c>
      <c r="AD55">
        <v>11136283</v>
      </c>
      <c r="AE55">
        <v>9916981</v>
      </c>
      <c r="AF55">
        <v>9905411</v>
      </c>
    </row>
    <row r="56" spans="1:32" x14ac:dyDescent="0.3">
      <c r="A56" t="s">
        <v>4</v>
      </c>
      <c r="B56" t="s">
        <v>194</v>
      </c>
      <c r="C56" t="s">
        <v>86</v>
      </c>
      <c r="D56" t="s">
        <v>195</v>
      </c>
      <c r="E56" t="s">
        <v>87</v>
      </c>
      <c r="F56">
        <v>3838339</v>
      </c>
      <c r="G56">
        <v>3539619</v>
      </c>
      <c r="H56">
        <v>3269488</v>
      </c>
      <c r="I56">
        <v>2851547</v>
      </c>
      <c r="J56">
        <v>2471987</v>
      </c>
      <c r="K56">
        <v>2208048</v>
      </c>
      <c r="L56">
        <v>2045184</v>
      </c>
      <c r="M56">
        <v>1879356</v>
      </c>
      <c r="N56">
        <v>1753003</v>
      </c>
      <c r="O56">
        <v>1762962</v>
      </c>
      <c r="P56">
        <v>1580784</v>
      </c>
      <c r="Q56">
        <v>1714527</v>
      </c>
      <c r="R56">
        <v>1882355</v>
      </c>
      <c r="S56">
        <v>2007871</v>
      </c>
      <c r="T56">
        <v>1865264</v>
      </c>
      <c r="U56">
        <v>2046085</v>
      </c>
      <c r="V56">
        <v>2132038</v>
      </c>
      <c r="W56">
        <v>2078084</v>
      </c>
      <c r="X56">
        <v>2035182</v>
      </c>
      <c r="Y56">
        <v>1983500</v>
      </c>
      <c r="Z56">
        <v>1934106</v>
      </c>
      <c r="AA56">
        <v>1920230</v>
      </c>
      <c r="AB56">
        <v>1980559</v>
      </c>
      <c r="AC56">
        <v>2014137</v>
      </c>
      <c r="AD56">
        <v>2019100</v>
      </c>
      <c r="AE56">
        <v>2045342</v>
      </c>
      <c r="AF56">
        <v>2233915</v>
      </c>
    </row>
    <row r="57" spans="1:32" x14ac:dyDescent="0.3">
      <c r="A57" t="s">
        <v>4</v>
      </c>
      <c r="B57" t="s">
        <v>196</v>
      </c>
      <c r="C57" t="s">
        <v>86</v>
      </c>
      <c r="D57" t="s">
        <v>197</v>
      </c>
      <c r="E57" t="s">
        <v>87</v>
      </c>
      <c r="F57">
        <v>517306724</v>
      </c>
      <c r="G57">
        <v>530834859</v>
      </c>
      <c r="H57">
        <v>541529315</v>
      </c>
      <c r="I57">
        <v>535877014</v>
      </c>
      <c r="J57">
        <v>529448867</v>
      </c>
      <c r="K57">
        <v>535696744</v>
      </c>
      <c r="L57">
        <v>528543826</v>
      </c>
      <c r="M57">
        <v>524121819</v>
      </c>
      <c r="N57">
        <v>524457508</v>
      </c>
      <c r="O57">
        <v>530393903</v>
      </c>
      <c r="P57">
        <v>534950813</v>
      </c>
      <c r="Q57">
        <v>536229058</v>
      </c>
      <c r="R57">
        <v>540420032</v>
      </c>
      <c r="S57">
        <v>528343873</v>
      </c>
      <c r="T57">
        <v>495454345</v>
      </c>
      <c r="U57">
        <v>505472156</v>
      </c>
      <c r="V57">
        <v>494826464</v>
      </c>
      <c r="W57">
        <v>497635100</v>
      </c>
      <c r="X57">
        <v>505334233</v>
      </c>
      <c r="Y57">
        <v>514630732</v>
      </c>
      <c r="Z57">
        <v>534876041</v>
      </c>
      <c r="AA57">
        <v>542415663</v>
      </c>
      <c r="AB57">
        <v>550565614</v>
      </c>
      <c r="AC57">
        <v>553632009</v>
      </c>
      <c r="AD57">
        <v>554957808</v>
      </c>
      <c r="AE57">
        <v>536382075</v>
      </c>
      <c r="AF57">
        <v>547406749</v>
      </c>
    </row>
    <row r="58" spans="1:32" x14ac:dyDescent="0.3">
      <c r="A58" t="s">
        <v>4</v>
      </c>
      <c r="B58" t="s">
        <v>198</v>
      </c>
      <c r="C58" t="s">
        <v>86</v>
      </c>
      <c r="D58" t="s">
        <v>199</v>
      </c>
      <c r="E58" t="s">
        <v>87</v>
      </c>
      <c r="F58">
        <v>513468385</v>
      </c>
      <c r="G58">
        <v>527295240</v>
      </c>
      <c r="H58">
        <v>538259827</v>
      </c>
      <c r="I58">
        <v>533025467</v>
      </c>
      <c r="J58">
        <v>526976880</v>
      </c>
      <c r="K58">
        <v>533488696</v>
      </c>
      <c r="L58">
        <v>526498642</v>
      </c>
      <c r="M58">
        <v>522242463</v>
      </c>
      <c r="N58">
        <v>522704505</v>
      </c>
      <c r="O58">
        <v>528630941</v>
      </c>
      <c r="P58">
        <v>533370029</v>
      </c>
      <c r="Q58">
        <v>534514531</v>
      </c>
      <c r="R58">
        <v>538537677</v>
      </c>
      <c r="S58">
        <v>526336002</v>
      </c>
      <c r="T58">
        <v>493589081</v>
      </c>
      <c r="U58">
        <v>503426071</v>
      </c>
      <c r="V58">
        <v>492694426</v>
      </c>
      <c r="W58">
        <v>495557016</v>
      </c>
      <c r="X58">
        <v>503299051</v>
      </c>
      <c r="Y58">
        <v>512647232</v>
      </c>
      <c r="Z58">
        <v>532941935</v>
      </c>
      <c r="AA58">
        <v>540495433</v>
      </c>
      <c r="AB58">
        <v>548585055</v>
      </c>
      <c r="AC58">
        <v>551617872</v>
      </c>
      <c r="AD58">
        <v>552938708</v>
      </c>
      <c r="AE58">
        <v>534336733</v>
      </c>
      <c r="AF58">
        <v>545172834</v>
      </c>
    </row>
    <row r="59" spans="1:32" x14ac:dyDescent="0.3">
      <c r="A59" t="s">
        <v>4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6</v>
      </c>
      <c r="B2" t="s">
        <v>84</v>
      </c>
      <c r="C2" t="s">
        <v>86</v>
      </c>
      <c r="D2" t="s">
        <v>85</v>
      </c>
      <c r="E2" t="s">
        <v>87</v>
      </c>
      <c r="F2">
        <v>15999650</v>
      </c>
      <c r="G2">
        <v>15848092</v>
      </c>
      <c r="H2">
        <v>15564957</v>
      </c>
      <c r="I2">
        <v>15643060</v>
      </c>
      <c r="J2">
        <v>15261853</v>
      </c>
      <c r="K2">
        <v>15031035</v>
      </c>
      <c r="L2">
        <v>14146712</v>
      </c>
      <c r="M2">
        <v>13901663</v>
      </c>
      <c r="N2">
        <v>13165543</v>
      </c>
      <c r="O2">
        <v>13086560</v>
      </c>
      <c r="P2">
        <v>12398357</v>
      </c>
      <c r="Q2">
        <v>12345822</v>
      </c>
      <c r="R2">
        <v>12472951</v>
      </c>
      <c r="S2">
        <v>12618678</v>
      </c>
      <c r="T2">
        <v>12060558</v>
      </c>
      <c r="U2">
        <v>12369764</v>
      </c>
      <c r="V2">
        <v>12102048</v>
      </c>
      <c r="W2">
        <v>12452177</v>
      </c>
      <c r="X2">
        <v>12698807</v>
      </c>
      <c r="Y2">
        <v>12722891</v>
      </c>
      <c r="Z2">
        <v>12889680</v>
      </c>
      <c r="AA2">
        <v>13495064</v>
      </c>
      <c r="AB2">
        <v>13677026</v>
      </c>
      <c r="AC2">
        <v>13548773</v>
      </c>
      <c r="AD2">
        <v>13395052</v>
      </c>
      <c r="AE2">
        <v>13322410</v>
      </c>
      <c r="AF2">
        <v>13435736</v>
      </c>
    </row>
    <row r="3" spans="1:32" x14ac:dyDescent="0.3">
      <c r="A3" t="s">
        <v>6</v>
      </c>
      <c r="B3" t="s">
        <v>88</v>
      </c>
      <c r="C3" t="s">
        <v>86</v>
      </c>
      <c r="D3" t="s">
        <v>89</v>
      </c>
      <c r="E3" t="s">
        <v>87</v>
      </c>
      <c r="F3">
        <v>1678981</v>
      </c>
      <c r="G3">
        <v>1716361</v>
      </c>
      <c r="H3">
        <v>1630183</v>
      </c>
      <c r="I3">
        <v>1482090</v>
      </c>
      <c r="J3">
        <v>1401603</v>
      </c>
      <c r="K3">
        <v>1396872</v>
      </c>
      <c r="L3">
        <v>1337100</v>
      </c>
      <c r="M3">
        <v>1231041</v>
      </c>
      <c r="N3">
        <v>1129958</v>
      </c>
      <c r="O3">
        <v>1038445</v>
      </c>
      <c r="P3">
        <v>1014281</v>
      </c>
      <c r="Q3">
        <v>969804</v>
      </c>
      <c r="R3">
        <v>950579</v>
      </c>
      <c r="S3">
        <v>919900</v>
      </c>
      <c r="T3">
        <v>820207</v>
      </c>
      <c r="U3">
        <v>818119</v>
      </c>
      <c r="V3">
        <v>766769</v>
      </c>
      <c r="W3">
        <v>786907</v>
      </c>
      <c r="X3">
        <v>838220</v>
      </c>
      <c r="Y3">
        <v>887923</v>
      </c>
      <c r="Z3">
        <v>851372</v>
      </c>
      <c r="AA3">
        <v>787873</v>
      </c>
      <c r="AB3">
        <v>817748</v>
      </c>
      <c r="AC3">
        <v>831053</v>
      </c>
      <c r="AD3">
        <v>808403</v>
      </c>
      <c r="AE3">
        <v>806526</v>
      </c>
      <c r="AF3">
        <v>786328</v>
      </c>
    </row>
    <row r="4" spans="1:32" x14ac:dyDescent="0.3">
      <c r="A4" t="s">
        <v>6</v>
      </c>
      <c r="B4" t="s">
        <v>90</v>
      </c>
      <c r="C4" t="s">
        <v>86</v>
      </c>
      <c r="D4" t="s">
        <v>91</v>
      </c>
      <c r="E4" t="s">
        <v>87</v>
      </c>
      <c r="F4">
        <v>315096273</v>
      </c>
      <c r="G4">
        <v>321736503</v>
      </c>
      <c r="H4">
        <v>332762805</v>
      </c>
      <c r="I4">
        <v>312547474</v>
      </c>
      <c r="J4">
        <v>297238658</v>
      </c>
      <c r="K4">
        <v>307925802</v>
      </c>
      <c r="L4">
        <v>294656430</v>
      </c>
      <c r="M4">
        <v>282669887</v>
      </c>
      <c r="N4">
        <v>286205156</v>
      </c>
      <c r="O4">
        <v>299267362</v>
      </c>
      <c r="P4">
        <v>313479843</v>
      </c>
      <c r="Q4">
        <v>331548260</v>
      </c>
      <c r="R4">
        <v>351465793</v>
      </c>
      <c r="S4">
        <v>356775870</v>
      </c>
      <c r="T4">
        <v>274045519</v>
      </c>
      <c r="U4">
        <v>303255815</v>
      </c>
      <c r="V4">
        <v>298927991</v>
      </c>
      <c r="W4">
        <v>298062643</v>
      </c>
      <c r="X4">
        <v>300678303</v>
      </c>
      <c r="Y4">
        <v>313944109</v>
      </c>
      <c r="Z4">
        <v>315349008</v>
      </c>
      <c r="AA4">
        <v>302409733</v>
      </c>
      <c r="AB4">
        <v>321009215</v>
      </c>
      <c r="AC4">
        <v>333083494</v>
      </c>
      <c r="AD4">
        <v>323958763</v>
      </c>
      <c r="AE4">
        <v>293328946</v>
      </c>
      <c r="AF4">
        <v>322075783</v>
      </c>
    </row>
    <row r="5" spans="1:32" x14ac:dyDescent="0.3">
      <c r="A5" t="s">
        <v>6</v>
      </c>
      <c r="B5" t="s">
        <v>92</v>
      </c>
      <c r="C5" t="s">
        <v>86</v>
      </c>
      <c r="D5" t="s">
        <v>93</v>
      </c>
      <c r="E5" t="s">
        <v>87</v>
      </c>
      <c r="F5">
        <v>35679715</v>
      </c>
      <c r="G5">
        <v>36023720</v>
      </c>
      <c r="H5">
        <v>36219148</v>
      </c>
      <c r="I5">
        <v>36520955</v>
      </c>
      <c r="J5">
        <v>36030129</v>
      </c>
      <c r="K5">
        <v>34973847</v>
      </c>
      <c r="L5">
        <v>34731167</v>
      </c>
      <c r="M5">
        <v>34040545</v>
      </c>
      <c r="N5">
        <v>33732386</v>
      </c>
      <c r="O5">
        <v>34197480</v>
      </c>
      <c r="P5">
        <v>32995775</v>
      </c>
      <c r="Q5">
        <v>32854356</v>
      </c>
      <c r="R5">
        <v>33888731</v>
      </c>
      <c r="S5">
        <v>34675454</v>
      </c>
      <c r="T5">
        <v>33687300</v>
      </c>
      <c r="U5">
        <v>33915205</v>
      </c>
      <c r="V5">
        <v>33402831</v>
      </c>
      <c r="W5">
        <v>33771419</v>
      </c>
      <c r="X5">
        <v>33975236</v>
      </c>
      <c r="Y5">
        <v>34669190</v>
      </c>
      <c r="Z5">
        <v>36422483</v>
      </c>
      <c r="AA5">
        <v>36113412</v>
      </c>
      <c r="AB5">
        <v>36471632</v>
      </c>
      <c r="AC5">
        <v>37150967</v>
      </c>
      <c r="AD5">
        <v>37133199</v>
      </c>
      <c r="AE5">
        <v>35597891</v>
      </c>
      <c r="AF5">
        <v>36361964</v>
      </c>
    </row>
    <row r="6" spans="1:32" x14ac:dyDescent="0.3">
      <c r="A6" t="s">
        <v>6</v>
      </c>
      <c r="B6" t="s">
        <v>94</v>
      </c>
      <c r="C6" t="s">
        <v>86</v>
      </c>
      <c r="D6" t="s">
        <v>95</v>
      </c>
      <c r="E6" t="s">
        <v>87</v>
      </c>
      <c r="F6">
        <v>12003141</v>
      </c>
      <c r="G6">
        <v>11150079</v>
      </c>
      <c r="H6">
        <v>10560185</v>
      </c>
      <c r="I6">
        <v>9757192</v>
      </c>
      <c r="J6">
        <v>8546149</v>
      </c>
      <c r="K6">
        <v>7678542</v>
      </c>
      <c r="L6">
        <v>6711497</v>
      </c>
      <c r="M6">
        <v>5912379</v>
      </c>
      <c r="N6">
        <v>5505608</v>
      </c>
      <c r="O6">
        <v>5184799</v>
      </c>
      <c r="P6">
        <v>4805085</v>
      </c>
      <c r="Q6">
        <v>4654868</v>
      </c>
      <c r="R6">
        <v>4693353</v>
      </c>
      <c r="S6">
        <v>4455384</v>
      </c>
      <c r="T6">
        <v>3621149</v>
      </c>
      <c r="U6">
        <v>3441532</v>
      </c>
      <c r="V6">
        <v>3675832</v>
      </c>
      <c r="W6">
        <v>3601099</v>
      </c>
      <c r="X6">
        <v>3457799</v>
      </c>
      <c r="Y6">
        <v>3555220</v>
      </c>
      <c r="Z6">
        <v>3895930</v>
      </c>
      <c r="AA6">
        <v>3563265</v>
      </c>
      <c r="AB6">
        <v>3484167</v>
      </c>
      <c r="AC6">
        <v>3509982</v>
      </c>
      <c r="AD6">
        <v>3462312</v>
      </c>
      <c r="AE6">
        <v>3179089</v>
      </c>
      <c r="AF6">
        <v>2887694</v>
      </c>
    </row>
    <row r="7" spans="1:32" x14ac:dyDescent="0.3">
      <c r="A7" t="s">
        <v>6</v>
      </c>
      <c r="B7" t="s">
        <v>96</v>
      </c>
      <c r="C7" t="s">
        <v>86</v>
      </c>
      <c r="D7" t="s">
        <v>97</v>
      </c>
      <c r="E7" t="s">
        <v>87</v>
      </c>
      <c r="F7">
        <v>21391869</v>
      </c>
      <c r="G7">
        <v>21556071</v>
      </c>
      <c r="H7">
        <v>21667784</v>
      </c>
      <c r="I7">
        <v>20310702</v>
      </c>
      <c r="J7">
        <v>19276031</v>
      </c>
      <c r="K7">
        <v>19389805</v>
      </c>
      <c r="L7">
        <v>18488411</v>
      </c>
      <c r="M7">
        <v>17479709</v>
      </c>
      <c r="N7">
        <v>17338533</v>
      </c>
      <c r="O7">
        <v>17327917</v>
      </c>
      <c r="P7">
        <v>17066113</v>
      </c>
      <c r="Q7">
        <v>17057456</v>
      </c>
      <c r="R7">
        <v>17439160</v>
      </c>
      <c r="S7">
        <v>17346792</v>
      </c>
      <c r="T7">
        <v>15120550</v>
      </c>
      <c r="U7">
        <v>15570171</v>
      </c>
      <c r="V7">
        <v>14976466</v>
      </c>
      <c r="W7">
        <v>14574327</v>
      </c>
      <c r="X7">
        <v>14702500</v>
      </c>
      <c r="Y7">
        <v>15046815</v>
      </c>
      <c r="Z7">
        <v>15492773</v>
      </c>
      <c r="AA7">
        <v>15021848</v>
      </c>
      <c r="AB7">
        <v>15179924</v>
      </c>
      <c r="AC7">
        <v>15216286</v>
      </c>
      <c r="AD7">
        <v>15300785</v>
      </c>
      <c r="AE7">
        <v>14031717</v>
      </c>
      <c r="AF7">
        <v>14751928</v>
      </c>
    </row>
    <row r="8" spans="1:32" x14ac:dyDescent="0.3">
      <c r="A8" t="s">
        <v>6</v>
      </c>
      <c r="B8" t="s">
        <v>98</v>
      </c>
      <c r="C8" t="s">
        <v>86</v>
      </c>
      <c r="D8" t="s">
        <v>99</v>
      </c>
      <c r="E8" t="s">
        <v>87</v>
      </c>
      <c r="F8">
        <v>10710429</v>
      </c>
      <c r="G8">
        <v>12397812</v>
      </c>
      <c r="H8">
        <v>13352346</v>
      </c>
      <c r="I8">
        <v>12187187</v>
      </c>
      <c r="J8">
        <v>11672602</v>
      </c>
      <c r="K8">
        <v>13150703</v>
      </c>
      <c r="L8">
        <v>13546115</v>
      </c>
      <c r="M8">
        <v>13455999</v>
      </c>
      <c r="N8">
        <v>13609729</v>
      </c>
      <c r="O8">
        <v>14298553</v>
      </c>
      <c r="P8">
        <v>17366746</v>
      </c>
      <c r="Q8">
        <v>19964023</v>
      </c>
      <c r="R8">
        <v>21152140</v>
      </c>
      <c r="S8">
        <v>23999904</v>
      </c>
      <c r="T8">
        <v>17893602</v>
      </c>
      <c r="U8">
        <v>19803702</v>
      </c>
      <c r="V8">
        <v>20420478</v>
      </c>
      <c r="W8">
        <v>21352892</v>
      </c>
      <c r="X8">
        <v>22574071</v>
      </c>
      <c r="Y8">
        <v>22973939</v>
      </c>
      <c r="Z8">
        <v>17364817</v>
      </c>
      <c r="AA8">
        <v>15084200</v>
      </c>
      <c r="AB8">
        <v>17266734</v>
      </c>
      <c r="AC8">
        <v>19151515</v>
      </c>
      <c r="AD8">
        <v>18175128</v>
      </c>
      <c r="AE8">
        <v>13606705</v>
      </c>
      <c r="AF8">
        <v>17005895</v>
      </c>
    </row>
    <row r="9" spans="1:32" x14ac:dyDescent="0.3">
      <c r="A9" t="s">
        <v>6</v>
      </c>
      <c r="B9" t="s">
        <v>100</v>
      </c>
      <c r="C9" t="s">
        <v>86</v>
      </c>
      <c r="D9" t="s">
        <v>101</v>
      </c>
      <c r="E9" t="s">
        <v>87</v>
      </c>
      <c r="F9">
        <v>21138089</v>
      </c>
      <c r="G9">
        <v>21381131</v>
      </c>
      <c r="H9">
        <v>22674830</v>
      </c>
      <c r="I9">
        <v>21186872</v>
      </c>
      <c r="J9">
        <v>20705285</v>
      </c>
      <c r="K9">
        <v>20991935</v>
      </c>
      <c r="L9">
        <v>20386771</v>
      </c>
      <c r="M9">
        <v>19584635</v>
      </c>
      <c r="N9">
        <v>19848996</v>
      </c>
      <c r="O9">
        <v>20719075</v>
      </c>
      <c r="P9">
        <v>22048063</v>
      </c>
      <c r="Q9">
        <v>23130837</v>
      </c>
      <c r="R9">
        <v>24821264</v>
      </c>
      <c r="S9">
        <v>25013181</v>
      </c>
      <c r="T9">
        <v>19023908</v>
      </c>
      <c r="U9">
        <v>21313531</v>
      </c>
      <c r="V9">
        <v>21506439</v>
      </c>
      <c r="W9">
        <v>21350271</v>
      </c>
      <c r="X9">
        <v>23047726</v>
      </c>
      <c r="Y9">
        <v>23599215</v>
      </c>
      <c r="Z9">
        <v>22954805</v>
      </c>
      <c r="AA9">
        <v>21280380</v>
      </c>
      <c r="AB9">
        <v>22818866</v>
      </c>
      <c r="AC9">
        <v>23985437</v>
      </c>
      <c r="AD9">
        <v>23323685</v>
      </c>
      <c r="AE9">
        <v>21773010</v>
      </c>
      <c r="AF9">
        <v>24344560</v>
      </c>
    </row>
    <row r="10" spans="1:32" x14ac:dyDescent="0.3">
      <c r="A10" t="s">
        <v>6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6</v>
      </c>
      <c r="B11" t="s">
        <v>104</v>
      </c>
      <c r="C11" t="s">
        <v>86</v>
      </c>
      <c r="D11" t="s">
        <v>105</v>
      </c>
      <c r="E11" t="s">
        <v>87</v>
      </c>
      <c r="F11">
        <v>6942808</v>
      </c>
      <c r="G11">
        <v>6937840</v>
      </c>
      <c r="H11">
        <v>7160696</v>
      </c>
      <c r="I11">
        <v>7168292</v>
      </c>
      <c r="J11">
        <v>7302760</v>
      </c>
      <c r="K11">
        <v>8013200</v>
      </c>
      <c r="L11">
        <v>7880777</v>
      </c>
      <c r="M11">
        <v>7963570</v>
      </c>
      <c r="N11">
        <v>8134005</v>
      </c>
      <c r="O11">
        <v>8121648</v>
      </c>
      <c r="P11">
        <v>7898394</v>
      </c>
      <c r="Q11">
        <v>8174400</v>
      </c>
      <c r="R11">
        <v>8016096</v>
      </c>
      <c r="S11">
        <v>8078647</v>
      </c>
      <c r="T11">
        <v>8218919</v>
      </c>
      <c r="U11">
        <v>8645191</v>
      </c>
      <c r="V11">
        <v>8508321</v>
      </c>
      <c r="W11">
        <v>8165744</v>
      </c>
      <c r="X11">
        <v>8081199</v>
      </c>
      <c r="Y11">
        <v>7926673</v>
      </c>
      <c r="Z11">
        <v>8473681</v>
      </c>
      <c r="AA11">
        <v>8695862</v>
      </c>
      <c r="AB11">
        <v>8733596</v>
      </c>
      <c r="AC11">
        <v>8813810</v>
      </c>
      <c r="AD11">
        <v>8390580</v>
      </c>
      <c r="AE11">
        <v>8811989</v>
      </c>
      <c r="AF11">
        <v>8705268</v>
      </c>
    </row>
    <row r="12" spans="1:32" x14ac:dyDescent="0.3">
      <c r="A12" t="s">
        <v>6</v>
      </c>
      <c r="B12" t="s">
        <v>106</v>
      </c>
      <c r="C12" t="s">
        <v>86</v>
      </c>
      <c r="D12" t="s">
        <v>107</v>
      </c>
      <c r="E12" t="s">
        <v>87</v>
      </c>
      <c r="F12">
        <v>23477868</v>
      </c>
      <c r="G12">
        <v>23669265</v>
      </c>
      <c r="H12">
        <v>24000905</v>
      </c>
      <c r="I12">
        <v>22513146</v>
      </c>
      <c r="J12">
        <v>21675630</v>
      </c>
      <c r="K12">
        <v>21845498</v>
      </c>
      <c r="L12">
        <v>20903663</v>
      </c>
      <c r="M12">
        <v>19967000</v>
      </c>
      <c r="N12">
        <v>20135647</v>
      </c>
      <c r="O12">
        <v>20919337</v>
      </c>
      <c r="P12">
        <v>21389431</v>
      </c>
      <c r="Q12">
        <v>22072798</v>
      </c>
      <c r="R12">
        <v>23083361</v>
      </c>
      <c r="S12">
        <v>22489353</v>
      </c>
      <c r="T12">
        <v>18137451</v>
      </c>
      <c r="U12">
        <v>19851042</v>
      </c>
      <c r="V12">
        <v>19927940</v>
      </c>
      <c r="W12">
        <v>19279854</v>
      </c>
      <c r="X12">
        <v>19434603</v>
      </c>
      <c r="Y12">
        <v>20108027</v>
      </c>
      <c r="Z12">
        <v>20769180</v>
      </c>
      <c r="AA12">
        <v>19918321</v>
      </c>
      <c r="AB12">
        <v>20876215</v>
      </c>
      <c r="AC12">
        <v>21738888</v>
      </c>
      <c r="AD12">
        <v>21598130</v>
      </c>
      <c r="AE12">
        <v>20693829</v>
      </c>
      <c r="AF12">
        <v>21995533</v>
      </c>
    </row>
    <row r="13" spans="1:32" x14ac:dyDescent="0.3">
      <c r="A13" t="s">
        <v>6</v>
      </c>
      <c r="B13" t="s">
        <v>108</v>
      </c>
      <c r="C13" t="s">
        <v>86</v>
      </c>
      <c r="D13" t="s">
        <v>109</v>
      </c>
      <c r="E13" t="s">
        <v>87</v>
      </c>
      <c r="F13">
        <v>44232130</v>
      </c>
      <c r="G13">
        <v>43538011</v>
      </c>
      <c r="H13">
        <v>45514436</v>
      </c>
      <c r="I13">
        <v>40756352</v>
      </c>
      <c r="J13">
        <v>36574368</v>
      </c>
      <c r="K13">
        <v>38622210</v>
      </c>
      <c r="L13">
        <v>36923485</v>
      </c>
      <c r="M13">
        <v>35991412</v>
      </c>
      <c r="N13">
        <v>35822173</v>
      </c>
      <c r="O13">
        <v>40815606</v>
      </c>
      <c r="P13">
        <v>46767434</v>
      </c>
      <c r="Q13">
        <v>51385464</v>
      </c>
      <c r="R13">
        <v>57104814</v>
      </c>
      <c r="S13">
        <v>63204716</v>
      </c>
      <c r="T13">
        <v>44123563</v>
      </c>
      <c r="U13">
        <v>51089571</v>
      </c>
      <c r="V13">
        <v>51895490</v>
      </c>
      <c r="W13">
        <v>51412764</v>
      </c>
      <c r="X13">
        <v>50678210</v>
      </c>
      <c r="Y13">
        <v>53349827</v>
      </c>
      <c r="Z13">
        <v>50262448</v>
      </c>
      <c r="AA13">
        <v>47586044</v>
      </c>
      <c r="AB13">
        <v>52436421</v>
      </c>
      <c r="AC13">
        <v>54264604</v>
      </c>
      <c r="AD13">
        <v>52629209</v>
      </c>
      <c r="AE13">
        <v>46130558</v>
      </c>
      <c r="AF13">
        <v>56833690</v>
      </c>
    </row>
    <row r="14" spans="1:32" x14ac:dyDescent="0.3">
      <c r="A14" t="s">
        <v>6</v>
      </c>
      <c r="B14" t="s">
        <v>110</v>
      </c>
      <c r="C14" t="s">
        <v>86</v>
      </c>
      <c r="D14" t="s">
        <v>111</v>
      </c>
      <c r="E14" t="s">
        <v>87</v>
      </c>
      <c r="F14">
        <v>37994882</v>
      </c>
      <c r="G14">
        <v>40799017</v>
      </c>
      <c r="H14">
        <v>43252310</v>
      </c>
      <c r="I14">
        <v>40795860</v>
      </c>
      <c r="J14">
        <v>40505712</v>
      </c>
      <c r="K14">
        <v>44080605</v>
      </c>
      <c r="L14">
        <v>37685248</v>
      </c>
      <c r="M14">
        <v>34208636</v>
      </c>
      <c r="N14">
        <v>35684373</v>
      </c>
      <c r="O14">
        <v>36580817</v>
      </c>
      <c r="P14">
        <v>35512978</v>
      </c>
      <c r="Q14">
        <v>37291652</v>
      </c>
      <c r="R14">
        <v>39222018</v>
      </c>
      <c r="S14">
        <v>37670708</v>
      </c>
      <c r="T14">
        <v>28351480</v>
      </c>
      <c r="U14">
        <v>30442543</v>
      </c>
      <c r="V14">
        <v>27822392</v>
      </c>
      <c r="W14">
        <v>24049669</v>
      </c>
      <c r="X14">
        <v>23474645</v>
      </c>
      <c r="Y14">
        <v>25373760</v>
      </c>
      <c r="Z14">
        <v>26663784</v>
      </c>
      <c r="AA14">
        <v>24816813</v>
      </c>
      <c r="AB14">
        <v>26154913</v>
      </c>
      <c r="AC14">
        <v>27056381</v>
      </c>
      <c r="AD14">
        <v>25093275</v>
      </c>
      <c r="AE14">
        <v>24892567</v>
      </c>
      <c r="AF14">
        <v>27508653</v>
      </c>
    </row>
    <row r="15" spans="1:32" x14ac:dyDescent="0.3">
      <c r="A15" t="s">
        <v>6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6</v>
      </c>
      <c r="B16" t="s">
        <v>114</v>
      </c>
      <c r="C16" t="s">
        <v>86</v>
      </c>
      <c r="D16" t="s">
        <v>115</v>
      </c>
      <c r="E16" t="s">
        <v>87</v>
      </c>
      <c r="F16">
        <v>20968616</v>
      </c>
      <c r="G16">
        <v>21169639</v>
      </c>
      <c r="H16">
        <v>21510253</v>
      </c>
      <c r="I16">
        <v>19626448</v>
      </c>
      <c r="J16">
        <v>18043954</v>
      </c>
      <c r="K16">
        <v>19199639</v>
      </c>
      <c r="L16">
        <v>18380869</v>
      </c>
      <c r="M16">
        <v>15884591</v>
      </c>
      <c r="N16">
        <v>15874538</v>
      </c>
      <c r="O16">
        <v>16245718</v>
      </c>
      <c r="P16">
        <v>16827456</v>
      </c>
      <c r="Q16">
        <v>18150543</v>
      </c>
      <c r="R16">
        <v>19038278</v>
      </c>
      <c r="S16">
        <v>17740808</v>
      </c>
      <c r="T16">
        <v>14739027</v>
      </c>
      <c r="U16">
        <v>16262973</v>
      </c>
      <c r="V16">
        <v>15842183</v>
      </c>
      <c r="W16">
        <v>15948986</v>
      </c>
      <c r="X16">
        <v>16089909</v>
      </c>
      <c r="Y16">
        <v>17552843</v>
      </c>
      <c r="Z16">
        <v>17563233</v>
      </c>
      <c r="AA16">
        <v>16772254</v>
      </c>
      <c r="AB16">
        <v>17673323</v>
      </c>
      <c r="AC16">
        <v>19351256</v>
      </c>
      <c r="AD16">
        <v>18644282</v>
      </c>
      <c r="AE16">
        <v>17685916</v>
      </c>
      <c r="AF16">
        <v>18212770</v>
      </c>
    </row>
    <row r="17" spans="1:32" x14ac:dyDescent="0.3">
      <c r="A17" t="s">
        <v>6</v>
      </c>
      <c r="B17" t="s">
        <v>116</v>
      </c>
      <c r="C17" t="s">
        <v>86</v>
      </c>
      <c r="D17" t="s">
        <v>117</v>
      </c>
      <c r="E17" t="s">
        <v>87</v>
      </c>
      <c r="F17">
        <v>28849167</v>
      </c>
      <c r="G17">
        <v>30698289</v>
      </c>
      <c r="H17">
        <v>32018290</v>
      </c>
      <c r="I17">
        <v>29981236</v>
      </c>
      <c r="J17">
        <v>27622326</v>
      </c>
      <c r="K17">
        <v>29197882</v>
      </c>
      <c r="L17">
        <v>27931544</v>
      </c>
      <c r="M17">
        <v>24835563</v>
      </c>
      <c r="N17">
        <v>26106202</v>
      </c>
      <c r="O17">
        <v>28595892</v>
      </c>
      <c r="P17">
        <v>30859798</v>
      </c>
      <c r="Q17">
        <v>33114291</v>
      </c>
      <c r="R17">
        <v>35254831</v>
      </c>
      <c r="S17">
        <v>34257629</v>
      </c>
      <c r="T17">
        <v>22792971</v>
      </c>
      <c r="U17">
        <v>25660423</v>
      </c>
      <c r="V17">
        <v>28039360</v>
      </c>
      <c r="W17">
        <v>28164341</v>
      </c>
      <c r="X17">
        <v>27200524</v>
      </c>
      <c r="Y17">
        <v>28914388</v>
      </c>
      <c r="Z17">
        <v>30790005</v>
      </c>
      <c r="AA17">
        <v>30485991</v>
      </c>
      <c r="AB17">
        <v>33139626</v>
      </c>
      <c r="AC17">
        <v>35046909</v>
      </c>
      <c r="AD17">
        <v>33549725</v>
      </c>
      <c r="AE17">
        <v>30304710</v>
      </c>
      <c r="AF17">
        <v>34516958</v>
      </c>
    </row>
    <row r="18" spans="1:32" x14ac:dyDescent="0.3">
      <c r="A18" t="s">
        <v>6</v>
      </c>
      <c r="B18" t="s">
        <v>118</v>
      </c>
      <c r="C18" t="s">
        <v>86</v>
      </c>
      <c r="D18" t="s">
        <v>119</v>
      </c>
      <c r="E18" t="s">
        <v>87</v>
      </c>
      <c r="F18">
        <v>42767772</v>
      </c>
      <c r="G18">
        <v>43412531</v>
      </c>
      <c r="H18">
        <v>45843244</v>
      </c>
      <c r="I18">
        <v>43258216</v>
      </c>
      <c r="J18">
        <v>41506014</v>
      </c>
      <c r="K18">
        <v>42986117</v>
      </c>
      <c r="L18">
        <v>43602598</v>
      </c>
      <c r="M18">
        <v>46417921</v>
      </c>
      <c r="N18">
        <v>47890350</v>
      </c>
      <c r="O18">
        <v>50197007</v>
      </c>
      <c r="P18">
        <v>53643043</v>
      </c>
      <c r="Q18">
        <v>57409341</v>
      </c>
      <c r="R18">
        <v>61538200</v>
      </c>
      <c r="S18">
        <v>61838735</v>
      </c>
      <c r="T18">
        <v>43505991</v>
      </c>
      <c r="U18">
        <v>52453072</v>
      </c>
      <c r="V18">
        <v>48012648</v>
      </c>
      <c r="W18">
        <v>51597282</v>
      </c>
      <c r="X18">
        <v>53061375</v>
      </c>
      <c r="Y18">
        <v>55787826</v>
      </c>
      <c r="Z18">
        <v>59425708</v>
      </c>
      <c r="AA18">
        <v>57975922</v>
      </c>
      <c r="AB18">
        <v>61510956</v>
      </c>
      <c r="AC18">
        <v>62412429</v>
      </c>
      <c r="AD18">
        <v>61189298</v>
      </c>
      <c r="AE18">
        <v>51313996</v>
      </c>
      <c r="AF18">
        <v>52954394</v>
      </c>
    </row>
    <row r="19" spans="1:32" x14ac:dyDescent="0.3">
      <c r="A19" t="s">
        <v>6</v>
      </c>
      <c r="B19" t="s">
        <v>120</v>
      </c>
      <c r="C19" t="s">
        <v>86</v>
      </c>
      <c r="D19" t="s">
        <v>121</v>
      </c>
      <c r="E19" t="s">
        <v>87</v>
      </c>
      <c r="F19">
        <v>8939787</v>
      </c>
      <c r="G19">
        <v>9003098</v>
      </c>
      <c r="H19">
        <v>8988378</v>
      </c>
      <c r="I19">
        <v>8485016</v>
      </c>
      <c r="J19">
        <v>7777698</v>
      </c>
      <c r="K19">
        <v>7795819</v>
      </c>
      <c r="L19">
        <v>7484285</v>
      </c>
      <c r="M19">
        <v>6927927</v>
      </c>
      <c r="N19">
        <v>6522616</v>
      </c>
      <c r="O19">
        <v>6063513</v>
      </c>
      <c r="P19">
        <v>6299527</v>
      </c>
      <c r="Q19">
        <v>6288231</v>
      </c>
      <c r="R19">
        <v>6213547</v>
      </c>
      <c r="S19">
        <v>6004559</v>
      </c>
      <c r="T19">
        <v>4829608</v>
      </c>
      <c r="U19">
        <v>4806859</v>
      </c>
      <c r="V19">
        <v>4897611</v>
      </c>
      <c r="W19">
        <v>4793995</v>
      </c>
      <c r="X19">
        <v>4900506</v>
      </c>
      <c r="Y19">
        <v>5086386</v>
      </c>
      <c r="Z19">
        <v>5270161</v>
      </c>
      <c r="AA19">
        <v>5095421</v>
      </c>
      <c r="AB19">
        <v>5262842</v>
      </c>
      <c r="AC19">
        <v>5385030</v>
      </c>
      <c r="AD19">
        <v>5469155</v>
      </c>
      <c r="AE19">
        <v>5306969</v>
      </c>
      <c r="AF19">
        <v>5996476</v>
      </c>
    </row>
    <row r="20" spans="1:32" x14ac:dyDescent="0.3">
      <c r="A20" t="s">
        <v>6</v>
      </c>
      <c r="B20" t="s">
        <v>122</v>
      </c>
      <c r="C20" t="s">
        <v>86</v>
      </c>
      <c r="D20" t="s">
        <v>123</v>
      </c>
      <c r="E20" t="s">
        <v>87</v>
      </c>
      <c r="F20">
        <v>17802238</v>
      </c>
      <c r="G20">
        <v>17951857</v>
      </c>
      <c r="H20">
        <v>19037292</v>
      </c>
      <c r="I20">
        <v>18821553</v>
      </c>
      <c r="J20">
        <v>18731856</v>
      </c>
      <c r="K20">
        <v>19089486</v>
      </c>
      <c r="L20">
        <v>19205245</v>
      </c>
      <c r="M20">
        <v>18707689</v>
      </c>
      <c r="N20">
        <v>18300549</v>
      </c>
      <c r="O20">
        <v>18470015</v>
      </c>
      <c r="P20">
        <v>18696699</v>
      </c>
      <c r="Q20">
        <v>19037706</v>
      </c>
      <c r="R20">
        <v>19758850</v>
      </c>
      <c r="S20">
        <v>20948678</v>
      </c>
      <c r="T20">
        <v>19597924</v>
      </c>
      <c r="U20">
        <v>19934510</v>
      </c>
      <c r="V20">
        <v>20170872</v>
      </c>
      <c r="W20">
        <v>21406551</v>
      </c>
      <c r="X20">
        <v>22651666</v>
      </c>
      <c r="Y20">
        <v>24490657</v>
      </c>
      <c r="Z20">
        <v>23326122</v>
      </c>
      <c r="AA20">
        <v>20018926</v>
      </c>
      <c r="AB20">
        <v>21133948</v>
      </c>
      <c r="AC20">
        <v>22371111</v>
      </c>
      <c r="AD20">
        <v>22648728</v>
      </c>
      <c r="AE20">
        <v>20877743</v>
      </c>
      <c r="AF20">
        <v>21045456</v>
      </c>
    </row>
    <row r="21" spans="1:32" x14ac:dyDescent="0.3">
      <c r="A21" t="s">
        <v>6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6</v>
      </c>
      <c r="B22" t="s">
        <v>126</v>
      </c>
      <c r="C22" t="s">
        <v>86</v>
      </c>
      <c r="D22" t="s">
        <v>127</v>
      </c>
      <c r="E22" t="s">
        <v>87</v>
      </c>
      <c r="F22">
        <v>8407340</v>
      </c>
      <c r="G22">
        <v>8883565</v>
      </c>
      <c r="H22">
        <v>9224655</v>
      </c>
      <c r="I22">
        <v>9494116</v>
      </c>
      <c r="J22">
        <v>9746581</v>
      </c>
      <c r="K22">
        <v>9671505</v>
      </c>
      <c r="L22">
        <v>10133300</v>
      </c>
      <c r="M22">
        <v>10401381</v>
      </c>
      <c r="N22">
        <v>10444356</v>
      </c>
      <c r="O22">
        <v>10468939</v>
      </c>
      <c r="P22">
        <v>10569551</v>
      </c>
      <c r="Q22">
        <v>10580347</v>
      </c>
      <c r="R22">
        <v>10684734</v>
      </c>
      <c r="S22">
        <v>10731483</v>
      </c>
      <c r="T22">
        <v>10628991</v>
      </c>
      <c r="U22">
        <v>10433284</v>
      </c>
      <c r="V22">
        <v>10545148</v>
      </c>
      <c r="W22">
        <v>10681506</v>
      </c>
      <c r="X22">
        <v>10914744</v>
      </c>
      <c r="Y22">
        <v>11500533</v>
      </c>
      <c r="Z22">
        <v>11920944</v>
      </c>
      <c r="AA22">
        <v>12180906</v>
      </c>
      <c r="AB22">
        <v>12617114</v>
      </c>
      <c r="AC22">
        <v>12845511</v>
      </c>
      <c r="AD22">
        <v>13119802</v>
      </c>
      <c r="AE22">
        <v>13343152</v>
      </c>
      <c r="AF22">
        <v>13837680</v>
      </c>
    </row>
    <row r="23" spans="1:32" x14ac:dyDescent="0.3">
      <c r="A23" t="s">
        <v>6</v>
      </c>
      <c r="B23" t="s">
        <v>128</v>
      </c>
      <c r="C23" t="s">
        <v>86</v>
      </c>
      <c r="D23" t="s">
        <v>129</v>
      </c>
      <c r="E23" t="s">
        <v>87</v>
      </c>
      <c r="F23">
        <v>88094707</v>
      </c>
      <c r="G23">
        <v>92402391</v>
      </c>
      <c r="H23">
        <v>87752876</v>
      </c>
      <c r="I23">
        <v>82626603</v>
      </c>
      <c r="J23">
        <v>79278074</v>
      </c>
      <c r="K23">
        <v>77317244</v>
      </c>
      <c r="L23">
        <v>73356708</v>
      </c>
      <c r="M23">
        <v>68880321</v>
      </c>
      <c r="N23">
        <v>65990944</v>
      </c>
      <c r="O23">
        <v>64121395</v>
      </c>
      <c r="P23">
        <v>63269039</v>
      </c>
      <c r="Q23">
        <v>62855649</v>
      </c>
      <c r="R23">
        <v>59503188</v>
      </c>
      <c r="S23">
        <v>57464954</v>
      </c>
      <c r="T23">
        <v>52928194</v>
      </c>
      <c r="U23">
        <v>50690310</v>
      </c>
      <c r="V23">
        <v>52853505</v>
      </c>
      <c r="W23">
        <v>53352843</v>
      </c>
      <c r="X23">
        <v>58306004</v>
      </c>
      <c r="Y23">
        <v>59448138</v>
      </c>
      <c r="Z23">
        <v>60891302</v>
      </c>
      <c r="AA23">
        <v>62981391</v>
      </c>
      <c r="AB23">
        <v>65040413</v>
      </c>
      <c r="AC23">
        <v>65845408</v>
      </c>
      <c r="AD23">
        <v>66943868</v>
      </c>
      <c r="AE23">
        <v>66247183</v>
      </c>
      <c r="AF23">
        <v>66681027</v>
      </c>
    </row>
    <row r="24" spans="1:32" x14ac:dyDescent="0.3">
      <c r="A24" t="s">
        <v>6</v>
      </c>
      <c r="B24" t="s">
        <v>130</v>
      </c>
      <c r="C24" t="s">
        <v>86</v>
      </c>
      <c r="D24" t="s">
        <v>131</v>
      </c>
      <c r="E24" t="s">
        <v>87</v>
      </c>
      <c r="F24">
        <v>112549596</v>
      </c>
      <c r="G24">
        <v>114184987</v>
      </c>
      <c r="H24">
        <v>117895588</v>
      </c>
      <c r="I24">
        <v>114706718</v>
      </c>
      <c r="J24">
        <v>114855940</v>
      </c>
      <c r="K24">
        <v>113424080</v>
      </c>
      <c r="L24">
        <v>114274351</v>
      </c>
      <c r="M24">
        <v>114052036</v>
      </c>
      <c r="N24">
        <v>115182783</v>
      </c>
      <c r="O24">
        <v>119642576</v>
      </c>
      <c r="P24">
        <v>125095147</v>
      </c>
      <c r="Q24">
        <v>122718602</v>
      </c>
      <c r="R24">
        <v>121168318</v>
      </c>
      <c r="S24">
        <v>122540611</v>
      </c>
      <c r="T24">
        <v>110441408</v>
      </c>
      <c r="U24">
        <v>114110338</v>
      </c>
      <c r="V24">
        <v>114844329</v>
      </c>
      <c r="W24">
        <v>116394416</v>
      </c>
      <c r="X24">
        <v>119518750</v>
      </c>
      <c r="Y24">
        <v>117779672</v>
      </c>
      <c r="Z24">
        <v>117970940</v>
      </c>
      <c r="AA24">
        <v>117450153</v>
      </c>
      <c r="AB24">
        <v>120042879</v>
      </c>
      <c r="AC24">
        <v>120733981</v>
      </c>
      <c r="AD24">
        <v>119474949</v>
      </c>
      <c r="AE24">
        <v>118954694</v>
      </c>
      <c r="AF24">
        <v>127379587</v>
      </c>
    </row>
    <row r="25" spans="1:32" x14ac:dyDescent="0.3">
      <c r="A25" t="s">
        <v>6</v>
      </c>
      <c r="B25" t="s">
        <v>132</v>
      </c>
      <c r="C25" t="s">
        <v>86</v>
      </c>
      <c r="D25" t="s">
        <v>133</v>
      </c>
      <c r="E25" t="s">
        <v>87</v>
      </c>
      <c r="F25">
        <v>8946177</v>
      </c>
      <c r="G25">
        <v>9325689</v>
      </c>
      <c r="H25">
        <v>10021289</v>
      </c>
      <c r="I25">
        <v>9956156</v>
      </c>
      <c r="J25">
        <v>10372647</v>
      </c>
      <c r="K25">
        <v>10956733</v>
      </c>
      <c r="L25">
        <v>9955349</v>
      </c>
      <c r="M25">
        <v>9669791</v>
      </c>
      <c r="N25">
        <v>9754040</v>
      </c>
      <c r="O25">
        <v>9915464</v>
      </c>
      <c r="P25">
        <v>9954092</v>
      </c>
      <c r="Q25">
        <v>9146744</v>
      </c>
      <c r="R25">
        <v>8265811</v>
      </c>
      <c r="S25">
        <v>6940933</v>
      </c>
      <c r="T25">
        <v>5318409</v>
      </c>
      <c r="U25">
        <v>5214185</v>
      </c>
      <c r="V25">
        <v>4215127</v>
      </c>
      <c r="W25">
        <v>4476925</v>
      </c>
      <c r="X25">
        <v>4760993</v>
      </c>
      <c r="Y25">
        <v>5315679</v>
      </c>
      <c r="Z25">
        <v>5591687</v>
      </c>
      <c r="AA25">
        <v>5789713</v>
      </c>
      <c r="AB25">
        <v>6225465</v>
      </c>
      <c r="AC25">
        <v>6220868</v>
      </c>
      <c r="AD25">
        <v>6181207</v>
      </c>
      <c r="AE25">
        <v>6111172</v>
      </c>
      <c r="AF25">
        <v>5813501</v>
      </c>
    </row>
    <row r="26" spans="1:32" x14ac:dyDescent="0.3">
      <c r="A26" t="s">
        <v>6</v>
      </c>
      <c r="B26" t="s">
        <v>134</v>
      </c>
      <c r="C26" t="s">
        <v>86</v>
      </c>
      <c r="D26" t="s">
        <v>135</v>
      </c>
      <c r="E26" t="s">
        <v>87</v>
      </c>
      <c r="F26">
        <v>61786951</v>
      </c>
      <c r="G26">
        <v>62934034</v>
      </c>
      <c r="H26">
        <v>66646393</v>
      </c>
      <c r="I26">
        <v>64761431</v>
      </c>
      <c r="J26">
        <v>65002884</v>
      </c>
      <c r="K26">
        <v>63236693</v>
      </c>
      <c r="L26">
        <v>63590358</v>
      </c>
      <c r="M26">
        <v>63187455</v>
      </c>
      <c r="N26">
        <v>63690052</v>
      </c>
      <c r="O26">
        <v>68326022</v>
      </c>
      <c r="P26">
        <v>75517104</v>
      </c>
      <c r="Q26">
        <v>74407773</v>
      </c>
      <c r="R26">
        <v>71760876</v>
      </c>
      <c r="S26">
        <v>72798130</v>
      </c>
      <c r="T26">
        <v>59853440</v>
      </c>
      <c r="U26">
        <v>61762355</v>
      </c>
      <c r="V26">
        <v>62964202</v>
      </c>
      <c r="W26">
        <v>61263545</v>
      </c>
      <c r="X26">
        <v>60782721</v>
      </c>
      <c r="Y26">
        <v>56184738</v>
      </c>
      <c r="Z26">
        <v>53824534</v>
      </c>
      <c r="AA26">
        <v>53692637</v>
      </c>
      <c r="AB26">
        <v>55709381</v>
      </c>
      <c r="AC26">
        <v>56121490</v>
      </c>
      <c r="AD26">
        <v>53673095</v>
      </c>
      <c r="AE26">
        <v>52547296</v>
      </c>
      <c r="AF26">
        <v>59477973</v>
      </c>
    </row>
    <row r="27" spans="1:32" x14ac:dyDescent="0.3">
      <c r="A27" t="s">
        <v>6</v>
      </c>
      <c r="B27" t="s">
        <v>136</v>
      </c>
      <c r="C27" t="s">
        <v>86</v>
      </c>
      <c r="D27" t="s">
        <v>137</v>
      </c>
      <c r="E27" t="s">
        <v>87</v>
      </c>
      <c r="F27">
        <v>41816468</v>
      </c>
      <c r="G27">
        <v>41925264</v>
      </c>
      <c r="H27">
        <v>41227906</v>
      </c>
      <c r="I27">
        <v>39989131</v>
      </c>
      <c r="J27">
        <v>39480409</v>
      </c>
      <c r="K27">
        <v>39230654</v>
      </c>
      <c r="L27">
        <v>40728644</v>
      </c>
      <c r="M27">
        <v>41194790</v>
      </c>
      <c r="N27">
        <v>41738691</v>
      </c>
      <c r="O27">
        <v>41401090</v>
      </c>
      <c r="P27">
        <v>39623951</v>
      </c>
      <c r="Q27">
        <v>39164085</v>
      </c>
      <c r="R27">
        <v>41141631</v>
      </c>
      <c r="S27">
        <v>42801548</v>
      </c>
      <c r="T27">
        <v>45269559</v>
      </c>
      <c r="U27">
        <v>47133798</v>
      </c>
      <c r="V27">
        <v>47665000</v>
      </c>
      <c r="W27">
        <v>50653946</v>
      </c>
      <c r="X27">
        <v>53975036</v>
      </c>
      <c r="Y27">
        <v>56279255</v>
      </c>
      <c r="Z27">
        <v>58554719</v>
      </c>
      <c r="AA27">
        <v>57967803</v>
      </c>
      <c r="AB27">
        <v>58108033</v>
      </c>
      <c r="AC27">
        <v>58391623</v>
      </c>
      <c r="AD27">
        <v>59620647</v>
      </c>
      <c r="AE27">
        <v>60296226</v>
      </c>
      <c r="AF27">
        <v>62088113</v>
      </c>
    </row>
    <row r="28" spans="1:32" x14ac:dyDescent="0.3">
      <c r="A28" t="s">
        <v>6</v>
      </c>
      <c r="B28" t="s">
        <v>138</v>
      </c>
      <c r="C28" t="s">
        <v>86</v>
      </c>
      <c r="D28" t="s">
        <v>139</v>
      </c>
      <c r="E28" t="s">
        <v>87</v>
      </c>
      <c r="F28">
        <v>45478260</v>
      </c>
      <c r="G28">
        <v>43107436</v>
      </c>
      <c r="H28">
        <v>43736381</v>
      </c>
      <c r="I28">
        <v>42847504</v>
      </c>
      <c r="J28">
        <v>42061801</v>
      </c>
      <c r="K28">
        <v>42254001</v>
      </c>
      <c r="L28">
        <v>42477061</v>
      </c>
      <c r="M28">
        <v>42590239</v>
      </c>
      <c r="N28">
        <v>43339765</v>
      </c>
      <c r="O28">
        <v>44806096</v>
      </c>
      <c r="P28">
        <v>45412369</v>
      </c>
      <c r="Q28">
        <v>46577606</v>
      </c>
      <c r="R28">
        <v>48195207</v>
      </c>
      <c r="S28">
        <v>48033769</v>
      </c>
      <c r="T28">
        <v>41734658</v>
      </c>
      <c r="U28">
        <v>42088665</v>
      </c>
      <c r="V28">
        <v>40940019</v>
      </c>
      <c r="W28">
        <v>42741256</v>
      </c>
      <c r="X28">
        <v>43578040</v>
      </c>
      <c r="Y28">
        <v>46295196</v>
      </c>
      <c r="Z28">
        <v>47018883</v>
      </c>
      <c r="AA28">
        <v>46057486</v>
      </c>
      <c r="AB28">
        <v>47774100</v>
      </c>
      <c r="AC28">
        <v>48159726</v>
      </c>
      <c r="AD28">
        <v>48279584</v>
      </c>
      <c r="AE28">
        <v>37750207</v>
      </c>
      <c r="AF28">
        <v>38264705</v>
      </c>
    </row>
    <row r="29" spans="1:32" x14ac:dyDescent="0.3">
      <c r="A29" t="s">
        <v>6</v>
      </c>
      <c r="B29" t="s">
        <v>140</v>
      </c>
      <c r="C29" t="s">
        <v>86</v>
      </c>
      <c r="D29" t="s">
        <v>141</v>
      </c>
      <c r="E29" t="s">
        <v>87</v>
      </c>
      <c r="F29">
        <v>29721097</v>
      </c>
      <c r="G29">
        <v>27827680</v>
      </c>
      <c r="H29">
        <v>27956486</v>
      </c>
      <c r="I29">
        <v>27119620</v>
      </c>
      <c r="J29">
        <v>27085814</v>
      </c>
      <c r="K29">
        <v>27894404</v>
      </c>
      <c r="L29">
        <v>27916813</v>
      </c>
      <c r="M29">
        <v>28000773</v>
      </c>
      <c r="N29">
        <v>28635334</v>
      </c>
      <c r="O29">
        <v>29231322</v>
      </c>
      <c r="P29">
        <v>28981350</v>
      </c>
      <c r="Q29">
        <v>29214529</v>
      </c>
      <c r="R29">
        <v>29781031</v>
      </c>
      <c r="S29">
        <v>29484568</v>
      </c>
      <c r="T29">
        <v>26947614</v>
      </c>
      <c r="U29">
        <v>26389820</v>
      </c>
      <c r="V29">
        <v>25522681</v>
      </c>
      <c r="W29">
        <v>26570104</v>
      </c>
      <c r="X29">
        <v>26818825</v>
      </c>
      <c r="Y29">
        <v>28344022</v>
      </c>
      <c r="Z29">
        <v>28811406</v>
      </c>
      <c r="AA29">
        <v>29074128</v>
      </c>
      <c r="AB29">
        <v>29893355</v>
      </c>
      <c r="AC29">
        <v>30544310</v>
      </c>
      <c r="AD29">
        <v>31170441</v>
      </c>
      <c r="AE29">
        <v>24751447</v>
      </c>
      <c r="AF29">
        <v>24789841</v>
      </c>
    </row>
    <row r="30" spans="1:32" x14ac:dyDescent="0.3">
      <c r="A30" t="s">
        <v>6</v>
      </c>
      <c r="B30" t="s">
        <v>142</v>
      </c>
      <c r="C30" t="s">
        <v>86</v>
      </c>
      <c r="D30" t="s">
        <v>143</v>
      </c>
      <c r="E30" t="s">
        <v>87</v>
      </c>
      <c r="F30">
        <v>5299917</v>
      </c>
      <c r="G30">
        <v>4598649</v>
      </c>
      <c r="H30">
        <v>5128196</v>
      </c>
      <c r="I30">
        <v>5465081</v>
      </c>
      <c r="J30">
        <v>4968137</v>
      </c>
      <c r="K30">
        <v>4681351</v>
      </c>
      <c r="L30">
        <v>4966904</v>
      </c>
      <c r="M30">
        <v>4905264</v>
      </c>
      <c r="N30">
        <v>5058797</v>
      </c>
      <c r="O30">
        <v>5401072</v>
      </c>
      <c r="P30">
        <v>5955107</v>
      </c>
      <c r="Q30">
        <v>6629992</v>
      </c>
      <c r="R30">
        <v>7492124</v>
      </c>
      <c r="S30">
        <v>7808594</v>
      </c>
      <c r="T30">
        <v>5034640</v>
      </c>
      <c r="U30">
        <v>5925385</v>
      </c>
      <c r="V30">
        <v>5687096</v>
      </c>
      <c r="W30">
        <v>5818026</v>
      </c>
      <c r="X30">
        <v>6139598</v>
      </c>
      <c r="Y30">
        <v>6746756</v>
      </c>
      <c r="Z30">
        <v>6540866</v>
      </c>
      <c r="AA30">
        <v>5361246</v>
      </c>
      <c r="AB30">
        <v>5822247</v>
      </c>
      <c r="AC30">
        <v>5158117</v>
      </c>
      <c r="AD30">
        <v>4715389</v>
      </c>
      <c r="AE30">
        <v>4152848</v>
      </c>
      <c r="AF30">
        <v>4799422</v>
      </c>
    </row>
    <row r="31" spans="1:32" x14ac:dyDescent="0.3">
      <c r="A31" t="s">
        <v>6</v>
      </c>
      <c r="B31" t="s">
        <v>144</v>
      </c>
      <c r="C31" t="s">
        <v>86</v>
      </c>
      <c r="D31" t="s">
        <v>145</v>
      </c>
      <c r="E31" t="s">
        <v>87</v>
      </c>
      <c r="F31">
        <v>3396343</v>
      </c>
      <c r="G31">
        <v>3643509</v>
      </c>
      <c r="H31">
        <v>3741715</v>
      </c>
      <c r="I31">
        <v>3680839</v>
      </c>
      <c r="J31">
        <v>3749689</v>
      </c>
      <c r="K31">
        <v>3849242</v>
      </c>
      <c r="L31">
        <v>3718528</v>
      </c>
      <c r="M31">
        <v>3742532</v>
      </c>
      <c r="N31">
        <v>3699924</v>
      </c>
      <c r="O31">
        <v>3904135</v>
      </c>
      <c r="P31">
        <v>3965859</v>
      </c>
      <c r="Q31">
        <v>4133366</v>
      </c>
      <c r="R31">
        <v>4264969</v>
      </c>
      <c r="S31">
        <v>4159487</v>
      </c>
      <c r="T31">
        <v>3506465</v>
      </c>
      <c r="U31">
        <v>3423682</v>
      </c>
      <c r="V31">
        <v>3354559</v>
      </c>
      <c r="W31">
        <v>3371357</v>
      </c>
      <c r="X31">
        <v>3528646</v>
      </c>
      <c r="Y31">
        <v>3704839</v>
      </c>
      <c r="Z31">
        <v>3804111</v>
      </c>
      <c r="AA31">
        <v>3745649</v>
      </c>
      <c r="AB31">
        <v>3941685</v>
      </c>
      <c r="AC31">
        <v>4148575</v>
      </c>
      <c r="AD31">
        <v>4097323</v>
      </c>
      <c r="AE31">
        <v>2097665</v>
      </c>
      <c r="AF31">
        <v>2091898</v>
      </c>
    </row>
    <row r="32" spans="1:32" x14ac:dyDescent="0.3">
      <c r="A32" t="s">
        <v>6</v>
      </c>
      <c r="B32" t="s">
        <v>146</v>
      </c>
      <c r="C32" t="s">
        <v>86</v>
      </c>
      <c r="D32" t="s">
        <v>147</v>
      </c>
      <c r="E32" t="s">
        <v>87</v>
      </c>
      <c r="F32">
        <v>4890107</v>
      </c>
      <c r="G32">
        <v>4801698</v>
      </c>
      <c r="H32">
        <v>4673017</v>
      </c>
      <c r="I32">
        <v>4410622</v>
      </c>
      <c r="J32">
        <v>4106649</v>
      </c>
      <c r="K32">
        <v>3677914</v>
      </c>
      <c r="L32">
        <v>3743812</v>
      </c>
      <c r="M32">
        <v>3860579</v>
      </c>
      <c r="N32">
        <v>3927373</v>
      </c>
      <c r="O32">
        <v>4296902</v>
      </c>
      <c r="P32">
        <v>4556109</v>
      </c>
      <c r="Q32">
        <v>4643052</v>
      </c>
      <c r="R32">
        <v>4702254</v>
      </c>
      <c r="S32">
        <v>4660264</v>
      </c>
      <c r="T32">
        <v>4375718</v>
      </c>
      <c r="U32">
        <v>4523858</v>
      </c>
      <c r="V32">
        <v>4572438</v>
      </c>
      <c r="W32">
        <v>5220702</v>
      </c>
      <c r="X32">
        <v>5324465</v>
      </c>
      <c r="Y32">
        <v>5724556</v>
      </c>
      <c r="Z32">
        <v>6053756</v>
      </c>
      <c r="AA32">
        <v>6044724</v>
      </c>
      <c r="AB32">
        <v>6217001</v>
      </c>
      <c r="AC32">
        <v>6320371</v>
      </c>
      <c r="AD32">
        <v>6278966</v>
      </c>
      <c r="AE32">
        <v>4765775</v>
      </c>
      <c r="AF32">
        <v>4634984</v>
      </c>
    </row>
    <row r="33" spans="1:32" x14ac:dyDescent="0.3">
      <c r="A33" t="s">
        <v>6</v>
      </c>
      <c r="B33" t="s">
        <v>148</v>
      </c>
      <c r="C33" t="s">
        <v>86</v>
      </c>
      <c r="D33" t="s">
        <v>149</v>
      </c>
      <c r="E33" t="s">
        <v>87</v>
      </c>
      <c r="F33">
        <v>2170796</v>
      </c>
      <c r="G33">
        <v>2235900</v>
      </c>
      <c r="H33">
        <v>2236967</v>
      </c>
      <c r="I33">
        <v>2171342</v>
      </c>
      <c r="J33">
        <v>2151512</v>
      </c>
      <c r="K33">
        <v>2151090</v>
      </c>
      <c r="L33">
        <v>2131004</v>
      </c>
      <c r="M33">
        <v>2081091</v>
      </c>
      <c r="N33">
        <v>2018337</v>
      </c>
      <c r="O33">
        <v>1972665</v>
      </c>
      <c r="P33">
        <v>1953944</v>
      </c>
      <c r="Q33">
        <v>1956667</v>
      </c>
      <c r="R33">
        <v>1954829</v>
      </c>
      <c r="S33">
        <v>1920856</v>
      </c>
      <c r="T33">
        <v>1870221</v>
      </c>
      <c r="U33">
        <v>1825920</v>
      </c>
      <c r="V33">
        <v>1803245</v>
      </c>
      <c r="W33">
        <v>1761067</v>
      </c>
      <c r="X33">
        <v>1766506</v>
      </c>
      <c r="Y33">
        <v>1775023</v>
      </c>
      <c r="Z33">
        <v>1808744</v>
      </c>
      <c r="AA33">
        <v>1831739</v>
      </c>
      <c r="AB33">
        <v>1899812</v>
      </c>
      <c r="AC33">
        <v>1988353</v>
      </c>
      <c r="AD33">
        <v>2017465</v>
      </c>
      <c r="AE33">
        <v>1982472</v>
      </c>
      <c r="AF33">
        <v>1948560</v>
      </c>
    </row>
    <row r="34" spans="1:32" x14ac:dyDescent="0.3">
      <c r="A34" t="s">
        <v>6</v>
      </c>
      <c r="B34" t="s">
        <v>150</v>
      </c>
      <c r="C34" t="s">
        <v>86</v>
      </c>
      <c r="D34" t="s">
        <v>151</v>
      </c>
      <c r="E34" t="s">
        <v>87</v>
      </c>
      <c r="F34">
        <v>33387929</v>
      </c>
      <c r="G34">
        <v>34677828</v>
      </c>
      <c r="H34">
        <v>35617941</v>
      </c>
      <c r="I34">
        <v>35858831</v>
      </c>
      <c r="J34">
        <v>35934875</v>
      </c>
      <c r="K34">
        <v>35479687</v>
      </c>
      <c r="L34">
        <v>35208124</v>
      </c>
      <c r="M34">
        <v>34376821</v>
      </c>
      <c r="N34">
        <v>33246258</v>
      </c>
      <c r="O34">
        <v>32445761</v>
      </c>
      <c r="P34">
        <v>31987573</v>
      </c>
      <c r="Q34">
        <v>32029996</v>
      </c>
      <c r="R34">
        <v>32413275</v>
      </c>
      <c r="S34">
        <v>32168842</v>
      </c>
      <c r="T34">
        <v>30823909</v>
      </c>
      <c r="U34">
        <v>30392192</v>
      </c>
      <c r="V34">
        <v>29350256</v>
      </c>
      <c r="W34">
        <v>29806666</v>
      </c>
      <c r="X34">
        <v>29898015</v>
      </c>
      <c r="Y34">
        <v>30735335</v>
      </c>
      <c r="Z34">
        <v>31708087</v>
      </c>
      <c r="AA34">
        <v>32089586</v>
      </c>
      <c r="AB34">
        <v>32376670</v>
      </c>
      <c r="AC34">
        <v>32001438</v>
      </c>
      <c r="AD34">
        <v>31841702</v>
      </c>
      <c r="AE34">
        <v>22955669</v>
      </c>
      <c r="AF34">
        <v>20273204</v>
      </c>
    </row>
    <row r="35" spans="1:32" x14ac:dyDescent="0.3">
      <c r="A35" t="s">
        <v>6</v>
      </c>
      <c r="B35" t="s">
        <v>152</v>
      </c>
      <c r="C35" t="s">
        <v>86</v>
      </c>
      <c r="D35" t="s">
        <v>153</v>
      </c>
      <c r="E35" t="s">
        <v>87</v>
      </c>
      <c r="F35">
        <v>27874501</v>
      </c>
      <c r="G35">
        <v>31585522</v>
      </c>
      <c r="H35">
        <v>34678074</v>
      </c>
      <c r="I35">
        <v>37713179</v>
      </c>
      <c r="J35">
        <v>40643444</v>
      </c>
      <c r="K35">
        <v>43874320</v>
      </c>
      <c r="L35">
        <v>45951737</v>
      </c>
      <c r="M35">
        <v>46845337</v>
      </c>
      <c r="N35">
        <v>47241372</v>
      </c>
      <c r="O35">
        <v>47061666</v>
      </c>
      <c r="P35">
        <v>47101581</v>
      </c>
      <c r="Q35">
        <v>47828934</v>
      </c>
      <c r="R35">
        <v>48522668</v>
      </c>
      <c r="S35">
        <v>48626626</v>
      </c>
      <c r="T35">
        <v>46741182</v>
      </c>
      <c r="U35">
        <v>46465115</v>
      </c>
      <c r="V35">
        <v>46268294</v>
      </c>
      <c r="W35">
        <v>47502636</v>
      </c>
      <c r="X35">
        <v>48891915</v>
      </c>
      <c r="Y35">
        <v>50629019</v>
      </c>
      <c r="Z35">
        <v>52847766</v>
      </c>
      <c r="AA35">
        <v>53621400</v>
      </c>
      <c r="AB35">
        <v>54002522</v>
      </c>
      <c r="AC35">
        <v>55563539</v>
      </c>
      <c r="AD35">
        <v>56259308</v>
      </c>
      <c r="AE35">
        <v>56084998</v>
      </c>
      <c r="AF35">
        <v>57008400</v>
      </c>
    </row>
    <row r="36" spans="1:32" x14ac:dyDescent="0.3">
      <c r="A36" t="s">
        <v>6</v>
      </c>
      <c r="B36" t="s">
        <v>154</v>
      </c>
      <c r="C36" t="s">
        <v>86</v>
      </c>
      <c r="D36" t="s">
        <v>155</v>
      </c>
      <c r="E36" t="s">
        <v>87</v>
      </c>
      <c r="F36">
        <v>10246849</v>
      </c>
      <c r="G36">
        <v>10833628</v>
      </c>
      <c r="H36">
        <v>11133184</v>
      </c>
      <c r="I36">
        <v>11423193</v>
      </c>
      <c r="J36">
        <v>11331588</v>
      </c>
      <c r="K36">
        <v>11807725</v>
      </c>
      <c r="L36">
        <v>11942619</v>
      </c>
      <c r="M36">
        <v>11922654</v>
      </c>
      <c r="N36">
        <v>12086517</v>
      </c>
      <c r="O36">
        <v>12342204</v>
      </c>
      <c r="P36">
        <v>12447779</v>
      </c>
      <c r="Q36">
        <v>12314448</v>
      </c>
      <c r="R36">
        <v>12171866</v>
      </c>
      <c r="S36">
        <v>11955526</v>
      </c>
      <c r="T36">
        <v>11375332</v>
      </c>
      <c r="U36">
        <v>11167088</v>
      </c>
      <c r="V36">
        <v>10913119</v>
      </c>
      <c r="W36">
        <v>11264371</v>
      </c>
      <c r="X36">
        <v>11444656</v>
      </c>
      <c r="Y36">
        <v>11839625</v>
      </c>
      <c r="Z36">
        <v>12448771</v>
      </c>
      <c r="AA36">
        <v>12289602</v>
      </c>
      <c r="AB36">
        <v>12126279</v>
      </c>
      <c r="AC36">
        <v>12273103</v>
      </c>
      <c r="AD36">
        <v>12440729</v>
      </c>
      <c r="AE36">
        <v>11392733</v>
      </c>
      <c r="AF36">
        <v>11484525</v>
      </c>
    </row>
    <row r="37" spans="1:32" x14ac:dyDescent="0.3">
      <c r="A37" t="s">
        <v>6</v>
      </c>
      <c r="B37" t="s">
        <v>156</v>
      </c>
      <c r="C37" t="s">
        <v>86</v>
      </c>
      <c r="D37" t="s">
        <v>157</v>
      </c>
      <c r="E37" t="s">
        <v>87</v>
      </c>
      <c r="F37">
        <v>10198200</v>
      </c>
      <c r="G37">
        <v>11928335</v>
      </c>
      <c r="H37">
        <v>13556126</v>
      </c>
      <c r="I37">
        <v>13930365</v>
      </c>
      <c r="J37">
        <v>15854805</v>
      </c>
      <c r="K37">
        <v>17208902</v>
      </c>
      <c r="L37">
        <v>17462206</v>
      </c>
      <c r="M37">
        <v>17435188</v>
      </c>
      <c r="N37">
        <v>17386094</v>
      </c>
      <c r="O37">
        <v>16557355</v>
      </c>
      <c r="P37">
        <v>16011911</v>
      </c>
      <c r="Q37">
        <v>16372347</v>
      </c>
      <c r="R37">
        <v>16697542</v>
      </c>
      <c r="S37">
        <v>16568329</v>
      </c>
      <c r="T37">
        <v>16433953</v>
      </c>
      <c r="U37">
        <v>16859991</v>
      </c>
      <c r="V37">
        <v>17504656</v>
      </c>
      <c r="W37">
        <v>17937917</v>
      </c>
      <c r="X37">
        <v>18690342</v>
      </c>
      <c r="Y37">
        <v>19302148</v>
      </c>
      <c r="Z37">
        <v>20255363</v>
      </c>
      <c r="AA37">
        <v>20925151</v>
      </c>
      <c r="AB37">
        <v>20868658</v>
      </c>
      <c r="AC37">
        <v>22050579</v>
      </c>
      <c r="AD37">
        <v>21911817</v>
      </c>
      <c r="AE37">
        <v>22704802</v>
      </c>
      <c r="AF37">
        <v>22807932</v>
      </c>
    </row>
    <row r="38" spans="1:32" x14ac:dyDescent="0.3">
      <c r="A38" t="s">
        <v>6</v>
      </c>
      <c r="B38" t="s">
        <v>158</v>
      </c>
      <c r="C38" t="s">
        <v>86</v>
      </c>
      <c r="D38" t="s">
        <v>159</v>
      </c>
      <c r="E38" t="s">
        <v>87</v>
      </c>
      <c r="F38">
        <v>7429452</v>
      </c>
      <c r="G38">
        <v>8823559</v>
      </c>
      <c r="H38">
        <v>9988764</v>
      </c>
      <c r="I38">
        <v>12359621</v>
      </c>
      <c r="J38">
        <v>13457051</v>
      </c>
      <c r="K38">
        <v>14857693</v>
      </c>
      <c r="L38">
        <v>16546912</v>
      </c>
      <c r="M38">
        <v>17487495</v>
      </c>
      <c r="N38">
        <v>17768761</v>
      </c>
      <c r="O38">
        <v>18162107</v>
      </c>
      <c r="P38">
        <v>18641891</v>
      </c>
      <c r="Q38">
        <v>19142139</v>
      </c>
      <c r="R38">
        <v>19653260</v>
      </c>
      <c r="S38">
        <v>20102771</v>
      </c>
      <c r="T38">
        <v>18931897</v>
      </c>
      <c r="U38">
        <v>18438036</v>
      </c>
      <c r="V38">
        <v>17850519</v>
      </c>
      <c r="W38">
        <v>18300348</v>
      </c>
      <c r="X38">
        <v>18756917</v>
      </c>
      <c r="Y38">
        <v>19487246</v>
      </c>
      <c r="Z38">
        <v>20143632</v>
      </c>
      <c r="AA38">
        <v>20406647</v>
      </c>
      <c r="AB38">
        <v>21007585</v>
      </c>
      <c r="AC38">
        <v>21239857</v>
      </c>
      <c r="AD38">
        <v>21906762</v>
      </c>
      <c r="AE38">
        <v>21987463</v>
      </c>
      <c r="AF38">
        <v>22715943</v>
      </c>
    </row>
    <row r="39" spans="1:32" x14ac:dyDescent="0.3">
      <c r="A39" t="s">
        <v>6</v>
      </c>
      <c r="B39" t="s">
        <v>160</v>
      </c>
      <c r="C39" t="s">
        <v>86</v>
      </c>
      <c r="D39" t="s">
        <v>161</v>
      </c>
      <c r="E39" t="s">
        <v>87</v>
      </c>
      <c r="F39">
        <v>37781909</v>
      </c>
      <c r="G39">
        <v>40336713</v>
      </c>
      <c r="H39">
        <v>40724349</v>
      </c>
      <c r="I39">
        <v>39630378</v>
      </c>
      <c r="J39">
        <v>38928008</v>
      </c>
      <c r="K39">
        <v>38983404</v>
      </c>
      <c r="L39">
        <v>40984781</v>
      </c>
      <c r="M39">
        <v>43183763</v>
      </c>
      <c r="N39">
        <v>43740274</v>
      </c>
      <c r="O39">
        <v>43384321</v>
      </c>
      <c r="P39">
        <v>44499292</v>
      </c>
      <c r="Q39">
        <v>44500172</v>
      </c>
      <c r="R39">
        <v>45157095</v>
      </c>
      <c r="S39">
        <v>39682162</v>
      </c>
      <c r="T39">
        <v>37238440</v>
      </c>
      <c r="U39">
        <v>36228048</v>
      </c>
      <c r="V39">
        <v>34763995</v>
      </c>
      <c r="W39">
        <v>33744865</v>
      </c>
      <c r="X39">
        <v>34968620</v>
      </c>
      <c r="Y39">
        <v>34634115</v>
      </c>
      <c r="Z39">
        <v>35641883</v>
      </c>
      <c r="AA39">
        <v>34792239</v>
      </c>
      <c r="AB39">
        <v>35128907</v>
      </c>
      <c r="AC39">
        <v>36010182</v>
      </c>
      <c r="AD39">
        <v>36013781</v>
      </c>
      <c r="AE39">
        <v>35876714</v>
      </c>
      <c r="AF39">
        <v>36463690</v>
      </c>
    </row>
    <row r="40" spans="1:32" x14ac:dyDescent="0.3">
      <c r="A40" t="s">
        <v>6</v>
      </c>
      <c r="B40" t="s">
        <v>162</v>
      </c>
      <c r="C40" t="s">
        <v>86</v>
      </c>
      <c r="D40" t="s">
        <v>163</v>
      </c>
      <c r="E40" t="s">
        <v>87</v>
      </c>
      <c r="F40">
        <v>60890396</v>
      </c>
      <c r="G40">
        <v>62428010</v>
      </c>
      <c r="H40">
        <v>63979348</v>
      </c>
      <c r="I40">
        <v>64604664</v>
      </c>
      <c r="J40">
        <v>64896219</v>
      </c>
      <c r="K40">
        <v>66246115</v>
      </c>
      <c r="L40">
        <v>67342450</v>
      </c>
      <c r="M40">
        <v>67765202</v>
      </c>
      <c r="N40">
        <v>68179511</v>
      </c>
      <c r="O40">
        <v>68983538</v>
      </c>
      <c r="P40">
        <v>70028457</v>
      </c>
      <c r="Q40">
        <v>71730131</v>
      </c>
      <c r="R40">
        <v>72931504</v>
      </c>
      <c r="S40">
        <v>74612287</v>
      </c>
      <c r="T40">
        <v>74656735</v>
      </c>
      <c r="U40">
        <v>75503389</v>
      </c>
      <c r="V40">
        <v>75963843</v>
      </c>
      <c r="W40">
        <v>76311970</v>
      </c>
      <c r="X40">
        <v>77160785</v>
      </c>
      <c r="Y40">
        <v>78145800</v>
      </c>
      <c r="Z40">
        <v>78826248</v>
      </c>
      <c r="AA40">
        <v>79323943</v>
      </c>
      <c r="AB40">
        <v>79184397</v>
      </c>
      <c r="AC40">
        <v>79246399</v>
      </c>
      <c r="AD40">
        <v>80103882</v>
      </c>
      <c r="AE40">
        <v>80015175</v>
      </c>
      <c r="AF40">
        <v>80033637</v>
      </c>
    </row>
    <row r="41" spans="1:32" x14ac:dyDescent="0.3">
      <c r="A41" t="s">
        <v>6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6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6</v>
      </c>
      <c r="B43" t="s">
        <v>168</v>
      </c>
      <c r="C43" t="s">
        <v>86</v>
      </c>
      <c r="D43" t="s">
        <v>169</v>
      </c>
      <c r="E43" t="s">
        <v>87</v>
      </c>
      <c r="F43">
        <v>37056647</v>
      </c>
      <c r="G43">
        <v>39305618</v>
      </c>
      <c r="H43">
        <v>41127544</v>
      </c>
      <c r="I43">
        <v>42439904</v>
      </c>
      <c r="J43">
        <v>41933960</v>
      </c>
      <c r="K43">
        <v>46185528</v>
      </c>
      <c r="L43">
        <v>46631594</v>
      </c>
      <c r="M43">
        <v>46013493</v>
      </c>
      <c r="N43">
        <v>46431789</v>
      </c>
      <c r="O43">
        <v>47070379</v>
      </c>
      <c r="P43">
        <v>49396611</v>
      </c>
      <c r="Q43">
        <v>52271627</v>
      </c>
      <c r="R43">
        <v>55260218</v>
      </c>
      <c r="S43">
        <v>58350258</v>
      </c>
      <c r="T43">
        <v>54717058</v>
      </c>
      <c r="U43">
        <v>53989554</v>
      </c>
      <c r="V43">
        <v>56066314</v>
      </c>
      <c r="W43">
        <v>56427975</v>
      </c>
      <c r="X43">
        <v>58574668</v>
      </c>
      <c r="Y43">
        <v>60926188</v>
      </c>
      <c r="Z43">
        <v>63956753</v>
      </c>
      <c r="AA43">
        <v>65499612</v>
      </c>
      <c r="AB43">
        <v>66479790</v>
      </c>
      <c r="AC43">
        <v>67807035</v>
      </c>
      <c r="AD43">
        <v>69765656</v>
      </c>
      <c r="AE43">
        <v>67821201</v>
      </c>
      <c r="AF43">
        <v>69323351</v>
      </c>
    </row>
    <row r="44" spans="1:32" x14ac:dyDescent="0.3">
      <c r="A44" t="s">
        <v>6</v>
      </c>
      <c r="B44" t="s">
        <v>170</v>
      </c>
      <c r="C44" t="s">
        <v>86</v>
      </c>
      <c r="D44" t="s">
        <v>171</v>
      </c>
      <c r="E44" t="s">
        <v>87</v>
      </c>
      <c r="F44">
        <v>769446576</v>
      </c>
      <c r="G44">
        <v>790524129</v>
      </c>
      <c r="H44">
        <v>808608795</v>
      </c>
      <c r="I44">
        <v>782604126</v>
      </c>
      <c r="J44">
        <v>764570094</v>
      </c>
      <c r="K44">
        <v>780693325</v>
      </c>
      <c r="L44">
        <v>767626696</v>
      </c>
      <c r="M44">
        <v>752701668</v>
      </c>
      <c r="N44">
        <v>754307586</v>
      </c>
      <c r="O44">
        <v>771135376</v>
      </c>
      <c r="P44">
        <v>792912277</v>
      </c>
      <c r="Q44">
        <v>813353091</v>
      </c>
      <c r="R44">
        <v>835678302</v>
      </c>
      <c r="S44">
        <v>838556920</v>
      </c>
      <c r="T44">
        <v>720602317</v>
      </c>
      <c r="U44">
        <v>749105427</v>
      </c>
      <c r="V44">
        <v>745902506</v>
      </c>
      <c r="W44">
        <v>751932773</v>
      </c>
      <c r="X44">
        <v>769835439</v>
      </c>
      <c r="Y44">
        <v>791906664</v>
      </c>
      <c r="Z44">
        <v>801794899</v>
      </c>
      <c r="AA44">
        <v>787976880</v>
      </c>
      <c r="AB44">
        <v>816771519</v>
      </c>
      <c r="AC44">
        <v>835326455</v>
      </c>
      <c r="AD44">
        <v>829384392</v>
      </c>
      <c r="AE44">
        <v>770122604</v>
      </c>
      <c r="AF44">
        <v>809546846</v>
      </c>
    </row>
    <row r="45" spans="1:32" x14ac:dyDescent="0.3">
      <c r="A45" t="s">
        <v>6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6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6</v>
      </c>
      <c r="B47" t="s">
        <v>176</v>
      </c>
      <c r="C47" t="s">
        <v>86</v>
      </c>
      <c r="D47" t="s">
        <v>177</v>
      </c>
      <c r="E47" t="s">
        <v>87</v>
      </c>
      <c r="F47">
        <v>34923566</v>
      </c>
      <c r="G47">
        <v>35398227</v>
      </c>
      <c r="H47">
        <v>36271799</v>
      </c>
      <c r="I47">
        <v>36753092</v>
      </c>
      <c r="J47">
        <v>37152586</v>
      </c>
      <c r="K47">
        <v>37851752</v>
      </c>
      <c r="L47">
        <v>38877867</v>
      </c>
      <c r="M47">
        <v>39378123</v>
      </c>
      <c r="N47">
        <v>39562289</v>
      </c>
      <c r="O47">
        <v>39279536</v>
      </c>
      <c r="P47">
        <v>38755308</v>
      </c>
      <c r="Q47">
        <v>38307411</v>
      </c>
      <c r="R47">
        <v>38469726</v>
      </c>
      <c r="S47">
        <v>38055122</v>
      </c>
      <c r="T47">
        <v>37692893</v>
      </c>
      <c r="U47">
        <v>38017467</v>
      </c>
      <c r="V47">
        <v>38067866</v>
      </c>
      <c r="W47">
        <v>37563805</v>
      </c>
      <c r="X47">
        <v>37851860</v>
      </c>
      <c r="Y47">
        <v>38434368</v>
      </c>
      <c r="Z47">
        <v>38960709</v>
      </c>
      <c r="AA47">
        <v>39533042</v>
      </c>
      <c r="AB47">
        <v>39286950</v>
      </c>
      <c r="AC47">
        <v>39830290</v>
      </c>
      <c r="AD47">
        <v>40808098</v>
      </c>
      <c r="AE47">
        <v>42236397</v>
      </c>
      <c r="AF47">
        <v>43808261</v>
      </c>
    </row>
    <row r="48" spans="1:32" x14ac:dyDescent="0.3">
      <c r="A48" t="s">
        <v>6</v>
      </c>
      <c r="B48" t="s">
        <v>178</v>
      </c>
      <c r="C48" t="s">
        <v>86</v>
      </c>
      <c r="D48" t="s">
        <v>179</v>
      </c>
      <c r="E48" t="s">
        <v>87</v>
      </c>
      <c r="F48">
        <v>93482061</v>
      </c>
      <c r="G48">
        <v>96257407</v>
      </c>
      <c r="H48">
        <v>98737112</v>
      </c>
      <c r="I48">
        <v>100209999</v>
      </c>
      <c r="J48">
        <v>101778720</v>
      </c>
      <c r="K48">
        <v>103895640</v>
      </c>
      <c r="L48">
        <v>106578390</v>
      </c>
      <c r="M48">
        <v>107543589</v>
      </c>
      <c r="N48">
        <v>107976437</v>
      </c>
      <c r="O48">
        <v>108269429</v>
      </c>
      <c r="P48">
        <v>109164303</v>
      </c>
      <c r="Q48">
        <v>109085300</v>
      </c>
      <c r="R48">
        <v>109521232</v>
      </c>
      <c r="S48">
        <v>109840649</v>
      </c>
      <c r="T48">
        <v>110244681</v>
      </c>
      <c r="U48">
        <v>112073737</v>
      </c>
      <c r="V48">
        <v>114218246</v>
      </c>
      <c r="W48">
        <v>115845007</v>
      </c>
      <c r="X48">
        <v>117059441</v>
      </c>
      <c r="Y48">
        <v>119227599</v>
      </c>
      <c r="Z48">
        <v>121899815</v>
      </c>
      <c r="AA48">
        <v>124492043</v>
      </c>
      <c r="AB48">
        <v>125335139</v>
      </c>
      <c r="AC48">
        <v>127337460</v>
      </c>
      <c r="AD48">
        <v>130177112</v>
      </c>
      <c r="AE48">
        <v>132165160</v>
      </c>
      <c r="AF48">
        <v>137226291</v>
      </c>
    </row>
    <row r="49" spans="1:32" x14ac:dyDescent="0.3">
      <c r="A49" t="s">
        <v>6</v>
      </c>
      <c r="B49" t="s">
        <v>180</v>
      </c>
      <c r="C49" t="s">
        <v>86</v>
      </c>
      <c r="D49" t="s">
        <v>181</v>
      </c>
      <c r="E49" t="s">
        <v>87</v>
      </c>
      <c r="F49">
        <v>22023652</v>
      </c>
      <c r="G49">
        <v>22545802</v>
      </c>
      <c r="H49">
        <v>23008210</v>
      </c>
      <c r="I49">
        <v>23107969</v>
      </c>
      <c r="J49">
        <v>23062754</v>
      </c>
      <c r="K49">
        <v>23045877</v>
      </c>
      <c r="L49">
        <v>23293661</v>
      </c>
      <c r="M49">
        <v>23475270</v>
      </c>
      <c r="N49">
        <v>23273988</v>
      </c>
      <c r="O49">
        <v>23191675</v>
      </c>
      <c r="P49">
        <v>23310299</v>
      </c>
      <c r="Q49">
        <v>23357912</v>
      </c>
      <c r="R49">
        <v>23350063</v>
      </c>
      <c r="S49">
        <v>23382063</v>
      </c>
      <c r="T49">
        <v>22967302</v>
      </c>
      <c r="U49">
        <v>22750387</v>
      </c>
      <c r="V49">
        <v>23052909</v>
      </c>
      <c r="W49">
        <v>22890457</v>
      </c>
      <c r="X49">
        <v>22551198</v>
      </c>
      <c r="Y49">
        <v>22906964</v>
      </c>
      <c r="Z49">
        <v>23057266</v>
      </c>
      <c r="AA49">
        <v>23192510</v>
      </c>
      <c r="AB49">
        <v>23337882</v>
      </c>
      <c r="AC49">
        <v>23504662</v>
      </c>
      <c r="AD49">
        <v>23675402</v>
      </c>
      <c r="AE49">
        <v>23818978</v>
      </c>
      <c r="AF49">
        <v>23897034</v>
      </c>
    </row>
    <row r="50" spans="1:32" x14ac:dyDescent="0.3">
      <c r="A50" t="s">
        <v>6</v>
      </c>
      <c r="B50" t="s">
        <v>182</v>
      </c>
      <c r="C50" t="s">
        <v>86</v>
      </c>
      <c r="D50" t="s">
        <v>183</v>
      </c>
      <c r="E50" t="s">
        <v>87</v>
      </c>
      <c r="F50">
        <v>36534843</v>
      </c>
      <c r="G50">
        <v>38313378</v>
      </c>
      <c r="H50">
        <v>39457103</v>
      </c>
      <c r="I50">
        <v>40348938</v>
      </c>
      <c r="J50">
        <v>41563380</v>
      </c>
      <c r="K50">
        <v>42998011</v>
      </c>
      <c r="L50">
        <v>44406862</v>
      </c>
      <c r="M50">
        <v>44690196</v>
      </c>
      <c r="N50">
        <v>45140160</v>
      </c>
      <c r="O50">
        <v>45798218</v>
      </c>
      <c r="P50">
        <v>47098696</v>
      </c>
      <c r="Q50">
        <v>47419977</v>
      </c>
      <c r="R50">
        <v>47701443</v>
      </c>
      <c r="S50">
        <v>48403464</v>
      </c>
      <c r="T50">
        <v>49584486</v>
      </c>
      <c r="U50">
        <v>51305883</v>
      </c>
      <c r="V50">
        <v>53097471</v>
      </c>
      <c r="W50">
        <v>55390745</v>
      </c>
      <c r="X50">
        <v>56656383</v>
      </c>
      <c r="Y50">
        <v>57886267</v>
      </c>
      <c r="Z50">
        <v>59881840</v>
      </c>
      <c r="AA50">
        <v>61766491</v>
      </c>
      <c r="AB50">
        <v>62710307</v>
      </c>
      <c r="AC50">
        <v>64002508</v>
      </c>
      <c r="AD50">
        <v>65693612</v>
      </c>
      <c r="AE50">
        <v>66109785</v>
      </c>
      <c r="AF50">
        <v>69520996</v>
      </c>
    </row>
    <row r="51" spans="1:32" x14ac:dyDescent="0.3">
      <c r="A51" t="s">
        <v>6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6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6</v>
      </c>
      <c r="B53" t="s">
        <v>188</v>
      </c>
      <c r="C53" t="s">
        <v>86</v>
      </c>
      <c r="D53" t="s">
        <v>189</v>
      </c>
      <c r="E53" t="s">
        <v>87</v>
      </c>
      <c r="F53">
        <v>12815138</v>
      </c>
      <c r="G53">
        <v>12687026</v>
      </c>
      <c r="H53">
        <v>12375708</v>
      </c>
      <c r="I53">
        <v>11817037</v>
      </c>
      <c r="J53">
        <v>11373308</v>
      </c>
      <c r="K53">
        <v>11772305</v>
      </c>
      <c r="L53">
        <v>11432575</v>
      </c>
      <c r="M53">
        <v>11503357</v>
      </c>
      <c r="N53">
        <v>11172820</v>
      </c>
      <c r="O53">
        <v>11032340</v>
      </c>
      <c r="P53">
        <v>10838693</v>
      </c>
      <c r="Q53">
        <v>10889321</v>
      </c>
      <c r="R53">
        <v>10558669</v>
      </c>
      <c r="S53">
        <v>10236505</v>
      </c>
      <c r="T53">
        <v>10142787</v>
      </c>
      <c r="U53">
        <v>9784268</v>
      </c>
      <c r="V53">
        <v>9512977</v>
      </c>
      <c r="W53">
        <v>10069819</v>
      </c>
      <c r="X53">
        <v>10340025</v>
      </c>
      <c r="Y53">
        <v>10375115</v>
      </c>
      <c r="Z53">
        <v>10388620</v>
      </c>
      <c r="AA53">
        <v>9937970</v>
      </c>
      <c r="AB53">
        <v>9807328</v>
      </c>
      <c r="AC53">
        <v>9698675</v>
      </c>
      <c r="AD53">
        <v>9494043</v>
      </c>
      <c r="AE53">
        <v>7362054</v>
      </c>
      <c r="AF53">
        <v>7724019</v>
      </c>
    </row>
    <row r="54" spans="1:32" x14ac:dyDescent="0.3">
      <c r="A54" t="s">
        <v>6</v>
      </c>
      <c r="B54" t="s">
        <v>190</v>
      </c>
      <c r="C54" t="s">
        <v>86</v>
      </c>
      <c r="D54" t="s">
        <v>191</v>
      </c>
      <c r="E54" t="s">
        <v>87</v>
      </c>
      <c r="F54">
        <v>28238545</v>
      </c>
      <c r="G54">
        <v>28787256</v>
      </c>
      <c r="H54">
        <v>28856150</v>
      </c>
      <c r="I54">
        <v>28792716</v>
      </c>
      <c r="J54">
        <v>28553441</v>
      </c>
      <c r="K54">
        <v>30060361</v>
      </c>
      <c r="L54">
        <v>29263553</v>
      </c>
      <c r="M54">
        <v>29847997</v>
      </c>
      <c r="N54">
        <v>29888839</v>
      </c>
      <c r="O54">
        <v>30271861</v>
      </c>
      <c r="P54">
        <v>29991934</v>
      </c>
      <c r="Q54">
        <v>30088566</v>
      </c>
      <c r="R54">
        <v>30125426</v>
      </c>
      <c r="S54">
        <v>29695089</v>
      </c>
      <c r="T54">
        <v>28824269</v>
      </c>
      <c r="U54">
        <v>28329713</v>
      </c>
      <c r="V54">
        <v>28302966</v>
      </c>
      <c r="W54">
        <v>28572332</v>
      </c>
      <c r="X54">
        <v>28317687</v>
      </c>
      <c r="Y54">
        <v>27912888</v>
      </c>
      <c r="Z54">
        <v>27422159</v>
      </c>
      <c r="AA54">
        <v>26592511</v>
      </c>
      <c r="AB54">
        <v>26671187</v>
      </c>
      <c r="AC54">
        <v>26525204</v>
      </c>
      <c r="AD54">
        <v>26874796</v>
      </c>
      <c r="AE54">
        <v>22753161</v>
      </c>
      <c r="AF54">
        <v>22971899</v>
      </c>
    </row>
    <row r="55" spans="1:32" x14ac:dyDescent="0.3">
      <c r="A55" t="s">
        <v>6</v>
      </c>
      <c r="B55" t="s">
        <v>192</v>
      </c>
      <c r="C55" t="s">
        <v>86</v>
      </c>
      <c r="D55" t="s">
        <v>193</v>
      </c>
      <c r="E55" t="s">
        <v>87</v>
      </c>
      <c r="F55">
        <v>15423407</v>
      </c>
      <c r="G55">
        <v>16100230</v>
      </c>
      <c r="H55">
        <v>16480442</v>
      </c>
      <c r="I55">
        <v>16975679</v>
      </c>
      <c r="J55">
        <v>17180133</v>
      </c>
      <c r="K55">
        <v>18288056</v>
      </c>
      <c r="L55">
        <v>17830978</v>
      </c>
      <c r="M55">
        <v>18344640</v>
      </c>
      <c r="N55">
        <v>18716019</v>
      </c>
      <c r="O55">
        <v>19239521</v>
      </c>
      <c r="P55">
        <v>19153241</v>
      </c>
      <c r="Q55">
        <v>19199245</v>
      </c>
      <c r="R55">
        <v>19566757</v>
      </c>
      <c r="S55">
        <v>19458584</v>
      </c>
      <c r="T55">
        <v>18681482</v>
      </c>
      <c r="U55">
        <v>18545445</v>
      </c>
      <c r="V55">
        <v>18789989</v>
      </c>
      <c r="W55">
        <v>18502513</v>
      </c>
      <c r="X55">
        <v>17977662</v>
      </c>
      <c r="Y55">
        <v>17537773</v>
      </c>
      <c r="Z55">
        <v>17033539</v>
      </c>
      <c r="AA55">
        <v>16654541</v>
      </c>
      <c r="AB55">
        <v>16863859</v>
      </c>
      <c r="AC55">
        <v>16826529</v>
      </c>
      <c r="AD55">
        <v>17380753</v>
      </c>
      <c r="AE55">
        <v>15391107</v>
      </c>
      <c r="AF55">
        <v>15247880</v>
      </c>
    </row>
    <row r="56" spans="1:32" x14ac:dyDescent="0.3">
      <c r="A56" t="s">
        <v>6</v>
      </c>
      <c r="B56" t="s">
        <v>194</v>
      </c>
      <c r="C56" t="s">
        <v>86</v>
      </c>
      <c r="D56" t="s">
        <v>195</v>
      </c>
      <c r="E56" t="s">
        <v>87</v>
      </c>
      <c r="F56">
        <v>5515052</v>
      </c>
      <c r="G56">
        <v>5347476</v>
      </c>
      <c r="H56">
        <v>5209267</v>
      </c>
      <c r="I56">
        <v>4795386</v>
      </c>
      <c r="J56">
        <v>4414863</v>
      </c>
      <c r="K56">
        <v>4195434</v>
      </c>
      <c r="L56">
        <v>4093704</v>
      </c>
      <c r="M56">
        <v>3971259</v>
      </c>
      <c r="N56">
        <v>3922009</v>
      </c>
      <c r="O56">
        <v>3950825</v>
      </c>
      <c r="P56">
        <v>4005343</v>
      </c>
      <c r="Q56">
        <v>4322486</v>
      </c>
      <c r="R56">
        <v>4680389</v>
      </c>
      <c r="S56">
        <v>4932934</v>
      </c>
      <c r="T56">
        <v>4512434</v>
      </c>
      <c r="U56">
        <v>4887905</v>
      </c>
      <c r="V56">
        <v>5064339</v>
      </c>
      <c r="W56">
        <v>4954603</v>
      </c>
      <c r="X56">
        <v>4905937</v>
      </c>
      <c r="Y56">
        <v>4863209</v>
      </c>
      <c r="Z56">
        <v>4748603</v>
      </c>
      <c r="AA56">
        <v>4686086</v>
      </c>
      <c r="AB56">
        <v>4827351</v>
      </c>
      <c r="AC56">
        <v>4923190</v>
      </c>
      <c r="AD56">
        <v>4909263</v>
      </c>
      <c r="AE56">
        <v>4609788</v>
      </c>
      <c r="AF56">
        <v>4809456</v>
      </c>
    </row>
    <row r="57" spans="1:32" x14ac:dyDescent="0.3">
      <c r="A57" t="s">
        <v>6</v>
      </c>
      <c r="B57" t="s">
        <v>196</v>
      </c>
      <c r="C57" t="s">
        <v>86</v>
      </c>
      <c r="D57" t="s">
        <v>197</v>
      </c>
      <c r="E57" t="s">
        <v>87</v>
      </c>
      <c r="F57">
        <v>929334085</v>
      </c>
      <c r="G57">
        <v>954557022</v>
      </c>
      <c r="H57">
        <v>976534522</v>
      </c>
      <c r="I57">
        <v>952214175</v>
      </c>
      <c r="J57">
        <v>935659896</v>
      </c>
      <c r="K57">
        <v>955030514</v>
      </c>
      <c r="L57">
        <v>945641240</v>
      </c>
      <c r="M57">
        <v>931981718</v>
      </c>
      <c r="N57">
        <v>934385543</v>
      </c>
      <c r="O57">
        <v>952339168</v>
      </c>
      <c r="P57">
        <v>976110380</v>
      </c>
      <c r="Q57">
        <v>998491008</v>
      </c>
      <c r="R57">
        <v>1022811427</v>
      </c>
      <c r="S57">
        <v>1027942790</v>
      </c>
      <c r="T57">
        <v>910016167</v>
      </c>
      <c r="U57">
        <v>941570458</v>
      </c>
      <c r="V57">
        <v>941148934</v>
      </c>
      <c r="W57">
        <v>949044353</v>
      </c>
      <c r="X57">
        <v>968961602</v>
      </c>
      <c r="Y57">
        <v>994143272</v>
      </c>
      <c r="Z57">
        <v>1007269565</v>
      </c>
      <c r="AA57">
        <v>996478952</v>
      </c>
      <c r="AB57">
        <v>1026118406</v>
      </c>
      <c r="AC57">
        <v>1046833504</v>
      </c>
      <c r="AD57">
        <v>1044574649</v>
      </c>
      <c r="AE57">
        <v>986912727</v>
      </c>
      <c r="AF57">
        <v>1031616230</v>
      </c>
    </row>
    <row r="58" spans="1:32" x14ac:dyDescent="0.3">
      <c r="A58" t="s">
        <v>6</v>
      </c>
      <c r="B58" t="s">
        <v>198</v>
      </c>
      <c r="C58" t="s">
        <v>86</v>
      </c>
      <c r="D58" t="s">
        <v>199</v>
      </c>
      <c r="E58" t="s">
        <v>87</v>
      </c>
      <c r="F58">
        <v>923819033</v>
      </c>
      <c r="G58">
        <v>949209546</v>
      </c>
      <c r="H58">
        <v>971325255</v>
      </c>
      <c r="I58">
        <v>947418789</v>
      </c>
      <c r="J58">
        <v>931245033</v>
      </c>
      <c r="K58">
        <v>950835080</v>
      </c>
      <c r="L58">
        <v>941547536</v>
      </c>
      <c r="M58">
        <v>928010459</v>
      </c>
      <c r="N58">
        <v>930463534</v>
      </c>
      <c r="O58">
        <v>948388343</v>
      </c>
      <c r="P58">
        <v>972105037</v>
      </c>
      <c r="Q58">
        <v>994168522</v>
      </c>
      <c r="R58">
        <v>1018131038</v>
      </c>
      <c r="S58">
        <v>1023009856</v>
      </c>
      <c r="T58">
        <v>905503733</v>
      </c>
      <c r="U58">
        <v>936682553</v>
      </c>
      <c r="V58">
        <v>936084595</v>
      </c>
      <c r="W58">
        <v>944089750</v>
      </c>
      <c r="X58">
        <v>964055665</v>
      </c>
      <c r="Y58">
        <v>989280063</v>
      </c>
      <c r="Z58">
        <v>1002520962</v>
      </c>
      <c r="AA58">
        <v>991792866</v>
      </c>
      <c r="AB58">
        <v>1021291055</v>
      </c>
      <c r="AC58">
        <v>1041910314</v>
      </c>
      <c r="AD58">
        <v>1039665386</v>
      </c>
      <c r="AE58">
        <v>982302939</v>
      </c>
      <c r="AF58">
        <v>1026806774</v>
      </c>
    </row>
    <row r="59" spans="1:32" x14ac:dyDescent="0.3">
      <c r="A59" t="s">
        <v>6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8</v>
      </c>
      <c r="B2" t="s">
        <v>84</v>
      </c>
      <c r="C2" t="s">
        <v>86</v>
      </c>
      <c r="D2" t="s">
        <v>85</v>
      </c>
      <c r="E2" t="s">
        <v>87</v>
      </c>
      <c r="F2">
        <v>7233503</v>
      </c>
      <c r="G2">
        <v>6817225</v>
      </c>
      <c r="H2">
        <v>7094450</v>
      </c>
      <c r="I2">
        <v>6884240</v>
      </c>
      <c r="J2">
        <v>6793435</v>
      </c>
      <c r="K2">
        <v>6765575</v>
      </c>
      <c r="L2">
        <v>6737712</v>
      </c>
      <c r="M2">
        <v>6536280</v>
      </c>
      <c r="N2">
        <v>6204217</v>
      </c>
      <c r="O2">
        <v>6411253</v>
      </c>
      <c r="P2">
        <v>6299350</v>
      </c>
      <c r="Q2">
        <v>6357263</v>
      </c>
      <c r="R2">
        <v>6583041</v>
      </c>
      <c r="S2">
        <v>6833752</v>
      </c>
      <c r="T2">
        <v>6472597</v>
      </c>
      <c r="U2">
        <v>6525602</v>
      </c>
      <c r="V2">
        <v>6474845</v>
      </c>
      <c r="W2">
        <v>6581305</v>
      </c>
      <c r="X2">
        <v>7023452</v>
      </c>
      <c r="Y2">
        <v>7272153</v>
      </c>
      <c r="Z2">
        <v>7033064</v>
      </c>
      <c r="AA2">
        <v>7059870</v>
      </c>
      <c r="AB2">
        <v>7109976</v>
      </c>
      <c r="AC2">
        <v>7414883</v>
      </c>
      <c r="AD2">
        <v>7251420</v>
      </c>
      <c r="AE2">
        <v>7380265</v>
      </c>
      <c r="AF2">
        <v>7760142</v>
      </c>
    </row>
    <row r="3" spans="1:32" x14ac:dyDescent="0.3">
      <c r="A3" t="s">
        <v>8</v>
      </c>
      <c r="B3" t="s">
        <v>88</v>
      </c>
      <c r="C3" t="s">
        <v>86</v>
      </c>
      <c r="D3" t="s">
        <v>89</v>
      </c>
      <c r="E3" t="s">
        <v>87</v>
      </c>
      <c r="F3">
        <v>838872</v>
      </c>
      <c r="G3">
        <v>878429</v>
      </c>
      <c r="H3">
        <v>848884</v>
      </c>
      <c r="I3">
        <v>765681</v>
      </c>
      <c r="J3">
        <v>774165</v>
      </c>
      <c r="K3">
        <v>785564</v>
      </c>
      <c r="L3">
        <v>735764</v>
      </c>
      <c r="M3">
        <v>710564</v>
      </c>
      <c r="N3">
        <v>637140</v>
      </c>
      <c r="O3">
        <v>626735</v>
      </c>
      <c r="P3">
        <v>603667</v>
      </c>
      <c r="Q3">
        <v>569263</v>
      </c>
      <c r="R3">
        <v>555417</v>
      </c>
      <c r="S3">
        <v>565029</v>
      </c>
      <c r="T3">
        <v>527414</v>
      </c>
      <c r="U3">
        <v>505946</v>
      </c>
      <c r="V3">
        <v>445642</v>
      </c>
      <c r="W3">
        <v>477678</v>
      </c>
      <c r="X3">
        <v>477706</v>
      </c>
      <c r="Y3">
        <v>489228</v>
      </c>
      <c r="Z3">
        <v>442131</v>
      </c>
      <c r="AA3">
        <v>423707</v>
      </c>
      <c r="AB3">
        <v>432106</v>
      </c>
      <c r="AC3">
        <v>447238</v>
      </c>
      <c r="AD3">
        <v>425719</v>
      </c>
      <c r="AE3">
        <v>424395</v>
      </c>
      <c r="AF3">
        <v>418810</v>
      </c>
    </row>
    <row r="4" spans="1:32" x14ac:dyDescent="0.3">
      <c r="A4" t="s">
        <v>8</v>
      </c>
      <c r="B4" t="s">
        <v>90</v>
      </c>
      <c r="C4" t="s">
        <v>86</v>
      </c>
      <c r="D4" t="s">
        <v>91</v>
      </c>
      <c r="E4" t="s">
        <v>87</v>
      </c>
      <c r="F4">
        <v>192150606</v>
      </c>
      <c r="G4">
        <v>196142575</v>
      </c>
      <c r="H4">
        <v>205382625</v>
      </c>
      <c r="I4">
        <v>189581335</v>
      </c>
      <c r="J4">
        <v>178522625</v>
      </c>
      <c r="K4">
        <v>187327982</v>
      </c>
      <c r="L4">
        <v>182004252</v>
      </c>
      <c r="M4">
        <v>173666774</v>
      </c>
      <c r="N4">
        <v>176277180</v>
      </c>
      <c r="O4">
        <v>187131480</v>
      </c>
      <c r="P4">
        <v>199092300</v>
      </c>
      <c r="Q4">
        <v>216721792</v>
      </c>
      <c r="R4">
        <v>233193794</v>
      </c>
      <c r="S4">
        <v>244193156</v>
      </c>
      <c r="T4">
        <v>179508507</v>
      </c>
      <c r="U4">
        <v>198013603</v>
      </c>
      <c r="V4">
        <v>201501639</v>
      </c>
      <c r="W4">
        <v>199362801</v>
      </c>
      <c r="X4">
        <v>202075814</v>
      </c>
      <c r="Y4">
        <v>212001642</v>
      </c>
      <c r="Z4">
        <v>204933245</v>
      </c>
      <c r="AA4">
        <v>191671111</v>
      </c>
      <c r="AB4">
        <v>207689158</v>
      </c>
      <c r="AC4">
        <v>218011486</v>
      </c>
      <c r="AD4">
        <v>210846725</v>
      </c>
      <c r="AE4">
        <v>185317217</v>
      </c>
      <c r="AF4">
        <v>209374309</v>
      </c>
    </row>
    <row r="5" spans="1:32" x14ac:dyDescent="0.3">
      <c r="A5" t="s">
        <v>8</v>
      </c>
      <c r="B5" t="s">
        <v>92</v>
      </c>
      <c r="C5" t="s">
        <v>86</v>
      </c>
      <c r="D5" t="s">
        <v>93</v>
      </c>
      <c r="E5" t="s">
        <v>87</v>
      </c>
      <c r="F5">
        <v>22069176</v>
      </c>
      <c r="G5">
        <v>22405158</v>
      </c>
      <c r="H5">
        <v>22389839</v>
      </c>
      <c r="I5">
        <v>22299054</v>
      </c>
      <c r="J5">
        <v>21372117</v>
      </c>
      <c r="K5">
        <v>20411528</v>
      </c>
      <c r="L5">
        <v>20257210</v>
      </c>
      <c r="M5">
        <v>19846092</v>
      </c>
      <c r="N5">
        <v>19666093</v>
      </c>
      <c r="O5">
        <v>20301049</v>
      </c>
      <c r="P5">
        <v>19785163</v>
      </c>
      <c r="Q5">
        <v>19953728</v>
      </c>
      <c r="R5">
        <v>20947932</v>
      </c>
      <c r="S5">
        <v>21960980</v>
      </c>
      <c r="T5">
        <v>21257003</v>
      </c>
      <c r="U5">
        <v>21212053</v>
      </c>
      <c r="V5">
        <v>21223322</v>
      </c>
      <c r="W5">
        <v>21396397</v>
      </c>
      <c r="X5">
        <v>21799883</v>
      </c>
      <c r="Y5">
        <v>22216036</v>
      </c>
      <c r="Z5">
        <v>22905687</v>
      </c>
      <c r="AA5">
        <v>22123889</v>
      </c>
      <c r="AB5">
        <v>22557530</v>
      </c>
      <c r="AC5">
        <v>23388565</v>
      </c>
      <c r="AD5">
        <v>23209874</v>
      </c>
      <c r="AE5">
        <v>22416421</v>
      </c>
      <c r="AF5">
        <v>22965158</v>
      </c>
    </row>
    <row r="6" spans="1:32" x14ac:dyDescent="0.3">
      <c r="A6" t="s">
        <v>8</v>
      </c>
      <c r="B6" t="s">
        <v>94</v>
      </c>
      <c r="C6" t="s">
        <v>86</v>
      </c>
      <c r="D6" t="s">
        <v>95</v>
      </c>
      <c r="E6" t="s">
        <v>87</v>
      </c>
      <c r="F6">
        <v>7268561</v>
      </c>
      <c r="G6">
        <v>6770057</v>
      </c>
      <c r="H6">
        <v>6477852</v>
      </c>
      <c r="I6">
        <v>5886414</v>
      </c>
      <c r="J6">
        <v>5228585</v>
      </c>
      <c r="K6">
        <v>4687446</v>
      </c>
      <c r="L6">
        <v>4168971</v>
      </c>
      <c r="M6">
        <v>3660510</v>
      </c>
      <c r="N6">
        <v>3421817</v>
      </c>
      <c r="O6">
        <v>3231498</v>
      </c>
      <c r="P6">
        <v>3068694</v>
      </c>
      <c r="Q6">
        <v>2973085</v>
      </c>
      <c r="R6">
        <v>2981514</v>
      </c>
      <c r="S6">
        <v>2835724</v>
      </c>
      <c r="T6">
        <v>2262526</v>
      </c>
      <c r="U6">
        <v>2180311</v>
      </c>
      <c r="V6">
        <v>2393410</v>
      </c>
      <c r="W6">
        <v>2284817</v>
      </c>
      <c r="X6">
        <v>2215874</v>
      </c>
      <c r="Y6">
        <v>2276586</v>
      </c>
      <c r="Z6">
        <v>2406092</v>
      </c>
      <c r="AA6">
        <v>2274502</v>
      </c>
      <c r="AB6">
        <v>2258084</v>
      </c>
      <c r="AC6">
        <v>2217749</v>
      </c>
      <c r="AD6">
        <v>2151962</v>
      </c>
      <c r="AE6">
        <v>1955539</v>
      </c>
      <c r="AF6">
        <v>1813025</v>
      </c>
    </row>
    <row r="7" spans="1:32" x14ac:dyDescent="0.3">
      <c r="A7" t="s">
        <v>8</v>
      </c>
      <c r="B7" t="s">
        <v>96</v>
      </c>
      <c r="C7" t="s">
        <v>86</v>
      </c>
      <c r="D7" t="s">
        <v>97</v>
      </c>
      <c r="E7" t="s">
        <v>87</v>
      </c>
      <c r="F7">
        <v>12451227</v>
      </c>
      <c r="G7">
        <v>12501718</v>
      </c>
      <c r="H7">
        <v>12620104</v>
      </c>
      <c r="I7">
        <v>11503246</v>
      </c>
      <c r="J7">
        <v>10944538</v>
      </c>
      <c r="K7">
        <v>10902323</v>
      </c>
      <c r="L7">
        <v>10476042</v>
      </c>
      <c r="M7">
        <v>10011643</v>
      </c>
      <c r="N7">
        <v>10049961</v>
      </c>
      <c r="O7">
        <v>10107142</v>
      </c>
      <c r="P7">
        <v>9769422</v>
      </c>
      <c r="Q7">
        <v>10305056</v>
      </c>
      <c r="R7">
        <v>10993899</v>
      </c>
      <c r="S7">
        <v>11170538</v>
      </c>
      <c r="T7">
        <v>9364667</v>
      </c>
      <c r="U7">
        <v>9731532</v>
      </c>
      <c r="V7">
        <v>9492957</v>
      </c>
      <c r="W7">
        <v>9293382</v>
      </c>
      <c r="X7">
        <v>9317523</v>
      </c>
      <c r="Y7">
        <v>9563483</v>
      </c>
      <c r="Z7">
        <v>9403192</v>
      </c>
      <c r="AA7">
        <v>8925822</v>
      </c>
      <c r="AB7">
        <v>9186132</v>
      </c>
      <c r="AC7">
        <v>9349927</v>
      </c>
      <c r="AD7">
        <v>9210308</v>
      </c>
      <c r="AE7">
        <v>8355638</v>
      </c>
      <c r="AF7">
        <v>8924991</v>
      </c>
    </row>
    <row r="8" spans="1:32" x14ac:dyDescent="0.3">
      <c r="A8" t="s">
        <v>8</v>
      </c>
      <c r="B8" t="s">
        <v>98</v>
      </c>
      <c r="C8" t="s">
        <v>86</v>
      </c>
      <c r="D8" t="s">
        <v>99</v>
      </c>
      <c r="E8" t="s">
        <v>87</v>
      </c>
      <c r="F8">
        <v>5260552</v>
      </c>
      <c r="G8">
        <v>6351091</v>
      </c>
      <c r="H8">
        <v>6974164</v>
      </c>
      <c r="I8">
        <v>6217899</v>
      </c>
      <c r="J8">
        <v>5955060</v>
      </c>
      <c r="K8">
        <v>7638129</v>
      </c>
      <c r="L8">
        <v>8026985</v>
      </c>
      <c r="M8">
        <v>7777686</v>
      </c>
      <c r="N8">
        <v>8371583</v>
      </c>
      <c r="O8">
        <v>8974892</v>
      </c>
      <c r="P8">
        <v>12226103</v>
      </c>
      <c r="Q8">
        <v>14621275</v>
      </c>
      <c r="R8">
        <v>16173465</v>
      </c>
      <c r="S8">
        <v>19027738</v>
      </c>
      <c r="T8">
        <v>13305052</v>
      </c>
      <c r="U8">
        <v>14599593</v>
      </c>
      <c r="V8">
        <v>15978145</v>
      </c>
      <c r="W8">
        <v>16929401</v>
      </c>
      <c r="X8">
        <v>17374963</v>
      </c>
      <c r="Y8">
        <v>18046854</v>
      </c>
      <c r="Z8">
        <v>12104830</v>
      </c>
      <c r="AA8">
        <v>9412542</v>
      </c>
      <c r="AB8">
        <v>11443674</v>
      </c>
      <c r="AC8">
        <v>13410563</v>
      </c>
      <c r="AD8">
        <v>12341809</v>
      </c>
      <c r="AE8">
        <v>7780409</v>
      </c>
      <c r="AF8">
        <v>10128533</v>
      </c>
    </row>
    <row r="9" spans="1:32" x14ac:dyDescent="0.3">
      <c r="A9" t="s">
        <v>8</v>
      </c>
      <c r="B9" t="s">
        <v>100</v>
      </c>
      <c r="C9" t="s">
        <v>86</v>
      </c>
      <c r="D9" t="s">
        <v>101</v>
      </c>
      <c r="E9" t="s">
        <v>87</v>
      </c>
      <c r="F9">
        <v>13237594</v>
      </c>
      <c r="G9">
        <v>13540583</v>
      </c>
      <c r="H9">
        <v>14696816</v>
      </c>
      <c r="I9">
        <v>13725990</v>
      </c>
      <c r="J9">
        <v>13088747</v>
      </c>
      <c r="K9">
        <v>14000288</v>
      </c>
      <c r="L9">
        <v>13624500</v>
      </c>
      <c r="M9">
        <v>12877907</v>
      </c>
      <c r="N9">
        <v>13196266</v>
      </c>
      <c r="O9">
        <v>14244456</v>
      </c>
      <c r="P9">
        <v>15611572</v>
      </c>
      <c r="Q9">
        <v>17033120</v>
      </c>
      <c r="R9">
        <v>18639261</v>
      </c>
      <c r="S9">
        <v>19437046</v>
      </c>
      <c r="T9">
        <v>13370159</v>
      </c>
      <c r="U9">
        <v>15226966</v>
      </c>
      <c r="V9">
        <v>15817217</v>
      </c>
      <c r="W9">
        <v>15498863</v>
      </c>
      <c r="X9">
        <v>17158333</v>
      </c>
      <c r="Y9">
        <v>17732661</v>
      </c>
      <c r="Z9">
        <v>15787450</v>
      </c>
      <c r="AA9">
        <v>13632352</v>
      </c>
      <c r="AB9">
        <v>15327916</v>
      </c>
      <c r="AC9">
        <v>16522734</v>
      </c>
      <c r="AD9">
        <v>15342104</v>
      </c>
      <c r="AE9">
        <v>13648719</v>
      </c>
      <c r="AF9">
        <v>16643069</v>
      </c>
    </row>
    <row r="10" spans="1:32" x14ac:dyDescent="0.3">
      <c r="A10" t="s">
        <v>8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8</v>
      </c>
      <c r="B11" t="s">
        <v>104</v>
      </c>
      <c r="C11" t="s">
        <v>86</v>
      </c>
      <c r="D11" t="s">
        <v>105</v>
      </c>
      <c r="E11" t="s">
        <v>87</v>
      </c>
      <c r="F11">
        <v>3283793</v>
      </c>
      <c r="G11">
        <v>3210441</v>
      </c>
      <c r="H11">
        <v>3383389</v>
      </c>
      <c r="I11">
        <v>3396527</v>
      </c>
      <c r="J11">
        <v>3425328</v>
      </c>
      <c r="K11">
        <v>3789086</v>
      </c>
      <c r="L11">
        <v>3745848</v>
      </c>
      <c r="M11">
        <v>3712749</v>
      </c>
      <c r="N11">
        <v>3710244</v>
      </c>
      <c r="O11">
        <v>3747401</v>
      </c>
      <c r="P11">
        <v>3660940</v>
      </c>
      <c r="Q11">
        <v>3796972</v>
      </c>
      <c r="R11">
        <v>3765419</v>
      </c>
      <c r="S11">
        <v>3847230</v>
      </c>
      <c r="T11">
        <v>3865093</v>
      </c>
      <c r="U11">
        <v>3997846</v>
      </c>
      <c r="V11">
        <v>3953906</v>
      </c>
      <c r="W11">
        <v>3865375</v>
      </c>
      <c r="X11">
        <v>3840142</v>
      </c>
      <c r="Y11">
        <v>3923661</v>
      </c>
      <c r="Z11">
        <v>4155371</v>
      </c>
      <c r="AA11">
        <v>4133649</v>
      </c>
      <c r="AB11">
        <v>4243780</v>
      </c>
      <c r="AC11">
        <v>4337900</v>
      </c>
      <c r="AD11">
        <v>4022787</v>
      </c>
      <c r="AE11">
        <v>4220734</v>
      </c>
      <c r="AF11">
        <v>4362304</v>
      </c>
    </row>
    <row r="12" spans="1:32" x14ac:dyDescent="0.3">
      <c r="A12" t="s">
        <v>8</v>
      </c>
      <c r="B12" t="s">
        <v>106</v>
      </c>
      <c r="C12" t="s">
        <v>86</v>
      </c>
      <c r="D12" t="s">
        <v>107</v>
      </c>
      <c r="E12" t="s">
        <v>87</v>
      </c>
      <c r="F12">
        <v>13495172</v>
      </c>
      <c r="G12">
        <v>13716909</v>
      </c>
      <c r="H12">
        <v>14094903</v>
      </c>
      <c r="I12">
        <v>13060078</v>
      </c>
      <c r="J12">
        <v>12689666</v>
      </c>
      <c r="K12">
        <v>12732036</v>
      </c>
      <c r="L12">
        <v>12439439</v>
      </c>
      <c r="M12">
        <v>11891987</v>
      </c>
      <c r="N12">
        <v>11960640</v>
      </c>
      <c r="O12">
        <v>12281723</v>
      </c>
      <c r="P12">
        <v>12810802</v>
      </c>
      <c r="Q12">
        <v>13719505</v>
      </c>
      <c r="R12">
        <v>14182353</v>
      </c>
      <c r="S12">
        <v>14157779</v>
      </c>
      <c r="T12">
        <v>11258076</v>
      </c>
      <c r="U12">
        <v>12146079</v>
      </c>
      <c r="V12">
        <v>12463527</v>
      </c>
      <c r="W12">
        <v>11935486</v>
      </c>
      <c r="X12">
        <v>11952474</v>
      </c>
      <c r="Y12">
        <v>12424361</v>
      </c>
      <c r="Z12">
        <v>12280972</v>
      </c>
      <c r="AA12">
        <v>11610969</v>
      </c>
      <c r="AB12">
        <v>12269849</v>
      </c>
      <c r="AC12">
        <v>12860690</v>
      </c>
      <c r="AD12">
        <v>12582740</v>
      </c>
      <c r="AE12">
        <v>11601241</v>
      </c>
      <c r="AF12">
        <v>12938371</v>
      </c>
    </row>
    <row r="13" spans="1:32" x14ac:dyDescent="0.3">
      <c r="A13" t="s">
        <v>8</v>
      </c>
      <c r="B13" t="s">
        <v>108</v>
      </c>
      <c r="C13" t="s">
        <v>86</v>
      </c>
      <c r="D13" t="s">
        <v>109</v>
      </c>
      <c r="E13" t="s">
        <v>87</v>
      </c>
      <c r="F13">
        <v>28821877</v>
      </c>
      <c r="G13">
        <v>28063434</v>
      </c>
      <c r="H13">
        <v>29762269</v>
      </c>
      <c r="I13">
        <v>26809140</v>
      </c>
      <c r="J13">
        <v>23282697</v>
      </c>
      <c r="K13">
        <v>24551706</v>
      </c>
      <c r="L13">
        <v>23960143</v>
      </c>
      <c r="M13">
        <v>24080426</v>
      </c>
      <c r="N13">
        <v>23665940</v>
      </c>
      <c r="O13">
        <v>28000366</v>
      </c>
      <c r="P13">
        <v>32444750</v>
      </c>
      <c r="Q13">
        <v>36845309</v>
      </c>
      <c r="R13">
        <v>41962790</v>
      </c>
      <c r="S13">
        <v>48163408</v>
      </c>
      <c r="T13">
        <v>32273940</v>
      </c>
      <c r="U13">
        <v>36635762</v>
      </c>
      <c r="V13">
        <v>39548298</v>
      </c>
      <c r="W13">
        <v>37816274</v>
      </c>
      <c r="X13">
        <v>36993312</v>
      </c>
      <c r="Y13">
        <v>38832191</v>
      </c>
      <c r="Z13">
        <v>35077067</v>
      </c>
      <c r="AA13">
        <v>32139359</v>
      </c>
      <c r="AB13">
        <v>36683509</v>
      </c>
      <c r="AC13">
        <v>38463309</v>
      </c>
      <c r="AD13">
        <v>37172690</v>
      </c>
      <c r="AE13">
        <v>31883608</v>
      </c>
      <c r="AF13">
        <v>41297949</v>
      </c>
    </row>
    <row r="14" spans="1:32" x14ac:dyDescent="0.3">
      <c r="A14" t="s">
        <v>8</v>
      </c>
      <c r="B14" t="s">
        <v>110</v>
      </c>
      <c r="C14" t="s">
        <v>86</v>
      </c>
      <c r="D14" t="s">
        <v>111</v>
      </c>
      <c r="E14" t="s">
        <v>87</v>
      </c>
      <c r="F14">
        <v>21986854</v>
      </c>
      <c r="G14">
        <v>23878464</v>
      </c>
      <c r="H14">
        <v>25688327</v>
      </c>
      <c r="I14">
        <v>23685541</v>
      </c>
      <c r="J14">
        <v>23475755</v>
      </c>
      <c r="K14">
        <v>25698499</v>
      </c>
      <c r="L14">
        <v>22917054</v>
      </c>
      <c r="M14">
        <v>20141224</v>
      </c>
      <c r="N14">
        <v>20687527</v>
      </c>
      <c r="O14">
        <v>21067366</v>
      </c>
      <c r="P14">
        <v>20262063</v>
      </c>
      <c r="Q14">
        <v>21655898</v>
      </c>
      <c r="R14">
        <v>22901226</v>
      </c>
      <c r="S14">
        <v>22773559</v>
      </c>
      <c r="T14">
        <v>16585532</v>
      </c>
      <c r="U14">
        <v>17334351</v>
      </c>
      <c r="V14">
        <v>16351446</v>
      </c>
      <c r="W14">
        <v>13909125</v>
      </c>
      <c r="X14">
        <v>13439905</v>
      </c>
      <c r="Y14">
        <v>14862056</v>
      </c>
      <c r="Z14">
        <v>15405647</v>
      </c>
      <c r="AA14">
        <v>13918627</v>
      </c>
      <c r="AB14">
        <v>15281596</v>
      </c>
      <c r="AC14">
        <v>15459942</v>
      </c>
      <c r="AD14">
        <v>14469692</v>
      </c>
      <c r="AE14">
        <v>14313802</v>
      </c>
      <c r="AF14">
        <v>15874761</v>
      </c>
    </row>
    <row r="15" spans="1:32" x14ac:dyDescent="0.3">
      <c r="A15" t="s">
        <v>8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8</v>
      </c>
      <c r="B16" t="s">
        <v>114</v>
      </c>
      <c r="C16" t="s">
        <v>86</v>
      </c>
      <c r="D16" t="s">
        <v>115</v>
      </c>
      <c r="E16" t="s">
        <v>87</v>
      </c>
      <c r="F16">
        <v>11483652</v>
      </c>
      <c r="G16">
        <v>11856108</v>
      </c>
      <c r="H16">
        <v>12126249</v>
      </c>
      <c r="I16">
        <v>10854520</v>
      </c>
      <c r="J16">
        <v>9865954</v>
      </c>
      <c r="K16">
        <v>10718259</v>
      </c>
      <c r="L16">
        <v>10677933</v>
      </c>
      <c r="M16">
        <v>9029857</v>
      </c>
      <c r="N16">
        <v>8818715</v>
      </c>
      <c r="O16">
        <v>9123203</v>
      </c>
      <c r="P16">
        <v>9527314</v>
      </c>
      <c r="Q16">
        <v>10619759</v>
      </c>
      <c r="R16">
        <v>11226300</v>
      </c>
      <c r="S16">
        <v>10594076</v>
      </c>
      <c r="T16">
        <v>8836566</v>
      </c>
      <c r="U16">
        <v>9820003</v>
      </c>
      <c r="V16">
        <v>9703242</v>
      </c>
      <c r="W16">
        <v>9928698</v>
      </c>
      <c r="X16">
        <v>10126749</v>
      </c>
      <c r="Y16">
        <v>10917621</v>
      </c>
      <c r="Z16">
        <v>10932779</v>
      </c>
      <c r="AA16">
        <v>10194842</v>
      </c>
      <c r="AB16">
        <v>10617608</v>
      </c>
      <c r="AC16">
        <v>11718849</v>
      </c>
      <c r="AD16">
        <v>11279540</v>
      </c>
      <c r="AE16">
        <v>10849275</v>
      </c>
      <c r="AF16">
        <v>11526008</v>
      </c>
    </row>
    <row r="17" spans="1:32" x14ac:dyDescent="0.3">
      <c r="A17" t="s">
        <v>8</v>
      </c>
      <c r="B17" t="s">
        <v>116</v>
      </c>
      <c r="C17" t="s">
        <v>86</v>
      </c>
      <c r="D17" t="s">
        <v>117</v>
      </c>
      <c r="E17" t="s">
        <v>87</v>
      </c>
      <c r="F17">
        <v>16959090</v>
      </c>
      <c r="G17">
        <v>17934167</v>
      </c>
      <c r="H17">
        <v>18652624</v>
      </c>
      <c r="I17">
        <v>17382079</v>
      </c>
      <c r="J17">
        <v>15971718</v>
      </c>
      <c r="K17">
        <v>17079677</v>
      </c>
      <c r="L17">
        <v>16483085</v>
      </c>
      <c r="M17">
        <v>14757714</v>
      </c>
      <c r="N17">
        <v>15365519</v>
      </c>
      <c r="O17">
        <v>17127731</v>
      </c>
      <c r="P17">
        <v>18693137</v>
      </c>
      <c r="Q17">
        <v>20129181</v>
      </c>
      <c r="R17">
        <v>21425845</v>
      </c>
      <c r="S17">
        <v>20569443</v>
      </c>
      <c r="T17">
        <v>13140029</v>
      </c>
      <c r="U17">
        <v>14634565</v>
      </c>
      <c r="V17">
        <v>16278316</v>
      </c>
      <c r="W17">
        <v>16092785</v>
      </c>
      <c r="X17">
        <v>15472800</v>
      </c>
      <c r="Y17">
        <v>16613411</v>
      </c>
      <c r="Z17">
        <v>17402516</v>
      </c>
      <c r="AA17">
        <v>17206274</v>
      </c>
      <c r="AB17">
        <v>18757352</v>
      </c>
      <c r="AC17">
        <v>19889329</v>
      </c>
      <c r="AD17">
        <v>18920440</v>
      </c>
      <c r="AE17">
        <v>16967272</v>
      </c>
      <c r="AF17">
        <v>19708153</v>
      </c>
    </row>
    <row r="18" spans="1:32" x14ac:dyDescent="0.3">
      <c r="A18" t="s">
        <v>8</v>
      </c>
      <c r="B18" t="s">
        <v>118</v>
      </c>
      <c r="C18" t="s">
        <v>86</v>
      </c>
      <c r="D18" t="s">
        <v>119</v>
      </c>
      <c r="E18" t="s">
        <v>87</v>
      </c>
      <c r="F18">
        <v>30154836</v>
      </c>
      <c r="G18">
        <v>30177669</v>
      </c>
      <c r="H18">
        <v>32750647</v>
      </c>
      <c r="I18">
        <v>29421363</v>
      </c>
      <c r="J18">
        <v>28308786</v>
      </c>
      <c r="K18">
        <v>30243312</v>
      </c>
      <c r="L18">
        <v>30465539</v>
      </c>
      <c r="M18">
        <v>31475191</v>
      </c>
      <c r="N18">
        <v>33253404</v>
      </c>
      <c r="O18">
        <v>35170956</v>
      </c>
      <c r="P18">
        <v>37316306</v>
      </c>
      <c r="Q18">
        <v>41022787</v>
      </c>
      <c r="R18">
        <v>44078402</v>
      </c>
      <c r="S18">
        <v>45851015</v>
      </c>
      <c r="T18">
        <v>30997991</v>
      </c>
      <c r="U18">
        <v>37555230</v>
      </c>
      <c r="V18">
        <v>35216627</v>
      </c>
      <c r="W18">
        <v>37433301</v>
      </c>
      <c r="X18">
        <v>39355720</v>
      </c>
      <c r="Y18">
        <v>41469061</v>
      </c>
      <c r="Z18">
        <v>43871534</v>
      </c>
      <c r="AA18">
        <v>42976970</v>
      </c>
      <c r="AB18">
        <v>45888627</v>
      </c>
      <c r="AC18">
        <v>47204829</v>
      </c>
      <c r="AD18">
        <v>46937676</v>
      </c>
      <c r="AE18">
        <v>38227773</v>
      </c>
      <c r="AF18">
        <v>39498831</v>
      </c>
    </row>
    <row r="19" spans="1:32" x14ac:dyDescent="0.3">
      <c r="A19" t="s">
        <v>8</v>
      </c>
      <c r="B19" t="s">
        <v>120</v>
      </c>
      <c r="C19" t="s">
        <v>86</v>
      </c>
      <c r="D19" t="s">
        <v>121</v>
      </c>
      <c r="E19" t="s">
        <v>87</v>
      </c>
      <c r="F19">
        <v>5678222</v>
      </c>
      <c r="G19">
        <v>5736776</v>
      </c>
      <c r="H19">
        <v>5765442</v>
      </c>
      <c r="I19">
        <v>5339484</v>
      </c>
      <c r="J19">
        <v>4913674</v>
      </c>
      <c r="K19">
        <v>4875693</v>
      </c>
      <c r="L19">
        <v>4761503</v>
      </c>
      <c r="M19">
        <v>4403788</v>
      </c>
      <c r="N19">
        <v>4109471</v>
      </c>
      <c r="O19">
        <v>3753697</v>
      </c>
      <c r="P19">
        <v>3916034</v>
      </c>
      <c r="Q19">
        <v>4046117</v>
      </c>
      <c r="R19">
        <v>3915388</v>
      </c>
      <c r="S19">
        <v>3804620</v>
      </c>
      <c r="T19">
        <v>2991873</v>
      </c>
      <c r="U19">
        <v>2939312</v>
      </c>
      <c r="V19">
        <v>3081226</v>
      </c>
      <c r="W19">
        <v>2978897</v>
      </c>
      <c r="X19">
        <v>3028136</v>
      </c>
      <c r="Y19">
        <v>3123660</v>
      </c>
      <c r="Z19">
        <v>3200108</v>
      </c>
      <c r="AA19">
        <v>3121314</v>
      </c>
      <c r="AB19">
        <v>3173501</v>
      </c>
      <c r="AC19">
        <v>3187100</v>
      </c>
      <c r="AD19">
        <v>3205103</v>
      </c>
      <c r="AE19">
        <v>3096786</v>
      </c>
      <c r="AF19">
        <v>3693156</v>
      </c>
    </row>
    <row r="20" spans="1:32" x14ac:dyDescent="0.3">
      <c r="A20" t="s">
        <v>8</v>
      </c>
      <c r="B20" t="s">
        <v>122</v>
      </c>
      <c r="C20" t="s">
        <v>86</v>
      </c>
      <c r="D20" t="s">
        <v>123</v>
      </c>
      <c r="E20" t="s">
        <v>87</v>
      </c>
      <c r="F20">
        <v>7029602</v>
      </c>
      <c r="G20">
        <v>7171194</v>
      </c>
      <c r="H20">
        <v>7500592</v>
      </c>
      <c r="I20">
        <v>7005132</v>
      </c>
      <c r="J20">
        <v>7049794</v>
      </c>
      <c r="K20">
        <v>7694296</v>
      </c>
      <c r="L20">
        <v>7753504</v>
      </c>
      <c r="M20">
        <v>7762111</v>
      </c>
      <c r="N20">
        <v>7942366</v>
      </c>
      <c r="O20">
        <v>8294657</v>
      </c>
      <c r="P20">
        <v>9375783</v>
      </c>
      <c r="Q20">
        <v>10425783</v>
      </c>
      <c r="R20">
        <v>12206267</v>
      </c>
      <c r="S20">
        <v>14237651</v>
      </c>
      <c r="T20">
        <v>11503842</v>
      </c>
      <c r="U20">
        <v>11907287</v>
      </c>
      <c r="V20">
        <v>14955730</v>
      </c>
      <c r="W20">
        <v>17161682</v>
      </c>
      <c r="X20">
        <v>17695635</v>
      </c>
      <c r="Y20">
        <v>18076513</v>
      </c>
      <c r="Z20">
        <v>14955956</v>
      </c>
      <c r="AA20">
        <v>11453939</v>
      </c>
      <c r="AB20">
        <v>12401487</v>
      </c>
      <c r="AC20">
        <v>13724782</v>
      </c>
      <c r="AD20">
        <v>13407257</v>
      </c>
      <c r="AE20">
        <v>11505717</v>
      </c>
      <c r="AF20">
        <v>14211551</v>
      </c>
    </row>
    <row r="21" spans="1:32" x14ac:dyDescent="0.3">
      <c r="A21" t="s">
        <v>8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8</v>
      </c>
      <c r="B22" t="s">
        <v>126</v>
      </c>
      <c r="C22" t="s">
        <v>86</v>
      </c>
      <c r="D22" t="s">
        <v>127</v>
      </c>
      <c r="E22" t="s">
        <v>87</v>
      </c>
      <c r="F22">
        <v>3055409</v>
      </c>
      <c r="G22">
        <v>3198248</v>
      </c>
      <c r="H22">
        <v>3317496</v>
      </c>
      <c r="I22">
        <v>3428974</v>
      </c>
      <c r="J22">
        <v>3518890</v>
      </c>
      <c r="K22">
        <v>3503389</v>
      </c>
      <c r="L22">
        <v>3771296</v>
      </c>
      <c r="M22">
        <v>3958540</v>
      </c>
      <c r="N22">
        <v>4039284</v>
      </c>
      <c r="O22">
        <v>4031631</v>
      </c>
      <c r="P22">
        <v>4089757</v>
      </c>
      <c r="Q22">
        <v>4061747</v>
      </c>
      <c r="R22">
        <v>4068879</v>
      </c>
      <c r="S22">
        <v>4086935</v>
      </c>
      <c r="T22">
        <v>4029906</v>
      </c>
      <c r="U22">
        <v>3969718</v>
      </c>
      <c r="V22">
        <v>4046388</v>
      </c>
      <c r="W22">
        <v>4170685</v>
      </c>
      <c r="X22">
        <v>4336337</v>
      </c>
      <c r="Y22">
        <v>4677966</v>
      </c>
      <c r="Z22">
        <v>4900154</v>
      </c>
      <c r="AA22">
        <v>4981116</v>
      </c>
      <c r="AB22">
        <v>5142923</v>
      </c>
      <c r="AC22">
        <v>5209406</v>
      </c>
      <c r="AD22">
        <v>5309757</v>
      </c>
      <c r="AE22">
        <v>5426066</v>
      </c>
      <c r="AF22">
        <v>5505494</v>
      </c>
    </row>
    <row r="23" spans="1:32" x14ac:dyDescent="0.3">
      <c r="A23" t="s">
        <v>8</v>
      </c>
      <c r="B23" t="s">
        <v>128</v>
      </c>
      <c r="C23" t="s">
        <v>86</v>
      </c>
      <c r="D23" t="s">
        <v>129</v>
      </c>
      <c r="E23" t="s">
        <v>87</v>
      </c>
      <c r="F23">
        <v>48491918</v>
      </c>
      <c r="G23">
        <v>51197277</v>
      </c>
      <c r="H23">
        <v>48480754</v>
      </c>
      <c r="I23">
        <v>44675927</v>
      </c>
      <c r="J23">
        <v>42524134</v>
      </c>
      <c r="K23">
        <v>41621516</v>
      </c>
      <c r="L23">
        <v>39342818</v>
      </c>
      <c r="M23">
        <v>36922286</v>
      </c>
      <c r="N23">
        <v>35242021</v>
      </c>
      <c r="O23">
        <v>34313226</v>
      </c>
      <c r="P23">
        <v>34491696</v>
      </c>
      <c r="Q23">
        <v>34148092</v>
      </c>
      <c r="R23">
        <v>32424569</v>
      </c>
      <c r="S23">
        <v>31541513</v>
      </c>
      <c r="T23">
        <v>28004591</v>
      </c>
      <c r="U23">
        <v>27225665</v>
      </c>
      <c r="V23">
        <v>29241871</v>
      </c>
      <c r="W23">
        <v>29905291</v>
      </c>
      <c r="X23">
        <v>32955342</v>
      </c>
      <c r="Y23">
        <v>33031258</v>
      </c>
      <c r="Z23">
        <v>32996634</v>
      </c>
      <c r="AA23">
        <v>33699893</v>
      </c>
      <c r="AB23">
        <v>34917483</v>
      </c>
      <c r="AC23">
        <v>35797366</v>
      </c>
      <c r="AD23">
        <v>36509890</v>
      </c>
      <c r="AE23">
        <v>35437967</v>
      </c>
      <c r="AF23">
        <v>36524666</v>
      </c>
    </row>
    <row r="24" spans="1:32" x14ac:dyDescent="0.3">
      <c r="A24" t="s">
        <v>8</v>
      </c>
      <c r="B24" t="s">
        <v>130</v>
      </c>
      <c r="C24" t="s">
        <v>86</v>
      </c>
      <c r="D24" t="s">
        <v>131</v>
      </c>
      <c r="E24" t="s">
        <v>87</v>
      </c>
      <c r="F24">
        <v>36981876</v>
      </c>
      <c r="G24">
        <v>38170903</v>
      </c>
      <c r="H24">
        <v>39032437</v>
      </c>
      <c r="I24">
        <v>38237133</v>
      </c>
      <c r="J24">
        <v>38649931</v>
      </c>
      <c r="K24">
        <v>38697915</v>
      </c>
      <c r="L24">
        <v>39693772</v>
      </c>
      <c r="M24">
        <v>40275668</v>
      </c>
      <c r="N24">
        <v>41611039</v>
      </c>
      <c r="O24">
        <v>42006376</v>
      </c>
      <c r="P24">
        <v>46268474</v>
      </c>
      <c r="Q24">
        <v>46833540</v>
      </c>
      <c r="R24">
        <v>47203737</v>
      </c>
      <c r="S24">
        <v>48316132</v>
      </c>
      <c r="T24">
        <v>42700443</v>
      </c>
      <c r="U24">
        <v>44546401</v>
      </c>
      <c r="V24">
        <v>44480020</v>
      </c>
      <c r="W24">
        <v>44739133</v>
      </c>
      <c r="X24">
        <v>46655247</v>
      </c>
      <c r="Y24">
        <v>46236197</v>
      </c>
      <c r="Z24">
        <v>45606232</v>
      </c>
      <c r="AA24">
        <v>44902975</v>
      </c>
      <c r="AB24">
        <v>45665109</v>
      </c>
      <c r="AC24">
        <v>47681000</v>
      </c>
      <c r="AD24">
        <v>47720337</v>
      </c>
      <c r="AE24">
        <v>47783164</v>
      </c>
      <c r="AF24">
        <v>50155109</v>
      </c>
    </row>
    <row r="25" spans="1:32" x14ac:dyDescent="0.3">
      <c r="A25" t="s">
        <v>8</v>
      </c>
      <c r="B25" t="s">
        <v>132</v>
      </c>
      <c r="C25" t="s">
        <v>86</v>
      </c>
      <c r="D25" t="s">
        <v>133</v>
      </c>
      <c r="E25" t="s">
        <v>87</v>
      </c>
      <c r="F25">
        <v>5136267</v>
      </c>
      <c r="G25">
        <v>5329910</v>
      </c>
      <c r="H25">
        <v>5683389</v>
      </c>
      <c r="I25">
        <v>5563161</v>
      </c>
      <c r="J25">
        <v>5723168</v>
      </c>
      <c r="K25">
        <v>6015238</v>
      </c>
      <c r="L25">
        <v>5548215</v>
      </c>
      <c r="M25">
        <v>5397475</v>
      </c>
      <c r="N25">
        <v>5493412</v>
      </c>
      <c r="O25">
        <v>5579515</v>
      </c>
      <c r="P25">
        <v>6308840</v>
      </c>
      <c r="Q25">
        <v>5813023</v>
      </c>
      <c r="R25">
        <v>5250188</v>
      </c>
      <c r="S25">
        <v>4412890</v>
      </c>
      <c r="T25">
        <v>3325680</v>
      </c>
      <c r="U25">
        <v>3270278</v>
      </c>
      <c r="V25">
        <v>2707532</v>
      </c>
      <c r="W25">
        <v>2851760</v>
      </c>
      <c r="X25">
        <v>2996936</v>
      </c>
      <c r="Y25">
        <v>3313244</v>
      </c>
      <c r="Z25">
        <v>3430567</v>
      </c>
      <c r="AA25">
        <v>3534429</v>
      </c>
      <c r="AB25">
        <v>3817454</v>
      </c>
      <c r="AC25">
        <v>3815785</v>
      </c>
      <c r="AD25">
        <v>3751120</v>
      </c>
      <c r="AE25">
        <v>3670203</v>
      </c>
      <c r="AF25">
        <v>3506617</v>
      </c>
    </row>
    <row r="26" spans="1:32" x14ac:dyDescent="0.3">
      <c r="A26" t="s">
        <v>8</v>
      </c>
      <c r="B26" t="s">
        <v>134</v>
      </c>
      <c r="C26" t="s">
        <v>86</v>
      </c>
      <c r="D26" t="s">
        <v>135</v>
      </c>
      <c r="E26" t="s">
        <v>87</v>
      </c>
      <c r="F26">
        <v>18643613</v>
      </c>
      <c r="G26">
        <v>19455747</v>
      </c>
      <c r="H26">
        <v>20137188</v>
      </c>
      <c r="I26">
        <v>19224178</v>
      </c>
      <c r="J26">
        <v>19727442</v>
      </c>
      <c r="K26">
        <v>19375168</v>
      </c>
      <c r="L26">
        <v>20186012</v>
      </c>
      <c r="M26">
        <v>20782692</v>
      </c>
      <c r="N26">
        <v>21607102</v>
      </c>
      <c r="O26">
        <v>21924917</v>
      </c>
      <c r="P26">
        <v>25403866</v>
      </c>
      <c r="Q26">
        <v>25804268</v>
      </c>
      <c r="R26">
        <v>25037859</v>
      </c>
      <c r="S26">
        <v>25658370</v>
      </c>
      <c r="T26">
        <v>19631577</v>
      </c>
      <c r="U26">
        <v>20315133</v>
      </c>
      <c r="V26">
        <v>19812404</v>
      </c>
      <c r="W26">
        <v>19176242</v>
      </c>
      <c r="X26">
        <v>19264852</v>
      </c>
      <c r="Y26">
        <v>17751412</v>
      </c>
      <c r="Z26">
        <v>16426218</v>
      </c>
      <c r="AA26">
        <v>16472441</v>
      </c>
      <c r="AB26">
        <v>16953615</v>
      </c>
      <c r="AC26">
        <v>17593340</v>
      </c>
      <c r="AD26">
        <v>17061704</v>
      </c>
      <c r="AE26">
        <v>16157652</v>
      </c>
      <c r="AF26">
        <v>18115168</v>
      </c>
    </row>
    <row r="27" spans="1:32" x14ac:dyDescent="0.3">
      <c r="A27" t="s">
        <v>8</v>
      </c>
      <c r="B27" t="s">
        <v>136</v>
      </c>
      <c r="C27" t="s">
        <v>86</v>
      </c>
      <c r="D27" t="s">
        <v>137</v>
      </c>
      <c r="E27" t="s">
        <v>87</v>
      </c>
      <c r="F27">
        <v>13201996</v>
      </c>
      <c r="G27">
        <v>13385246</v>
      </c>
      <c r="H27">
        <v>13211860</v>
      </c>
      <c r="I27">
        <v>13449794</v>
      </c>
      <c r="J27">
        <v>13199321</v>
      </c>
      <c r="K27">
        <v>13307509</v>
      </c>
      <c r="L27">
        <v>13959545</v>
      </c>
      <c r="M27">
        <v>14095501</v>
      </c>
      <c r="N27">
        <v>14510525</v>
      </c>
      <c r="O27">
        <v>14501944</v>
      </c>
      <c r="P27">
        <v>14555768</v>
      </c>
      <c r="Q27">
        <v>15216249</v>
      </c>
      <c r="R27">
        <v>16915690</v>
      </c>
      <c r="S27">
        <v>18244872</v>
      </c>
      <c r="T27">
        <v>19743186</v>
      </c>
      <c r="U27">
        <v>20960990</v>
      </c>
      <c r="V27">
        <v>21960084</v>
      </c>
      <c r="W27">
        <v>22711131</v>
      </c>
      <c r="X27">
        <v>24393459</v>
      </c>
      <c r="Y27">
        <v>25171541</v>
      </c>
      <c r="Z27">
        <v>25749447</v>
      </c>
      <c r="AA27">
        <v>24896105</v>
      </c>
      <c r="AB27">
        <v>24894040</v>
      </c>
      <c r="AC27">
        <v>26271875</v>
      </c>
      <c r="AD27">
        <v>26907513</v>
      </c>
      <c r="AE27">
        <v>27955309</v>
      </c>
      <c r="AF27">
        <v>28533324</v>
      </c>
    </row>
    <row r="28" spans="1:32" x14ac:dyDescent="0.3">
      <c r="A28" t="s">
        <v>8</v>
      </c>
      <c r="B28" t="s">
        <v>138</v>
      </c>
      <c r="C28" t="s">
        <v>86</v>
      </c>
      <c r="D28" t="s">
        <v>139</v>
      </c>
      <c r="E28" t="s">
        <v>87</v>
      </c>
      <c r="F28">
        <v>16715365</v>
      </c>
      <c r="G28">
        <v>15758113</v>
      </c>
      <c r="H28">
        <v>16334184</v>
      </c>
      <c r="I28">
        <v>16270854</v>
      </c>
      <c r="J28">
        <v>15968109</v>
      </c>
      <c r="K28">
        <v>16131103</v>
      </c>
      <c r="L28">
        <v>16353746</v>
      </c>
      <c r="M28">
        <v>16357130</v>
      </c>
      <c r="N28">
        <v>16866573</v>
      </c>
      <c r="O28">
        <v>17520653</v>
      </c>
      <c r="P28">
        <v>18296612</v>
      </c>
      <c r="Q28">
        <v>18466320</v>
      </c>
      <c r="R28">
        <v>19136958</v>
      </c>
      <c r="S28">
        <v>20035808</v>
      </c>
      <c r="T28">
        <v>16426299</v>
      </c>
      <c r="U28">
        <v>16303160</v>
      </c>
      <c r="V28">
        <v>15906574</v>
      </c>
      <c r="W28">
        <v>16595722</v>
      </c>
      <c r="X28">
        <v>17251058</v>
      </c>
      <c r="Y28">
        <v>18488740</v>
      </c>
      <c r="Z28">
        <v>18523190</v>
      </c>
      <c r="AA28">
        <v>17528243</v>
      </c>
      <c r="AB28">
        <v>18387708</v>
      </c>
      <c r="AC28">
        <v>18610292</v>
      </c>
      <c r="AD28">
        <v>18370141</v>
      </c>
      <c r="AE28">
        <v>14995575</v>
      </c>
      <c r="AF28">
        <v>15638683</v>
      </c>
    </row>
    <row r="29" spans="1:32" x14ac:dyDescent="0.3">
      <c r="A29" t="s">
        <v>8</v>
      </c>
      <c r="B29" t="s">
        <v>140</v>
      </c>
      <c r="C29" t="s">
        <v>86</v>
      </c>
      <c r="D29" t="s">
        <v>141</v>
      </c>
      <c r="E29" t="s">
        <v>87</v>
      </c>
      <c r="F29">
        <v>8646478</v>
      </c>
      <c r="G29">
        <v>7987160</v>
      </c>
      <c r="H29">
        <v>7993889</v>
      </c>
      <c r="I29">
        <v>7688800</v>
      </c>
      <c r="J29">
        <v>7670856</v>
      </c>
      <c r="K29">
        <v>8200805</v>
      </c>
      <c r="L29">
        <v>8074141</v>
      </c>
      <c r="M29">
        <v>8005270</v>
      </c>
      <c r="N29">
        <v>8307500</v>
      </c>
      <c r="O29">
        <v>8647802</v>
      </c>
      <c r="P29">
        <v>8607545</v>
      </c>
      <c r="Q29">
        <v>8155886</v>
      </c>
      <c r="R29">
        <v>8046420</v>
      </c>
      <c r="S29">
        <v>8528254</v>
      </c>
      <c r="T29">
        <v>7414557</v>
      </c>
      <c r="U29">
        <v>6905626</v>
      </c>
      <c r="V29">
        <v>6596477</v>
      </c>
      <c r="W29">
        <v>6762934</v>
      </c>
      <c r="X29">
        <v>7100498</v>
      </c>
      <c r="Y29">
        <v>7328201</v>
      </c>
      <c r="Z29">
        <v>7233796</v>
      </c>
      <c r="AA29">
        <v>7341302</v>
      </c>
      <c r="AB29">
        <v>7520295</v>
      </c>
      <c r="AC29">
        <v>7661088</v>
      </c>
      <c r="AD29">
        <v>7891308</v>
      </c>
      <c r="AE29">
        <v>7164558</v>
      </c>
      <c r="AF29">
        <v>6850523</v>
      </c>
    </row>
    <row r="30" spans="1:32" x14ac:dyDescent="0.3">
      <c r="A30" t="s">
        <v>8</v>
      </c>
      <c r="B30" t="s">
        <v>142</v>
      </c>
      <c r="C30" t="s">
        <v>86</v>
      </c>
      <c r="D30" t="s">
        <v>143</v>
      </c>
      <c r="E30" t="s">
        <v>87</v>
      </c>
      <c r="F30">
        <v>2724727</v>
      </c>
      <c r="G30">
        <v>2499456</v>
      </c>
      <c r="H30">
        <v>2795521</v>
      </c>
      <c r="I30">
        <v>2985515</v>
      </c>
      <c r="J30">
        <v>2759514</v>
      </c>
      <c r="K30">
        <v>2635810</v>
      </c>
      <c r="L30">
        <v>2901280</v>
      </c>
      <c r="M30">
        <v>2873568</v>
      </c>
      <c r="N30">
        <v>2988276</v>
      </c>
      <c r="O30">
        <v>3189418</v>
      </c>
      <c r="P30">
        <v>3733148</v>
      </c>
      <c r="Q30">
        <v>4176210</v>
      </c>
      <c r="R30">
        <v>4736574</v>
      </c>
      <c r="S30">
        <v>5027541</v>
      </c>
      <c r="T30">
        <v>3203854</v>
      </c>
      <c r="U30">
        <v>3790839</v>
      </c>
      <c r="V30">
        <v>3801435</v>
      </c>
      <c r="W30">
        <v>3916743</v>
      </c>
      <c r="X30">
        <v>4128143</v>
      </c>
      <c r="Y30">
        <v>4591342</v>
      </c>
      <c r="Z30">
        <v>4421698</v>
      </c>
      <c r="AA30">
        <v>3432475</v>
      </c>
      <c r="AB30">
        <v>3812530</v>
      </c>
      <c r="AC30">
        <v>3574378</v>
      </c>
      <c r="AD30">
        <v>3144656</v>
      </c>
      <c r="AE30">
        <v>2665855</v>
      </c>
      <c r="AF30">
        <v>3453094</v>
      </c>
    </row>
    <row r="31" spans="1:32" x14ac:dyDescent="0.3">
      <c r="A31" t="s">
        <v>8</v>
      </c>
      <c r="B31" t="s">
        <v>144</v>
      </c>
      <c r="C31" t="s">
        <v>86</v>
      </c>
      <c r="D31" t="s">
        <v>145</v>
      </c>
      <c r="E31" t="s">
        <v>87</v>
      </c>
      <c r="F31">
        <v>1724006</v>
      </c>
      <c r="G31">
        <v>1915071</v>
      </c>
      <c r="H31">
        <v>2015321</v>
      </c>
      <c r="I31">
        <v>1997109</v>
      </c>
      <c r="J31">
        <v>2004119</v>
      </c>
      <c r="K31">
        <v>1992502</v>
      </c>
      <c r="L31">
        <v>2037681</v>
      </c>
      <c r="M31">
        <v>2110090</v>
      </c>
      <c r="N31">
        <v>2173085</v>
      </c>
      <c r="O31">
        <v>2214927</v>
      </c>
      <c r="P31">
        <v>2336765</v>
      </c>
      <c r="Q31">
        <v>2450878</v>
      </c>
      <c r="R31">
        <v>2539083</v>
      </c>
      <c r="S31">
        <v>2630853</v>
      </c>
      <c r="T31">
        <v>2225152</v>
      </c>
      <c r="U31">
        <v>1967675</v>
      </c>
      <c r="V31">
        <v>1801853</v>
      </c>
      <c r="W31">
        <v>1921043</v>
      </c>
      <c r="X31">
        <v>1968877</v>
      </c>
      <c r="Y31">
        <v>2245998</v>
      </c>
      <c r="Z31">
        <v>2392661</v>
      </c>
      <c r="AA31">
        <v>2281266</v>
      </c>
      <c r="AB31">
        <v>2472447</v>
      </c>
      <c r="AC31">
        <v>2656194</v>
      </c>
      <c r="AD31">
        <v>2618827</v>
      </c>
      <c r="AE31">
        <v>1369765</v>
      </c>
      <c r="AF31">
        <v>1618872</v>
      </c>
    </row>
    <row r="32" spans="1:32" x14ac:dyDescent="0.3">
      <c r="A32" t="s">
        <v>8</v>
      </c>
      <c r="B32" t="s">
        <v>146</v>
      </c>
      <c r="C32" t="s">
        <v>86</v>
      </c>
      <c r="D32" t="s">
        <v>147</v>
      </c>
      <c r="E32" t="s">
        <v>87</v>
      </c>
      <c r="F32">
        <v>3151905</v>
      </c>
      <c r="G32">
        <v>2842303</v>
      </c>
      <c r="H32">
        <v>2998948</v>
      </c>
      <c r="I32">
        <v>3073768</v>
      </c>
      <c r="J32">
        <v>3012940</v>
      </c>
      <c r="K32">
        <v>2796427</v>
      </c>
      <c r="L32">
        <v>2858711</v>
      </c>
      <c r="M32">
        <v>2904923</v>
      </c>
      <c r="N32">
        <v>2956956</v>
      </c>
      <c r="O32">
        <v>3084799</v>
      </c>
      <c r="P32">
        <v>3236507</v>
      </c>
      <c r="Q32">
        <v>3333356</v>
      </c>
      <c r="R32">
        <v>3436411</v>
      </c>
      <c r="S32">
        <v>3369973</v>
      </c>
      <c r="T32">
        <v>3141527</v>
      </c>
      <c r="U32">
        <v>3171491</v>
      </c>
      <c r="V32">
        <v>3290183</v>
      </c>
      <c r="W32">
        <v>3578136</v>
      </c>
      <c r="X32">
        <v>3626828</v>
      </c>
      <c r="Y32">
        <v>3884453</v>
      </c>
      <c r="Z32">
        <v>4022464</v>
      </c>
      <c r="AA32">
        <v>4016914</v>
      </c>
      <c r="AB32">
        <v>4109698</v>
      </c>
      <c r="AC32">
        <v>4222289</v>
      </c>
      <c r="AD32">
        <v>4213499</v>
      </c>
      <c r="AE32">
        <v>3343496</v>
      </c>
      <c r="AF32">
        <v>3260225</v>
      </c>
    </row>
    <row r="33" spans="1:32" x14ac:dyDescent="0.3">
      <c r="A33" t="s">
        <v>8</v>
      </c>
      <c r="B33" t="s">
        <v>148</v>
      </c>
      <c r="C33" t="s">
        <v>86</v>
      </c>
      <c r="D33" t="s">
        <v>149</v>
      </c>
      <c r="E33" t="s">
        <v>87</v>
      </c>
      <c r="F33">
        <v>468249</v>
      </c>
      <c r="G33">
        <v>514123</v>
      </c>
      <c r="H33">
        <v>530505</v>
      </c>
      <c r="I33">
        <v>525662</v>
      </c>
      <c r="J33">
        <v>520680</v>
      </c>
      <c r="K33">
        <v>505559</v>
      </c>
      <c r="L33">
        <v>481933</v>
      </c>
      <c r="M33">
        <v>463279</v>
      </c>
      <c r="N33">
        <v>440756</v>
      </c>
      <c r="O33">
        <v>383707</v>
      </c>
      <c r="P33">
        <v>382647</v>
      </c>
      <c r="Q33">
        <v>349990</v>
      </c>
      <c r="R33">
        <v>378470</v>
      </c>
      <c r="S33">
        <v>479187</v>
      </c>
      <c r="T33">
        <v>441209</v>
      </c>
      <c r="U33">
        <v>467529</v>
      </c>
      <c r="V33">
        <v>416626</v>
      </c>
      <c r="W33">
        <v>416866</v>
      </c>
      <c r="X33">
        <v>426712</v>
      </c>
      <c r="Y33">
        <v>438746</v>
      </c>
      <c r="Z33">
        <v>452571</v>
      </c>
      <c r="AA33">
        <v>456286</v>
      </c>
      <c r="AB33">
        <v>472738</v>
      </c>
      <c r="AC33">
        <v>496343</v>
      </c>
      <c r="AD33">
        <v>501851</v>
      </c>
      <c r="AE33">
        <v>451901</v>
      </c>
      <c r="AF33">
        <v>455969</v>
      </c>
    </row>
    <row r="34" spans="1:32" x14ac:dyDescent="0.3">
      <c r="A34" t="s">
        <v>8</v>
      </c>
      <c r="B34" t="s">
        <v>150</v>
      </c>
      <c r="C34" t="s">
        <v>86</v>
      </c>
      <c r="D34" t="s">
        <v>151</v>
      </c>
      <c r="E34" t="s">
        <v>87</v>
      </c>
      <c r="F34">
        <v>17527541</v>
      </c>
      <c r="G34">
        <v>18314444</v>
      </c>
      <c r="H34">
        <v>18416054</v>
      </c>
      <c r="I34">
        <v>18552806</v>
      </c>
      <c r="J34">
        <v>18720888</v>
      </c>
      <c r="K34">
        <v>18817434</v>
      </c>
      <c r="L34">
        <v>18892451</v>
      </c>
      <c r="M34">
        <v>18209415</v>
      </c>
      <c r="N34">
        <v>17591230</v>
      </c>
      <c r="O34">
        <v>17386788</v>
      </c>
      <c r="P34">
        <v>17597040</v>
      </c>
      <c r="Q34">
        <v>17572247</v>
      </c>
      <c r="R34">
        <v>17812816</v>
      </c>
      <c r="S34">
        <v>18312222</v>
      </c>
      <c r="T34">
        <v>17378283</v>
      </c>
      <c r="U34">
        <v>17478035</v>
      </c>
      <c r="V34">
        <v>16832786</v>
      </c>
      <c r="W34">
        <v>17856200</v>
      </c>
      <c r="X34">
        <v>17374324</v>
      </c>
      <c r="Y34">
        <v>17900913</v>
      </c>
      <c r="Z34">
        <v>18985347</v>
      </c>
      <c r="AA34">
        <v>18191489</v>
      </c>
      <c r="AB34">
        <v>18130952</v>
      </c>
      <c r="AC34">
        <v>17689793</v>
      </c>
      <c r="AD34">
        <v>18005137</v>
      </c>
      <c r="AE34">
        <v>14005963</v>
      </c>
      <c r="AF34">
        <v>12596327</v>
      </c>
    </row>
    <row r="35" spans="1:32" x14ac:dyDescent="0.3">
      <c r="A35" t="s">
        <v>8</v>
      </c>
      <c r="B35" t="s">
        <v>152</v>
      </c>
      <c r="C35" t="s">
        <v>86</v>
      </c>
      <c r="D35" t="s">
        <v>153</v>
      </c>
      <c r="E35" t="s">
        <v>87</v>
      </c>
      <c r="F35">
        <v>10640033</v>
      </c>
      <c r="G35">
        <v>11866949</v>
      </c>
      <c r="H35">
        <v>13145377</v>
      </c>
      <c r="I35">
        <v>14335478</v>
      </c>
      <c r="J35">
        <v>16571174</v>
      </c>
      <c r="K35">
        <v>18691987</v>
      </c>
      <c r="L35">
        <v>19879781</v>
      </c>
      <c r="M35">
        <v>20346353</v>
      </c>
      <c r="N35">
        <v>20469877</v>
      </c>
      <c r="O35">
        <v>20578567</v>
      </c>
      <c r="P35">
        <v>20268735</v>
      </c>
      <c r="Q35">
        <v>20976107</v>
      </c>
      <c r="R35">
        <v>21573376</v>
      </c>
      <c r="S35">
        <v>21727600</v>
      </c>
      <c r="T35">
        <v>20952268</v>
      </c>
      <c r="U35">
        <v>21107430</v>
      </c>
      <c r="V35">
        <v>21365475</v>
      </c>
      <c r="W35">
        <v>22586334</v>
      </c>
      <c r="X35">
        <v>23598339</v>
      </c>
      <c r="Y35">
        <v>24998396</v>
      </c>
      <c r="Z35">
        <v>26231813</v>
      </c>
      <c r="AA35">
        <v>26581762</v>
      </c>
      <c r="AB35">
        <v>27182010</v>
      </c>
      <c r="AC35">
        <v>28385962</v>
      </c>
      <c r="AD35">
        <v>29081054</v>
      </c>
      <c r="AE35">
        <v>28672022</v>
      </c>
      <c r="AF35">
        <v>28964495</v>
      </c>
    </row>
    <row r="36" spans="1:32" x14ac:dyDescent="0.3">
      <c r="A36" t="s">
        <v>8</v>
      </c>
      <c r="B36" t="s">
        <v>154</v>
      </c>
      <c r="C36" t="s">
        <v>86</v>
      </c>
      <c r="D36" t="s">
        <v>155</v>
      </c>
      <c r="E36" t="s">
        <v>87</v>
      </c>
      <c r="F36">
        <v>5440235</v>
      </c>
      <c r="G36">
        <v>5663570</v>
      </c>
      <c r="H36">
        <v>5885022</v>
      </c>
      <c r="I36">
        <v>6036508</v>
      </c>
      <c r="J36">
        <v>5990324</v>
      </c>
      <c r="K36">
        <v>6353725</v>
      </c>
      <c r="L36">
        <v>6527045</v>
      </c>
      <c r="M36">
        <v>6590754</v>
      </c>
      <c r="N36">
        <v>6683311</v>
      </c>
      <c r="O36">
        <v>6887775</v>
      </c>
      <c r="P36">
        <v>6701616</v>
      </c>
      <c r="Q36">
        <v>6739078</v>
      </c>
      <c r="R36">
        <v>6748683</v>
      </c>
      <c r="S36">
        <v>6973995</v>
      </c>
      <c r="T36">
        <v>6730843</v>
      </c>
      <c r="U36">
        <v>6463676</v>
      </c>
      <c r="V36">
        <v>6474017</v>
      </c>
      <c r="W36">
        <v>6932590</v>
      </c>
      <c r="X36">
        <v>6990402</v>
      </c>
      <c r="Y36">
        <v>7096961</v>
      </c>
      <c r="Z36">
        <v>7296631</v>
      </c>
      <c r="AA36">
        <v>7181586</v>
      </c>
      <c r="AB36">
        <v>7245281</v>
      </c>
      <c r="AC36">
        <v>7362626</v>
      </c>
      <c r="AD36">
        <v>7546135</v>
      </c>
      <c r="AE36">
        <v>6816110</v>
      </c>
      <c r="AF36">
        <v>6693513</v>
      </c>
    </row>
    <row r="37" spans="1:32" x14ac:dyDescent="0.3">
      <c r="A37" t="s">
        <v>8</v>
      </c>
      <c r="B37" t="s">
        <v>156</v>
      </c>
      <c r="C37" t="s">
        <v>86</v>
      </c>
      <c r="D37" t="s">
        <v>157</v>
      </c>
      <c r="E37" t="s">
        <v>87</v>
      </c>
      <c r="F37">
        <v>2644285</v>
      </c>
      <c r="G37">
        <v>3138936</v>
      </c>
      <c r="H37">
        <v>3771052</v>
      </c>
      <c r="I37">
        <v>4043776</v>
      </c>
      <c r="J37">
        <v>5937038</v>
      </c>
      <c r="K37">
        <v>7171543</v>
      </c>
      <c r="L37">
        <v>7442091</v>
      </c>
      <c r="M37">
        <v>7475006</v>
      </c>
      <c r="N37">
        <v>7359673</v>
      </c>
      <c r="O37">
        <v>7070109</v>
      </c>
      <c r="P37">
        <v>6974951</v>
      </c>
      <c r="Q37">
        <v>7586055</v>
      </c>
      <c r="R37">
        <v>7903603</v>
      </c>
      <c r="S37">
        <v>7398582</v>
      </c>
      <c r="T37">
        <v>7230663</v>
      </c>
      <c r="U37">
        <v>7559469</v>
      </c>
      <c r="V37">
        <v>8149673</v>
      </c>
      <c r="W37">
        <v>8556457</v>
      </c>
      <c r="X37">
        <v>9112649</v>
      </c>
      <c r="Y37">
        <v>9751746</v>
      </c>
      <c r="Z37">
        <v>10398382</v>
      </c>
      <c r="AA37">
        <v>10711169</v>
      </c>
      <c r="AB37">
        <v>10938056</v>
      </c>
      <c r="AC37">
        <v>12088120</v>
      </c>
      <c r="AD37">
        <v>12401007</v>
      </c>
      <c r="AE37">
        <v>12403904</v>
      </c>
      <c r="AF37">
        <v>12811548</v>
      </c>
    </row>
    <row r="38" spans="1:32" x14ac:dyDescent="0.3">
      <c r="A38" t="s">
        <v>8</v>
      </c>
      <c r="B38" t="s">
        <v>158</v>
      </c>
      <c r="C38" t="s">
        <v>86</v>
      </c>
      <c r="D38" t="s">
        <v>159</v>
      </c>
      <c r="E38" t="s">
        <v>87</v>
      </c>
      <c r="F38">
        <v>2555513</v>
      </c>
      <c r="G38">
        <v>3064443</v>
      </c>
      <c r="H38">
        <v>3489303</v>
      </c>
      <c r="I38">
        <v>4255194</v>
      </c>
      <c r="J38">
        <v>4643812</v>
      </c>
      <c r="K38">
        <v>5166719</v>
      </c>
      <c r="L38">
        <v>5910645</v>
      </c>
      <c r="M38">
        <v>6280593</v>
      </c>
      <c r="N38">
        <v>6426893</v>
      </c>
      <c r="O38">
        <v>6620683</v>
      </c>
      <c r="P38">
        <v>6592168</v>
      </c>
      <c r="Q38">
        <v>6650974</v>
      </c>
      <c r="R38">
        <v>6921090</v>
      </c>
      <c r="S38">
        <v>7355023</v>
      </c>
      <c r="T38">
        <v>6990762</v>
      </c>
      <c r="U38">
        <v>7084285</v>
      </c>
      <c r="V38">
        <v>6741785</v>
      </c>
      <c r="W38">
        <v>7097287</v>
      </c>
      <c r="X38">
        <v>7495288</v>
      </c>
      <c r="Y38">
        <v>8149689</v>
      </c>
      <c r="Z38">
        <v>8536800</v>
      </c>
      <c r="AA38">
        <v>8689007</v>
      </c>
      <c r="AB38">
        <v>8998673</v>
      </c>
      <c r="AC38">
        <v>8935216</v>
      </c>
      <c r="AD38">
        <v>9133912</v>
      </c>
      <c r="AE38">
        <v>9452008</v>
      </c>
      <c r="AF38">
        <v>9459434</v>
      </c>
    </row>
    <row r="39" spans="1:32" x14ac:dyDescent="0.3">
      <c r="A39" t="s">
        <v>8</v>
      </c>
      <c r="B39" t="s">
        <v>160</v>
      </c>
      <c r="C39" t="s">
        <v>86</v>
      </c>
      <c r="D39" t="s">
        <v>161</v>
      </c>
      <c r="E39" t="s">
        <v>87</v>
      </c>
      <c r="F39">
        <v>11301953</v>
      </c>
      <c r="G39">
        <v>12133198</v>
      </c>
      <c r="H39">
        <v>12245821</v>
      </c>
      <c r="I39">
        <v>12548066</v>
      </c>
      <c r="J39">
        <v>12392829</v>
      </c>
      <c r="K39">
        <v>12195633</v>
      </c>
      <c r="L39">
        <v>11808410</v>
      </c>
      <c r="M39">
        <v>11840961</v>
      </c>
      <c r="N39">
        <v>11317754</v>
      </c>
      <c r="O39">
        <v>11286873</v>
      </c>
      <c r="P39">
        <v>12142704</v>
      </c>
      <c r="Q39">
        <v>13086156</v>
      </c>
      <c r="R39">
        <v>13763408</v>
      </c>
      <c r="S39">
        <v>13523221</v>
      </c>
      <c r="T39">
        <v>12426245</v>
      </c>
      <c r="U39">
        <v>11729039</v>
      </c>
      <c r="V39">
        <v>11440227</v>
      </c>
      <c r="W39">
        <v>11281734</v>
      </c>
      <c r="X39">
        <v>11745569</v>
      </c>
      <c r="Y39">
        <v>11851894</v>
      </c>
      <c r="Z39">
        <v>12639866</v>
      </c>
      <c r="AA39">
        <v>12529788</v>
      </c>
      <c r="AB39">
        <v>12797427</v>
      </c>
      <c r="AC39">
        <v>13271491</v>
      </c>
      <c r="AD39">
        <v>13420585</v>
      </c>
      <c r="AE39">
        <v>13214991</v>
      </c>
      <c r="AF39">
        <v>13031727</v>
      </c>
    </row>
    <row r="40" spans="1:32" x14ac:dyDescent="0.3">
      <c r="A40" t="s">
        <v>8</v>
      </c>
      <c r="B40" t="s">
        <v>162</v>
      </c>
      <c r="C40" t="s">
        <v>86</v>
      </c>
      <c r="D40" t="s">
        <v>163</v>
      </c>
      <c r="E40" t="s">
        <v>87</v>
      </c>
      <c r="F40">
        <v>7293432</v>
      </c>
      <c r="G40">
        <v>7664981</v>
      </c>
      <c r="H40">
        <v>7904416</v>
      </c>
      <c r="I40">
        <v>8385220</v>
      </c>
      <c r="J40">
        <v>8250696</v>
      </c>
      <c r="K40">
        <v>8390926</v>
      </c>
      <c r="L40">
        <v>9987770</v>
      </c>
      <c r="M40">
        <v>10821557</v>
      </c>
      <c r="N40">
        <v>11109542</v>
      </c>
      <c r="O40">
        <v>11289559</v>
      </c>
      <c r="P40">
        <v>11245597</v>
      </c>
      <c r="Q40">
        <v>11293542</v>
      </c>
      <c r="R40">
        <v>11932985</v>
      </c>
      <c r="S40">
        <v>12668976</v>
      </c>
      <c r="T40">
        <v>12534050</v>
      </c>
      <c r="U40">
        <v>13132929</v>
      </c>
      <c r="V40">
        <v>13555494</v>
      </c>
      <c r="W40">
        <v>13842866</v>
      </c>
      <c r="X40">
        <v>13981731</v>
      </c>
      <c r="Y40">
        <v>14222317</v>
      </c>
      <c r="Z40">
        <v>14257776</v>
      </c>
      <c r="AA40">
        <v>14415483</v>
      </c>
      <c r="AB40">
        <v>13791323</v>
      </c>
      <c r="AC40">
        <v>14009733</v>
      </c>
      <c r="AD40">
        <v>14393923</v>
      </c>
      <c r="AE40">
        <v>14232796</v>
      </c>
      <c r="AF40">
        <v>14465725</v>
      </c>
    </row>
    <row r="41" spans="1:32" x14ac:dyDescent="0.3">
      <c r="A41" t="s">
        <v>8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8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8</v>
      </c>
      <c r="B43" t="s">
        <v>168</v>
      </c>
      <c r="C43" t="s">
        <v>86</v>
      </c>
      <c r="D43" t="s">
        <v>169</v>
      </c>
      <c r="E43" t="s">
        <v>87</v>
      </c>
      <c r="F43">
        <v>13777023</v>
      </c>
      <c r="G43">
        <v>14522926</v>
      </c>
      <c r="H43">
        <v>15192270</v>
      </c>
      <c r="I43">
        <v>15776352</v>
      </c>
      <c r="J43">
        <v>15538852</v>
      </c>
      <c r="K43">
        <v>16990482</v>
      </c>
      <c r="L43">
        <v>17095000</v>
      </c>
      <c r="M43">
        <v>16486006</v>
      </c>
      <c r="N43">
        <v>16296765</v>
      </c>
      <c r="O43">
        <v>16122947</v>
      </c>
      <c r="P43">
        <v>16677730</v>
      </c>
      <c r="Q43">
        <v>17400229</v>
      </c>
      <c r="R43">
        <v>17980818</v>
      </c>
      <c r="S43">
        <v>19130197</v>
      </c>
      <c r="T43">
        <v>17935843</v>
      </c>
      <c r="U43">
        <v>18053057</v>
      </c>
      <c r="V43">
        <v>18854467</v>
      </c>
      <c r="W43">
        <v>19110131</v>
      </c>
      <c r="X43">
        <v>19772977</v>
      </c>
      <c r="Y43">
        <v>20980455</v>
      </c>
      <c r="Z43">
        <v>22033721</v>
      </c>
      <c r="AA43">
        <v>22051107</v>
      </c>
      <c r="AB43">
        <v>22699292</v>
      </c>
      <c r="AC43">
        <v>23141855</v>
      </c>
      <c r="AD43">
        <v>23721351</v>
      </c>
      <c r="AE43">
        <v>21255769</v>
      </c>
      <c r="AF43">
        <v>21649540</v>
      </c>
    </row>
    <row r="44" spans="1:32" x14ac:dyDescent="0.3">
      <c r="A44" t="s">
        <v>8</v>
      </c>
      <c r="B44" t="s">
        <v>170</v>
      </c>
      <c r="C44" t="s">
        <v>86</v>
      </c>
      <c r="D44" t="s">
        <v>171</v>
      </c>
      <c r="E44" t="s">
        <v>87</v>
      </c>
      <c r="F44">
        <v>374985159</v>
      </c>
      <c r="G44">
        <v>385877704</v>
      </c>
      <c r="H44">
        <v>396570143</v>
      </c>
      <c r="I44">
        <v>377334424</v>
      </c>
      <c r="J44">
        <v>366341825</v>
      </c>
      <c r="K44">
        <v>379114006</v>
      </c>
      <c r="L44">
        <v>373970577</v>
      </c>
      <c r="M44">
        <v>362962801</v>
      </c>
      <c r="N44">
        <v>364290225</v>
      </c>
      <c r="O44">
        <v>376079383</v>
      </c>
      <c r="P44">
        <v>394876568</v>
      </c>
      <c r="Q44">
        <v>416284900</v>
      </c>
      <c r="R44">
        <v>436120489</v>
      </c>
      <c r="S44">
        <v>452289546</v>
      </c>
      <c r="T44">
        <v>367380947</v>
      </c>
      <c r="U44">
        <v>386853320</v>
      </c>
      <c r="V44">
        <v>395216969</v>
      </c>
      <c r="W44">
        <v>399920940</v>
      </c>
      <c r="X44">
        <v>411207198</v>
      </c>
      <c r="Y44">
        <v>425975906</v>
      </c>
      <c r="Z44">
        <v>418856813</v>
      </c>
      <c r="AA44">
        <v>400315449</v>
      </c>
      <c r="AB44">
        <v>421767684</v>
      </c>
      <c r="AC44">
        <v>438679869</v>
      </c>
      <c r="AD44">
        <v>433418777</v>
      </c>
      <c r="AE44">
        <v>393121200</v>
      </c>
      <c r="AF44">
        <v>423507776</v>
      </c>
    </row>
    <row r="45" spans="1:32" x14ac:dyDescent="0.3">
      <c r="A45" t="s">
        <v>8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8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8</v>
      </c>
      <c r="B47" t="s">
        <v>176</v>
      </c>
      <c r="C47" t="s">
        <v>86</v>
      </c>
      <c r="D47" t="s">
        <v>177</v>
      </c>
      <c r="E47" t="s">
        <v>87</v>
      </c>
      <c r="F47">
        <v>10424494</v>
      </c>
      <c r="G47">
        <v>10193605</v>
      </c>
      <c r="H47">
        <v>10226383</v>
      </c>
      <c r="I47">
        <v>10310723</v>
      </c>
      <c r="J47">
        <v>10728413</v>
      </c>
      <c r="K47">
        <v>10879299</v>
      </c>
      <c r="L47">
        <v>11742199</v>
      </c>
      <c r="M47">
        <v>12182050</v>
      </c>
      <c r="N47">
        <v>12605779</v>
      </c>
      <c r="O47">
        <v>12482667</v>
      </c>
      <c r="P47">
        <v>12171414</v>
      </c>
      <c r="Q47">
        <v>11535655</v>
      </c>
      <c r="R47">
        <v>11422140</v>
      </c>
      <c r="S47">
        <v>10911197</v>
      </c>
      <c r="T47">
        <v>11246297</v>
      </c>
      <c r="U47">
        <v>12123178</v>
      </c>
      <c r="V47">
        <v>12054104</v>
      </c>
      <c r="W47">
        <v>11907636</v>
      </c>
      <c r="X47">
        <v>12517773</v>
      </c>
      <c r="Y47">
        <v>12466740</v>
      </c>
      <c r="Z47">
        <v>12567538</v>
      </c>
      <c r="AA47">
        <v>12819575</v>
      </c>
      <c r="AB47">
        <v>12262213</v>
      </c>
      <c r="AC47">
        <v>12339224</v>
      </c>
      <c r="AD47">
        <v>12931920</v>
      </c>
      <c r="AE47">
        <v>14339510</v>
      </c>
      <c r="AF47">
        <v>15548988</v>
      </c>
    </row>
    <row r="48" spans="1:32" x14ac:dyDescent="0.3">
      <c r="A48" t="s">
        <v>8</v>
      </c>
      <c r="B48" t="s">
        <v>178</v>
      </c>
      <c r="C48" t="s">
        <v>86</v>
      </c>
      <c r="D48" t="s">
        <v>179</v>
      </c>
      <c r="E48" t="s">
        <v>87</v>
      </c>
      <c r="F48">
        <v>28072057</v>
      </c>
      <c r="G48">
        <v>28371621</v>
      </c>
      <c r="H48">
        <v>28590869</v>
      </c>
      <c r="I48">
        <v>28673678</v>
      </c>
      <c r="J48">
        <v>29675632</v>
      </c>
      <c r="K48">
        <v>29841452</v>
      </c>
      <c r="L48">
        <v>31090547</v>
      </c>
      <c r="M48">
        <v>31983638</v>
      </c>
      <c r="N48">
        <v>32359262</v>
      </c>
      <c r="O48">
        <v>32388460</v>
      </c>
      <c r="P48">
        <v>32612843</v>
      </c>
      <c r="Q48">
        <v>32075549</v>
      </c>
      <c r="R48">
        <v>31539887</v>
      </c>
      <c r="S48">
        <v>31715332</v>
      </c>
      <c r="T48">
        <v>31999655</v>
      </c>
      <c r="U48">
        <v>33270233</v>
      </c>
      <c r="V48">
        <v>34617706</v>
      </c>
      <c r="W48">
        <v>34768928</v>
      </c>
      <c r="X48">
        <v>35567685</v>
      </c>
      <c r="Y48">
        <v>36434608</v>
      </c>
      <c r="Z48">
        <v>36464438</v>
      </c>
      <c r="AA48">
        <v>36566501</v>
      </c>
      <c r="AB48">
        <v>37146993</v>
      </c>
      <c r="AC48">
        <v>37602840</v>
      </c>
      <c r="AD48">
        <v>38913978</v>
      </c>
      <c r="AE48">
        <v>40612210</v>
      </c>
      <c r="AF48">
        <v>43660439</v>
      </c>
    </row>
    <row r="49" spans="1:32" x14ac:dyDescent="0.3">
      <c r="A49" t="s">
        <v>8</v>
      </c>
      <c r="B49" t="s">
        <v>180</v>
      </c>
      <c r="C49" t="s">
        <v>86</v>
      </c>
      <c r="D49" t="s">
        <v>181</v>
      </c>
      <c r="E49" t="s">
        <v>87</v>
      </c>
      <c r="F49">
        <v>2993903</v>
      </c>
      <c r="G49">
        <v>3088313</v>
      </c>
      <c r="H49">
        <v>3140747</v>
      </c>
      <c r="I49">
        <v>3111267</v>
      </c>
      <c r="J49">
        <v>3154819</v>
      </c>
      <c r="K49">
        <v>3209011</v>
      </c>
      <c r="L49">
        <v>3387055</v>
      </c>
      <c r="M49">
        <v>3514744</v>
      </c>
      <c r="N49">
        <v>3652149</v>
      </c>
      <c r="O49">
        <v>3723599</v>
      </c>
      <c r="P49">
        <v>3824899</v>
      </c>
      <c r="Q49">
        <v>3769167</v>
      </c>
      <c r="R49">
        <v>3734658</v>
      </c>
      <c r="S49">
        <v>3738827</v>
      </c>
      <c r="T49">
        <v>3744787</v>
      </c>
      <c r="U49">
        <v>3672001</v>
      </c>
      <c r="V49">
        <v>3673331</v>
      </c>
      <c r="W49">
        <v>3730872</v>
      </c>
      <c r="X49">
        <v>3746146</v>
      </c>
      <c r="Y49">
        <v>3845884</v>
      </c>
      <c r="Z49">
        <v>3912193</v>
      </c>
      <c r="AA49">
        <v>3888116</v>
      </c>
      <c r="AB49">
        <v>3940224</v>
      </c>
      <c r="AC49">
        <v>4030387</v>
      </c>
      <c r="AD49">
        <v>4072549</v>
      </c>
      <c r="AE49">
        <v>4256710</v>
      </c>
      <c r="AF49">
        <v>4238206</v>
      </c>
    </row>
    <row r="50" spans="1:32" x14ac:dyDescent="0.3">
      <c r="A50" t="s">
        <v>8</v>
      </c>
      <c r="B50" t="s">
        <v>182</v>
      </c>
      <c r="C50" t="s">
        <v>86</v>
      </c>
      <c r="D50" t="s">
        <v>183</v>
      </c>
      <c r="E50" t="s">
        <v>87</v>
      </c>
      <c r="F50">
        <v>14653660</v>
      </c>
      <c r="G50">
        <v>15089703</v>
      </c>
      <c r="H50">
        <v>15223739</v>
      </c>
      <c r="I50">
        <v>15251688</v>
      </c>
      <c r="J50">
        <v>15792400</v>
      </c>
      <c r="K50">
        <v>15753142</v>
      </c>
      <c r="L50">
        <v>15961293</v>
      </c>
      <c r="M50">
        <v>16286844</v>
      </c>
      <c r="N50">
        <v>16101334</v>
      </c>
      <c r="O50">
        <v>16182194</v>
      </c>
      <c r="P50">
        <v>16616530</v>
      </c>
      <c r="Q50">
        <v>16770727</v>
      </c>
      <c r="R50">
        <v>16383089</v>
      </c>
      <c r="S50">
        <v>17065308</v>
      </c>
      <c r="T50">
        <v>17008571</v>
      </c>
      <c r="U50">
        <v>17475054</v>
      </c>
      <c r="V50">
        <v>18890271</v>
      </c>
      <c r="W50">
        <v>19130420</v>
      </c>
      <c r="X50">
        <v>19303766</v>
      </c>
      <c r="Y50">
        <v>20121984</v>
      </c>
      <c r="Z50">
        <v>19984707</v>
      </c>
      <c r="AA50">
        <v>19858810</v>
      </c>
      <c r="AB50">
        <v>20944556</v>
      </c>
      <c r="AC50">
        <v>21233229</v>
      </c>
      <c r="AD50">
        <v>21909509</v>
      </c>
      <c r="AE50">
        <v>22015990</v>
      </c>
      <c r="AF50">
        <v>23873245</v>
      </c>
    </row>
    <row r="51" spans="1:32" x14ac:dyDescent="0.3">
      <c r="A51" t="s">
        <v>8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8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8</v>
      </c>
      <c r="B53" t="s">
        <v>188</v>
      </c>
      <c r="C53" t="s">
        <v>86</v>
      </c>
      <c r="D53" t="s">
        <v>189</v>
      </c>
      <c r="E53" t="s">
        <v>87</v>
      </c>
      <c r="F53">
        <v>4195957</v>
      </c>
      <c r="G53">
        <v>4365013</v>
      </c>
      <c r="H53">
        <v>4254325</v>
      </c>
      <c r="I53">
        <v>3916813</v>
      </c>
      <c r="J53">
        <v>3896717</v>
      </c>
      <c r="K53">
        <v>4113862</v>
      </c>
      <c r="L53">
        <v>4404425</v>
      </c>
      <c r="M53">
        <v>4179634</v>
      </c>
      <c r="N53">
        <v>4025013</v>
      </c>
      <c r="O53">
        <v>4041879</v>
      </c>
      <c r="P53">
        <v>3726316</v>
      </c>
      <c r="Q53">
        <v>3712010</v>
      </c>
      <c r="R53">
        <v>3550757</v>
      </c>
      <c r="S53">
        <v>3406283</v>
      </c>
      <c r="T53">
        <v>3329438</v>
      </c>
      <c r="U53">
        <v>3193326</v>
      </c>
      <c r="V53">
        <v>3077938</v>
      </c>
      <c r="W53">
        <v>3276679</v>
      </c>
      <c r="X53">
        <v>3376873</v>
      </c>
      <c r="Y53">
        <v>3421485</v>
      </c>
      <c r="Z53">
        <v>3397366</v>
      </c>
      <c r="AA53">
        <v>3246496</v>
      </c>
      <c r="AB53">
        <v>3219075</v>
      </c>
      <c r="AC53">
        <v>3190854</v>
      </c>
      <c r="AD53">
        <v>3104934</v>
      </c>
      <c r="AE53">
        <v>2227963</v>
      </c>
      <c r="AF53">
        <v>2334454</v>
      </c>
    </row>
    <row r="54" spans="1:32" x14ac:dyDescent="0.3">
      <c r="A54" t="s">
        <v>8</v>
      </c>
      <c r="B54" t="s">
        <v>190</v>
      </c>
      <c r="C54" t="s">
        <v>86</v>
      </c>
      <c r="D54" t="s">
        <v>191</v>
      </c>
      <c r="E54" t="s">
        <v>87</v>
      </c>
      <c r="F54">
        <v>9241458</v>
      </c>
      <c r="G54">
        <v>9706223</v>
      </c>
      <c r="H54">
        <v>9579199</v>
      </c>
      <c r="I54">
        <v>9272446</v>
      </c>
      <c r="J54">
        <v>9316999</v>
      </c>
      <c r="K54">
        <v>9891130</v>
      </c>
      <c r="L54">
        <v>9902071</v>
      </c>
      <c r="M54">
        <v>9890713</v>
      </c>
      <c r="N54">
        <v>9794779</v>
      </c>
      <c r="O54">
        <v>10368197</v>
      </c>
      <c r="P54">
        <v>9672720</v>
      </c>
      <c r="Q54">
        <v>9666361</v>
      </c>
      <c r="R54">
        <v>9617409</v>
      </c>
      <c r="S54">
        <v>9786330</v>
      </c>
      <c r="T54">
        <v>9514709</v>
      </c>
      <c r="U54">
        <v>9488377</v>
      </c>
      <c r="V54">
        <v>9671305</v>
      </c>
      <c r="W54">
        <v>10092244</v>
      </c>
      <c r="X54">
        <v>10245398</v>
      </c>
      <c r="Y54">
        <v>9970551</v>
      </c>
      <c r="Z54">
        <v>9575460</v>
      </c>
      <c r="AA54">
        <v>9240449</v>
      </c>
      <c r="AB54">
        <v>9212053</v>
      </c>
      <c r="AC54">
        <v>9294315</v>
      </c>
      <c r="AD54">
        <v>9349404</v>
      </c>
      <c r="AE54">
        <v>7702089</v>
      </c>
      <c r="AF54">
        <v>7676923</v>
      </c>
    </row>
    <row r="55" spans="1:32" x14ac:dyDescent="0.3">
      <c r="A55" t="s">
        <v>8</v>
      </c>
      <c r="B55" t="s">
        <v>192</v>
      </c>
      <c r="C55" t="s">
        <v>86</v>
      </c>
      <c r="D55" t="s">
        <v>193</v>
      </c>
      <c r="E55" t="s">
        <v>87</v>
      </c>
      <c r="F55">
        <v>5045501</v>
      </c>
      <c r="G55">
        <v>5341210</v>
      </c>
      <c r="H55">
        <v>5324874</v>
      </c>
      <c r="I55">
        <v>5355633</v>
      </c>
      <c r="J55">
        <v>5420282</v>
      </c>
      <c r="K55">
        <v>5777268</v>
      </c>
      <c r="L55">
        <v>5497646</v>
      </c>
      <c r="M55">
        <v>5711079</v>
      </c>
      <c r="N55">
        <v>5769766</v>
      </c>
      <c r="O55">
        <v>6326318</v>
      </c>
      <c r="P55">
        <v>5946404</v>
      </c>
      <c r="Q55">
        <v>5954351</v>
      </c>
      <c r="R55">
        <v>6066652</v>
      </c>
      <c r="S55">
        <v>6380047</v>
      </c>
      <c r="T55">
        <v>6185271</v>
      </c>
      <c r="U55">
        <v>6295051</v>
      </c>
      <c r="V55">
        <v>6593367</v>
      </c>
      <c r="W55">
        <v>6815565</v>
      </c>
      <c r="X55">
        <v>6868525</v>
      </c>
      <c r="Y55">
        <v>6549066</v>
      </c>
      <c r="Z55">
        <v>6178094</v>
      </c>
      <c r="AA55">
        <v>5993953</v>
      </c>
      <c r="AB55">
        <v>5992978</v>
      </c>
      <c r="AC55">
        <v>6103461</v>
      </c>
      <c r="AD55">
        <v>6244470</v>
      </c>
      <c r="AE55">
        <v>5474126</v>
      </c>
      <c r="AF55">
        <v>5342469</v>
      </c>
    </row>
    <row r="56" spans="1:32" x14ac:dyDescent="0.3">
      <c r="A56" t="s">
        <v>8</v>
      </c>
      <c r="B56" t="s">
        <v>194</v>
      </c>
      <c r="C56" t="s">
        <v>86</v>
      </c>
      <c r="D56" t="s">
        <v>195</v>
      </c>
      <c r="E56" t="s">
        <v>87</v>
      </c>
      <c r="F56">
        <v>1676713</v>
      </c>
      <c r="G56">
        <v>1807857</v>
      </c>
      <c r="H56">
        <v>1939779</v>
      </c>
      <c r="I56">
        <v>1943839</v>
      </c>
      <c r="J56">
        <v>1942876</v>
      </c>
      <c r="K56">
        <v>1987386</v>
      </c>
      <c r="L56">
        <v>2048520</v>
      </c>
      <c r="M56">
        <v>2091903</v>
      </c>
      <c r="N56">
        <v>2169006</v>
      </c>
      <c r="O56">
        <v>2187863</v>
      </c>
      <c r="P56">
        <v>2424559</v>
      </c>
      <c r="Q56">
        <v>2607959</v>
      </c>
      <c r="R56">
        <v>2798034</v>
      </c>
      <c r="S56">
        <v>2925063</v>
      </c>
      <c r="T56">
        <v>2647170</v>
      </c>
      <c r="U56">
        <v>2841820</v>
      </c>
      <c r="V56">
        <v>2932301</v>
      </c>
      <c r="W56">
        <v>2876519</v>
      </c>
      <c r="X56">
        <v>2870755</v>
      </c>
      <c r="Y56">
        <v>2879709</v>
      </c>
      <c r="Z56">
        <v>2814497</v>
      </c>
      <c r="AA56">
        <v>2765856</v>
      </c>
      <c r="AB56">
        <v>2846792</v>
      </c>
      <c r="AC56">
        <v>2909053</v>
      </c>
      <c r="AD56">
        <v>2890163</v>
      </c>
      <c r="AE56">
        <v>2564446</v>
      </c>
      <c r="AF56">
        <v>2575541</v>
      </c>
    </row>
    <row r="57" spans="1:32" x14ac:dyDescent="0.3">
      <c r="A57" t="s">
        <v>8</v>
      </c>
      <c r="B57" t="s">
        <v>196</v>
      </c>
      <c r="C57" t="s">
        <v>86</v>
      </c>
      <c r="D57" t="s">
        <v>197</v>
      </c>
      <c r="E57" t="s">
        <v>87</v>
      </c>
      <c r="F57">
        <v>412027361</v>
      </c>
      <c r="G57">
        <v>423722163</v>
      </c>
      <c r="H57">
        <v>435005207</v>
      </c>
      <c r="I57">
        <v>416337161</v>
      </c>
      <c r="J57">
        <v>406211029</v>
      </c>
      <c r="K57">
        <v>419333770</v>
      </c>
      <c r="L57">
        <v>417097414</v>
      </c>
      <c r="M57">
        <v>407859899</v>
      </c>
      <c r="N57">
        <v>409928035</v>
      </c>
      <c r="O57">
        <v>421945265</v>
      </c>
      <c r="P57">
        <v>441159567</v>
      </c>
      <c r="Q57">
        <v>462261950</v>
      </c>
      <c r="R57">
        <v>482391395</v>
      </c>
      <c r="S57">
        <v>499598917</v>
      </c>
      <c r="T57">
        <v>414561822</v>
      </c>
      <c r="U57">
        <v>436098302</v>
      </c>
      <c r="V57">
        <v>446322470</v>
      </c>
      <c r="W57">
        <v>451409253</v>
      </c>
      <c r="X57">
        <v>463627369</v>
      </c>
      <c r="Y57">
        <v>479512540</v>
      </c>
      <c r="Z57">
        <v>472393524</v>
      </c>
      <c r="AA57">
        <v>454063289</v>
      </c>
      <c r="AB57">
        <v>475552792</v>
      </c>
      <c r="AC57">
        <v>493201495</v>
      </c>
      <c r="AD57">
        <v>489616841</v>
      </c>
      <c r="AE57">
        <v>450530652</v>
      </c>
      <c r="AF57">
        <v>484209481</v>
      </c>
    </row>
    <row r="58" spans="1:32" x14ac:dyDescent="0.3">
      <c r="A58" t="s">
        <v>8</v>
      </c>
      <c r="B58" t="s">
        <v>198</v>
      </c>
      <c r="C58" t="s">
        <v>86</v>
      </c>
      <c r="D58" t="s">
        <v>199</v>
      </c>
      <c r="E58" t="s">
        <v>87</v>
      </c>
      <c r="F58">
        <v>410350648</v>
      </c>
      <c r="G58">
        <v>421914306</v>
      </c>
      <c r="H58">
        <v>433065428</v>
      </c>
      <c r="I58">
        <v>414393322</v>
      </c>
      <c r="J58">
        <v>404268153</v>
      </c>
      <c r="K58">
        <v>417346384</v>
      </c>
      <c r="L58">
        <v>415048894</v>
      </c>
      <c r="M58">
        <v>405767996</v>
      </c>
      <c r="N58">
        <v>407759029</v>
      </c>
      <c r="O58">
        <v>419757402</v>
      </c>
      <c r="P58">
        <v>438735008</v>
      </c>
      <c r="Q58">
        <v>459653991</v>
      </c>
      <c r="R58">
        <v>479593361</v>
      </c>
      <c r="S58">
        <v>496673854</v>
      </c>
      <c r="T58">
        <v>411914652</v>
      </c>
      <c r="U58">
        <v>433256482</v>
      </c>
      <c r="V58">
        <v>443390169</v>
      </c>
      <c r="W58">
        <v>448532734</v>
      </c>
      <c r="X58">
        <v>460756614</v>
      </c>
      <c r="Y58">
        <v>476632831</v>
      </c>
      <c r="Z58">
        <v>469579027</v>
      </c>
      <c r="AA58">
        <v>451297433</v>
      </c>
      <c r="AB58">
        <v>472706000</v>
      </c>
      <c r="AC58">
        <v>490292442</v>
      </c>
      <c r="AD58">
        <v>486726678</v>
      </c>
      <c r="AE58">
        <v>447966206</v>
      </c>
      <c r="AF58">
        <v>481633940</v>
      </c>
    </row>
    <row r="59" spans="1:32" x14ac:dyDescent="0.3">
      <c r="A59" t="s">
        <v>8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10</v>
      </c>
      <c r="B2" t="s">
        <v>84</v>
      </c>
      <c r="C2" t="s">
        <v>86</v>
      </c>
      <c r="D2" t="s">
        <v>85</v>
      </c>
      <c r="E2" t="s">
        <v>87</v>
      </c>
      <c r="F2">
        <v>9109503</v>
      </c>
      <c r="G2">
        <v>9309966</v>
      </c>
      <c r="H2">
        <v>8852367</v>
      </c>
      <c r="I2">
        <v>8595381</v>
      </c>
      <c r="J2">
        <v>8707828</v>
      </c>
      <c r="K2">
        <v>9070226</v>
      </c>
      <c r="L2">
        <v>7647013</v>
      </c>
      <c r="M2">
        <v>7847658</v>
      </c>
      <c r="N2">
        <v>6668003</v>
      </c>
      <c r="O2">
        <v>6260784</v>
      </c>
      <c r="P2">
        <v>6674233</v>
      </c>
      <c r="Q2">
        <v>6033088</v>
      </c>
      <c r="R2">
        <v>6361455</v>
      </c>
      <c r="S2">
        <v>6336763</v>
      </c>
      <c r="T2">
        <v>5365990</v>
      </c>
      <c r="U2">
        <v>5318339</v>
      </c>
      <c r="V2">
        <v>5933458</v>
      </c>
      <c r="W2">
        <v>5568288</v>
      </c>
      <c r="X2">
        <v>5783360</v>
      </c>
      <c r="Y2">
        <v>5386684</v>
      </c>
      <c r="Z2">
        <v>5240094</v>
      </c>
      <c r="AA2">
        <v>5419880</v>
      </c>
      <c r="AB2">
        <v>6495302</v>
      </c>
      <c r="AC2">
        <v>6143505</v>
      </c>
      <c r="AD2">
        <v>6409565</v>
      </c>
      <c r="AE2">
        <v>5746269</v>
      </c>
      <c r="AF2">
        <v>6176911</v>
      </c>
    </row>
    <row r="3" spans="1:32" x14ac:dyDescent="0.3">
      <c r="A3" t="s">
        <v>10</v>
      </c>
      <c r="B3" t="s">
        <v>88</v>
      </c>
      <c r="C3" t="s">
        <v>86</v>
      </c>
      <c r="D3" t="s">
        <v>89</v>
      </c>
      <c r="E3" t="s">
        <v>87</v>
      </c>
      <c r="F3">
        <v>804958</v>
      </c>
      <c r="G3">
        <v>896684</v>
      </c>
      <c r="H3">
        <v>804543</v>
      </c>
      <c r="I3">
        <v>743690</v>
      </c>
      <c r="J3">
        <v>707324</v>
      </c>
      <c r="K3">
        <v>698141</v>
      </c>
      <c r="L3">
        <v>641577</v>
      </c>
      <c r="M3">
        <v>554426</v>
      </c>
      <c r="N3">
        <v>508817</v>
      </c>
      <c r="O3">
        <v>411177</v>
      </c>
      <c r="P3">
        <v>418219</v>
      </c>
      <c r="Q3">
        <v>397005</v>
      </c>
      <c r="R3">
        <v>367634</v>
      </c>
      <c r="S3">
        <v>344928</v>
      </c>
      <c r="T3">
        <v>200206</v>
      </c>
      <c r="U3">
        <v>306731</v>
      </c>
      <c r="V3">
        <v>317706</v>
      </c>
      <c r="W3">
        <v>297836</v>
      </c>
      <c r="X3">
        <v>352619</v>
      </c>
      <c r="Y3">
        <v>366950</v>
      </c>
      <c r="Z3">
        <v>378725</v>
      </c>
      <c r="AA3">
        <v>376054</v>
      </c>
      <c r="AB3">
        <v>392854</v>
      </c>
      <c r="AC3">
        <v>377704</v>
      </c>
      <c r="AD3">
        <v>363297</v>
      </c>
      <c r="AE3">
        <v>364036</v>
      </c>
      <c r="AF3">
        <v>362074</v>
      </c>
    </row>
    <row r="4" spans="1:32" x14ac:dyDescent="0.3">
      <c r="A4" t="s">
        <v>10</v>
      </c>
      <c r="B4" t="s">
        <v>90</v>
      </c>
      <c r="C4" t="s">
        <v>86</v>
      </c>
      <c r="D4" t="s">
        <v>91</v>
      </c>
      <c r="E4" t="s">
        <v>87</v>
      </c>
      <c r="F4">
        <v>126341190</v>
      </c>
      <c r="G4">
        <v>127837646</v>
      </c>
      <c r="H4">
        <v>128521927</v>
      </c>
      <c r="I4">
        <v>122206333</v>
      </c>
      <c r="J4">
        <v>121828694</v>
      </c>
      <c r="K4">
        <v>124810198</v>
      </c>
      <c r="L4">
        <v>114355520</v>
      </c>
      <c r="M4">
        <v>111113490</v>
      </c>
      <c r="N4">
        <v>113722024</v>
      </c>
      <c r="O4">
        <v>115854421</v>
      </c>
      <c r="P4">
        <v>117609357</v>
      </c>
      <c r="Q4">
        <v>118765815</v>
      </c>
      <c r="R4">
        <v>120753786</v>
      </c>
      <c r="S4">
        <v>117988610</v>
      </c>
      <c r="T4">
        <v>92437727</v>
      </c>
      <c r="U4">
        <v>109978744</v>
      </c>
      <c r="V4">
        <v>102107324</v>
      </c>
      <c r="W4">
        <v>99495670</v>
      </c>
      <c r="X4">
        <v>98150176</v>
      </c>
      <c r="Y4">
        <v>100869021</v>
      </c>
      <c r="Z4">
        <v>104877022</v>
      </c>
      <c r="AA4">
        <v>110498762</v>
      </c>
      <c r="AB4">
        <v>115305219</v>
      </c>
      <c r="AC4">
        <v>117171655</v>
      </c>
      <c r="AD4">
        <v>112979784</v>
      </c>
      <c r="AE4">
        <v>106262042</v>
      </c>
      <c r="AF4">
        <v>116130594</v>
      </c>
    </row>
    <row r="5" spans="1:32" x14ac:dyDescent="0.3">
      <c r="A5" t="s">
        <v>10</v>
      </c>
      <c r="B5" t="s">
        <v>92</v>
      </c>
      <c r="C5" t="s">
        <v>86</v>
      </c>
      <c r="D5" t="s">
        <v>93</v>
      </c>
      <c r="E5" t="s">
        <v>87</v>
      </c>
      <c r="F5">
        <v>14411341</v>
      </c>
      <c r="G5">
        <v>13819482</v>
      </c>
      <c r="H5">
        <v>13434203</v>
      </c>
      <c r="I5">
        <v>13973811</v>
      </c>
      <c r="J5">
        <v>13963820</v>
      </c>
      <c r="K5">
        <v>14350341</v>
      </c>
      <c r="L5">
        <v>14697829</v>
      </c>
      <c r="M5">
        <v>14253614</v>
      </c>
      <c r="N5">
        <v>14278560</v>
      </c>
      <c r="O5">
        <v>14054129</v>
      </c>
      <c r="P5">
        <v>13528581</v>
      </c>
      <c r="Q5">
        <v>13161880</v>
      </c>
      <c r="R5">
        <v>13120124</v>
      </c>
      <c r="S5">
        <v>12244882</v>
      </c>
      <c r="T5">
        <v>11648360</v>
      </c>
      <c r="U5">
        <v>12909748</v>
      </c>
      <c r="V5">
        <v>12044176</v>
      </c>
      <c r="W5">
        <v>12435428</v>
      </c>
      <c r="X5">
        <v>12467433</v>
      </c>
      <c r="Y5">
        <v>12320602</v>
      </c>
      <c r="Z5">
        <v>13032506</v>
      </c>
      <c r="AA5">
        <v>13722530</v>
      </c>
      <c r="AB5">
        <v>14230263</v>
      </c>
      <c r="AC5">
        <v>13840487</v>
      </c>
      <c r="AD5">
        <v>13737976</v>
      </c>
      <c r="AE5">
        <v>12899801</v>
      </c>
      <c r="AF5">
        <v>13622409</v>
      </c>
    </row>
    <row r="6" spans="1:32" x14ac:dyDescent="0.3">
      <c r="A6" t="s">
        <v>10</v>
      </c>
      <c r="B6" t="s">
        <v>94</v>
      </c>
      <c r="C6" t="s">
        <v>86</v>
      </c>
      <c r="D6" t="s">
        <v>95</v>
      </c>
      <c r="E6" t="s">
        <v>87</v>
      </c>
      <c r="F6">
        <v>4777742</v>
      </c>
      <c r="G6">
        <v>4436589</v>
      </c>
      <c r="H6">
        <v>4050158</v>
      </c>
      <c r="I6">
        <v>3753776</v>
      </c>
      <c r="J6">
        <v>3234151</v>
      </c>
      <c r="K6">
        <v>3014307</v>
      </c>
      <c r="L6">
        <v>2581757</v>
      </c>
      <c r="M6">
        <v>2271250</v>
      </c>
      <c r="N6">
        <v>2163882</v>
      </c>
      <c r="O6">
        <v>1992580</v>
      </c>
      <c r="P6">
        <v>1765434</v>
      </c>
      <c r="Q6">
        <v>1713737</v>
      </c>
      <c r="R6">
        <v>1717549</v>
      </c>
      <c r="S6">
        <v>1657104</v>
      </c>
      <c r="T6">
        <v>1277071</v>
      </c>
      <c r="U6">
        <v>1312093</v>
      </c>
      <c r="V6">
        <v>1321355</v>
      </c>
      <c r="W6">
        <v>1272778</v>
      </c>
      <c r="X6">
        <v>1252662</v>
      </c>
      <c r="Y6">
        <v>1246884</v>
      </c>
      <c r="Z6">
        <v>1432737</v>
      </c>
      <c r="AA6">
        <v>1235475</v>
      </c>
      <c r="AB6">
        <v>1261184</v>
      </c>
      <c r="AC6">
        <v>1314786</v>
      </c>
      <c r="AD6">
        <v>1283296</v>
      </c>
      <c r="AE6">
        <v>1183104</v>
      </c>
      <c r="AF6">
        <v>1099813</v>
      </c>
    </row>
    <row r="7" spans="1:32" x14ac:dyDescent="0.3">
      <c r="A7" t="s">
        <v>10</v>
      </c>
      <c r="B7" t="s">
        <v>96</v>
      </c>
      <c r="C7" t="s">
        <v>86</v>
      </c>
      <c r="D7" t="s">
        <v>97</v>
      </c>
      <c r="E7" t="s">
        <v>87</v>
      </c>
      <c r="F7">
        <v>9009507</v>
      </c>
      <c r="G7">
        <v>9011417</v>
      </c>
      <c r="H7">
        <v>8859679</v>
      </c>
      <c r="I7">
        <v>8892625</v>
      </c>
      <c r="J7">
        <v>8175612</v>
      </c>
      <c r="K7">
        <v>8431925</v>
      </c>
      <c r="L7">
        <v>8033991</v>
      </c>
      <c r="M7">
        <v>7548675</v>
      </c>
      <c r="N7">
        <v>7283195</v>
      </c>
      <c r="O7">
        <v>7280606</v>
      </c>
      <c r="P7">
        <v>7553912</v>
      </c>
      <c r="Q7">
        <v>7024972</v>
      </c>
      <c r="R7">
        <v>6571091</v>
      </c>
      <c r="S7">
        <v>6228608</v>
      </c>
      <c r="T7">
        <v>5422017</v>
      </c>
      <c r="U7">
        <v>6121558</v>
      </c>
      <c r="V7">
        <v>5594537</v>
      </c>
      <c r="W7">
        <v>5305625</v>
      </c>
      <c r="X7">
        <v>5513578</v>
      </c>
      <c r="Y7">
        <v>5401186</v>
      </c>
      <c r="Z7">
        <v>5983903</v>
      </c>
      <c r="AA7">
        <v>5891589</v>
      </c>
      <c r="AB7">
        <v>6156317</v>
      </c>
      <c r="AC7">
        <v>5947073</v>
      </c>
      <c r="AD7">
        <v>5789457</v>
      </c>
      <c r="AE7">
        <v>5354212</v>
      </c>
      <c r="AF7">
        <v>5578686</v>
      </c>
    </row>
    <row r="8" spans="1:32" x14ac:dyDescent="0.3">
      <c r="A8" t="s">
        <v>10</v>
      </c>
      <c r="B8" t="s">
        <v>98</v>
      </c>
      <c r="C8" t="s">
        <v>86</v>
      </c>
      <c r="D8" t="s">
        <v>99</v>
      </c>
      <c r="E8" t="s">
        <v>87</v>
      </c>
      <c r="F8">
        <v>5450807</v>
      </c>
      <c r="G8">
        <v>6280547</v>
      </c>
      <c r="H8">
        <v>6206312</v>
      </c>
      <c r="I8">
        <v>5458046</v>
      </c>
      <c r="J8">
        <v>5379308</v>
      </c>
      <c r="K8">
        <v>5742023</v>
      </c>
      <c r="L8">
        <v>5117030</v>
      </c>
      <c r="M8">
        <v>4947920</v>
      </c>
      <c r="N8">
        <v>4984823</v>
      </c>
      <c r="O8">
        <v>4836090</v>
      </c>
      <c r="P8">
        <v>5170290</v>
      </c>
      <c r="Q8">
        <v>5334950</v>
      </c>
      <c r="R8">
        <v>4970800</v>
      </c>
      <c r="S8">
        <v>4904236</v>
      </c>
      <c r="T8">
        <v>5190222</v>
      </c>
      <c r="U8">
        <v>4816240</v>
      </c>
      <c r="V8">
        <v>4810421</v>
      </c>
      <c r="W8">
        <v>4834517</v>
      </c>
      <c r="X8">
        <v>5738216</v>
      </c>
      <c r="Y8">
        <v>4561657</v>
      </c>
      <c r="Z8">
        <v>4081183</v>
      </c>
      <c r="AA8">
        <v>5327368</v>
      </c>
      <c r="AB8">
        <v>5781087</v>
      </c>
      <c r="AC8">
        <v>5836996</v>
      </c>
      <c r="AD8">
        <v>5592465</v>
      </c>
      <c r="AE8">
        <v>5584188</v>
      </c>
      <c r="AF8">
        <v>6628242</v>
      </c>
    </row>
    <row r="9" spans="1:32" x14ac:dyDescent="0.3">
      <c r="A9" t="s">
        <v>10</v>
      </c>
      <c r="B9" t="s">
        <v>100</v>
      </c>
      <c r="C9" t="s">
        <v>86</v>
      </c>
      <c r="D9" t="s">
        <v>101</v>
      </c>
      <c r="E9" t="s">
        <v>87</v>
      </c>
      <c r="F9">
        <v>7519705</v>
      </c>
      <c r="G9">
        <v>8242714</v>
      </c>
      <c r="H9">
        <v>8120187</v>
      </c>
      <c r="I9">
        <v>7500831</v>
      </c>
      <c r="J9">
        <v>7821331</v>
      </c>
      <c r="K9">
        <v>6901110</v>
      </c>
      <c r="L9">
        <v>6890146</v>
      </c>
      <c r="M9">
        <v>6858794</v>
      </c>
      <c r="N9">
        <v>6656749</v>
      </c>
      <c r="O9">
        <v>6345304</v>
      </c>
      <c r="P9">
        <v>6430588</v>
      </c>
      <c r="Q9">
        <v>6259207</v>
      </c>
      <c r="R9">
        <v>6133980</v>
      </c>
      <c r="S9">
        <v>5917672</v>
      </c>
      <c r="T9">
        <v>5165352</v>
      </c>
      <c r="U9">
        <v>6214215</v>
      </c>
      <c r="V9">
        <v>5797783</v>
      </c>
      <c r="W9">
        <v>6015979</v>
      </c>
      <c r="X9">
        <v>5941068</v>
      </c>
      <c r="Y9">
        <v>5903128</v>
      </c>
      <c r="Z9">
        <v>6652887</v>
      </c>
      <c r="AA9">
        <v>7743358</v>
      </c>
      <c r="AB9">
        <v>7511558</v>
      </c>
      <c r="AC9">
        <v>7771167</v>
      </c>
      <c r="AD9">
        <v>8208437</v>
      </c>
      <c r="AE9">
        <v>7907817</v>
      </c>
      <c r="AF9">
        <v>7783095</v>
      </c>
    </row>
    <row r="10" spans="1:32" x14ac:dyDescent="0.3">
      <c r="A10" t="s">
        <v>10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10</v>
      </c>
      <c r="B11" t="s">
        <v>104</v>
      </c>
      <c r="C11" t="s">
        <v>86</v>
      </c>
      <c r="D11" t="s">
        <v>105</v>
      </c>
      <c r="E11" t="s">
        <v>87</v>
      </c>
      <c r="F11">
        <v>3799380</v>
      </c>
      <c r="G11">
        <v>3832665</v>
      </c>
      <c r="H11">
        <v>3805741</v>
      </c>
      <c r="I11">
        <v>3830250</v>
      </c>
      <c r="J11">
        <v>3947688</v>
      </c>
      <c r="K11">
        <v>4411940</v>
      </c>
      <c r="L11">
        <v>4225320</v>
      </c>
      <c r="M11">
        <v>4423780</v>
      </c>
      <c r="N11">
        <v>4554723</v>
      </c>
      <c r="O11">
        <v>4596714</v>
      </c>
      <c r="P11">
        <v>4337638</v>
      </c>
      <c r="Q11">
        <v>4648631</v>
      </c>
      <c r="R11">
        <v>4383828</v>
      </c>
      <c r="S11">
        <v>4562822</v>
      </c>
      <c r="T11">
        <v>4266090</v>
      </c>
      <c r="U11">
        <v>4959104</v>
      </c>
      <c r="V11">
        <v>4691191</v>
      </c>
      <c r="W11">
        <v>4537857</v>
      </c>
      <c r="X11">
        <v>4379184</v>
      </c>
      <c r="Y11">
        <v>4156091</v>
      </c>
      <c r="Z11">
        <v>4226034</v>
      </c>
      <c r="AA11">
        <v>4779945</v>
      </c>
      <c r="AB11">
        <v>4705696</v>
      </c>
      <c r="AC11">
        <v>4878113</v>
      </c>
      <c r="AD11">
        <v>4489294</v>
      </c>
      <c r="AE11">
        <v>4969183</v>
      </c>
      <c r="AF11">
        <v>4780791</v>
      </c>
    </row>
    <row r="12" spans="1:32" x14ac:dyDescent="0.3">
      <c r="A12" t="s">
        <v>10</v>
      </c>
      <c r="B12" t="s">
        <v>106</v>
      </c>
      <c r="C12" t="s">
        <v>86</v>
      </c>
      <c r="D12" t="s">
        <v>107</v>
      </c>
      <c r="E12" t="s">
        <v>87</v>
      </c>
      <c r="F12">
        <v>10159414</v>
      </c>
      <c r="G12">
        <v>9951275</v>
      </c>
      <c r="H12">
        <v>9734619</v>
      </c>
      <c r="I12">
        <v>9131991</v>
      </c>
      <c r="J12">
        <v>8830228</v>
      </c>
      <c r="K12">
        <v>9407015</v>
      </c>
      <c r="L12">
        <v>8538395</v>
      </c>
      <c r="M12">
        <v>8092780</v>
      </c>
      <c r="N12">
        <v>8376166</v>
      </c>
      <c r="O12">
        <v>8887347</v>
      </c>
      <c r="P12">
        <v>8638617</v>
      </c>
      <c r="Q12">
        <v>8481428</v>
      </c>
      <c r="R12">
        <v>9015006</v>
      </c>
      <c r="S12">
        <v>8568965</v>
      </c>
      <c r="T12">
        <v>6058037</v>
      </c>
      <c r="U12">
        <v>8058597</v>
      </c>
      <c r="V12">
        <v>7953840</v>
      </c>
      <c r="W12">
        <v>7360498</v>
      </c>
      <c r="X12">
        <v>7695031</v>
      </c>
      <c r="Y12">
        <v>7713656</v>
      </c>
      <c r="Z12">
        <v>8012900</v>
      </c>
      <c r="AA12">
        <v>8266897</v>
      </c>
      <c r="AB12">
        <v>9052911</v>
      </c>
      <c r="AC12">
        <v>8987013</v>
      </c>
      <c r="AD12">
        <v>8639882</v>
      </c>
      <c r="AE12">
        <v>8734033</v>
      </c>
      <c r="AF12">
        <v>9783285</v>
      </c>
    </row>
    <row r="13" spans="1:32" x14ac:dyDescent="0.3">
      <c r="A13" t="s">
        <v>10</v>
      </c>
      <c r="B13" t="s">
        <v>108</v>
      </c>
      <c r="C13" t="s">
        <v>86</v>
      </c>
      <c r="D13" t="s">
        <v>109</v>
      </c>
      <c r="E13" t="s">
        <v>87</v>
      </c>
      <c r="F13">
        <v>15593631</v>
      </c>
      <c r="G13">
        <v>15674823</v>
      </c>
      <c r="H13">
        <v>15819071</v>
      </c>
      <c r="I13">
        <v>14114383</v>
      </c>
      <c r="J13">
        <v>13795564</v>
      </c>
      <c r="K13">
        <v>14267761</v>
      </c>
      <c r="L13">
        <v>13186747</v>
      </c>
      <c r="M13">
        <v>12013748</v>
      </c>
      <c r="N13">
        <v>12046473</v>
      </c>
      <c r="O13">
        <v>12540048</v>
      </c>
      <c r="P13">
        <v>13799234</v>
      </c>
      <c r="Q13">
        <v>14859058</v>
      </c>
      <c r="R13">
        <v>14905958</v>
      </c>
      <c r="S13">
        <v>14835750</v>
      </c>
      <c r="T13">
        <v>11501682</v>
      </c>
      <c r="U13">
        <v>15208093</v>
      </c>
      <c r="V13">
        <v>12475120</v>
      </c>
      <c r="W13">
        <v>13313034</v>
      </c>
      <c r="X13">
        <v>13889680</v>
      </c>
      <c r="Y13">
        <v>13925536</v>
      </c>
      <c r="Z13">
        <v>14381298</v>
      </c>
      <c r="AA13">
        <v>15092133</v>
      </c>
      <c r="AB13">
        <v>15682980</v>
      </c>
      <c r="AC13">
        <v>15232625</v>
      </c>
      <c r="AD13">
        <v>15045143</v>
      </c>
      <c r="AE13">
        <v>13718815</v>
      </c>
      <c r="AF13">
        <v>15812876</v>
      </c>
    </row>
    <row r="14" spans="1:32" x14ac:dyDescent="0.3">
      <c r="A14" t="s">
        <v>10</v>
      </c>
      <c r="B14" t="s">
        <v>110</v>
      </c>
      <c r="C14" t="s">
        <v>86</v>
      </c>
      <c r="D14" t="s">
        <v>111</v>
      </c>
      <c r="E14" t="s">
        <v>87</v>
      </c>
      <c r="F14">
        <v>17728783</v>
      </c>
      <c r="G14">
        <v>18863940</v>
      </c>
      <c r="H14">
        <v>19303103</v>
      </c>
      <c r="I14">
        <v>17732249</v>
      </c>
      <c r="J14">
        <v>18499305</v>
      </c>
      <c r="K14">
        <v>20111567</v>
      </c>
      <c r="L14">
        <v>16468912</v>
      </c>
      <c r="M14">
        <v>15904090</v>
      </c>
      <c r="N14">
        <v>17633152</v>
      </c>
      <c r="O14">
        <v>17715329</v>
      </c>
      <c r="P14">
        <v>17155421</v>
      </c>
      <c r="Q14">
        <v>17189397</v>
      </c>
      <c r="R14">
        <v>18070823</v>
      </c>
      <c r="S14">
        <v>17148701</v>
      </c>
      <c r="T14">
        <v>12943344</v>
      </c>
      <c r="U14">
        <v>14747186</v>
      </c>
      <c r="V14">
        <v>13073487</v>
      </c>
      <c r="W14">
        <v>11029516</v>
      </c>
      <c r="X14">
        <v>9895721</v>
      </c>
      <c r="Y14">
        <v>10897635</v>
      </c>
      <c r="Z14">
        <v>11085768</v>
      </c>
      <c r="AA14">
        <v>11344198</v>
      </c>
      <c r="AB14">
        <v>10702534</v>
      </c>
      <c r="AC14">
        <v>12007879</v>
      </c>
      <c r="AD14">
        <v>11106521</v>
      </c>
      <c r="AE14">
        <v>10804595</v>
      </c>
      <c r="AF14">
        <v>12221331</v>
      </c>
    </row>
    <row r="15" spans="1:32" x14ac:dyDescent="0.3">
      <c r="A15" t="s">
        <v>10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10</v>
      </c>
      <c r="B16" t="s">
        <v>114</v>
      </c>
      <c r="C16" t="s">
        <v>86</v>
      </c>
      <c r="D16" t="s">
        <v>115</v>
      </c>
      <c r="E16" t="s">
        <v>87</v>
      </c>
      <c r="F16">
        <v>9747658</v>
      </c>
      <c r="G16">
        <v>9318764</v>
      </c>
      <c r="H16">
        <v>9569532</v>
      </c>
      <c r="I16">
        <v>8930507</v>
      </c>
      <c r="J16">
        <v>8392767</v>
      </c>
      <c r="K16">
        <v>8783906</v>
      </c>
      <c r="L16">
        <v>7751029</v>
      </c>
      <c r="M16">
        <v>7184592</v>
      </c>
      <c r="N16">
        <v>7497307</v>
      </c>
      <c r="O16">
        <v>7593262</v>
      </c>
      <c r="P16">
        <v>7584832</v>
      </c>
      <c r="Q16">
        <v>8026284</v>
      </c>
      <c r="R16">
        <v>8044219</v>
      </c>
      <c r="S16">
        <v>7394396</v>
      </c>
      <c r="T16">
        <v>5787310</v>
      </c>
      <c r="U16">
        <v>7029815</v>
      </c>
      <c r="V16">
        <v>6612227</v>
      </c>
      <c r="W16">
        <v>6204942</v>
      </c>
      <c r="X16">
        <v>5937689</v>
      </c>
      <c r="Y16">
        <v>6733507</v>
      </c>
      <c r="Z16">
        <v>6568713</v>
      </c>
      <c r="AA16">
        <v>6710396</v>
      </c>
      <c r="AB16">
        <v>7465361</v>
      </c>
      <c r="AC16">
        <v>7771108</v>
      </c>
      <c r="AD16">
        <v>7476641</v>
      </c>
      <c r="AE16">
        <v>6812294</v>
      </c>
      <c r="AF16">
        <v>7097398</v>
      </c>
    </row>
    <row r="17" spans="1:32" x14ac:dyDescent="0.3">
      <c r="A17" t="s">
        <v>10</v>
      </c>
      <c r="B17" t="s">
        <v>116</v>
      </c>
      <c r="C17" t="s">
        <v>86</v>
      </c>
      <c r="D17" t="s">
        <v>117</v>
      </c>
      <c r="E17" t="s">
        <v>87</v>
      </c>
      <c r="F17">
        <v>12032779</v>
      </c>
      <c r="G17">
        <v>12524807</v>
      </c>
      <c r="H17">
        <v>13178932</v>
      </c>
      <c r="I17">
        <v>12428068</v>
      </c>
      <c r="J17">
        <v>12104240</v>
      </c>
      <c r="K17">
        <v>12459044</v>
      </c>
      <c r="L17">
        <v>11293900</v>
      </c>
      <c r="M17">
        <v>10246993</v>
      </c>
      <c r="N17">
        <v>10989252</v>
      </c>
      <c r="O17">
        <v>11934314</v>
      </c>
      <c r="P17">
        <v>12365189</v>
      </c>
      <c r="Q17">
        <v>13240759</v>
      </c>
      <c r="R17">
        <v>13960806</v>
      </c>
      <c r="S17">
        <v>14427482</v>
      </c>
      <c r="T17">
        <v>9450527</v>
      </c>
      <c r="U17">
        <v>11333507</v>
      </c>
      <c r="V17">
        <v>12334614</v>
      </c>
      <c r="W17">
        <v>11572966</v>
      </c>
      <c r="X17">
        <v>11320227</v>
      </c>
      <c r="Y17">
        <v>12023432</v>
      </c>
      <c r="Z17">
        <v>12895195</v>
      </c>
      <c r="AA17">
        <v>13024242</v>
      </c>
      <c r="AB17">
        <v>14712685</v>
      </c>
      <c r="AC17">
        <v>15429393</v>
      </c>
      <c r="AD17">
        <v>14636905</v>
      </c>
      <c r="AE17">
        <v>13159452</v>
      </c>
      <c r="AF17">
        <v>15265647</v>
      </c>
    </row>
    <row r="18" spans="1:32" x14ac:dyDescent="0.3">
      <c r="A18" t="s">
        <v>10</v>
      </c>
      <c r="B18" t="s">
        <v>118</v>
      </c>
      <c r="C18" t="s">
        <v>86</v>
      </c>
      <c r="D18" t="s">
        <v>119</v>
      </c>
      <c r="E18" t="s">
        <v>87</v>
      </c>
      <c r="F18">
        <v>12874070</v>
      </c>
      <c r="G18">
        <v>12373054</v>
      </c>
      <c r="H18">
        <v>12804641</v>
      </c>
      <c r="I18">
        <v>13264742</v>
      </c>
      <c r="J18">
        <v>14429420</v>
      </c>
      <c r="K18">
        <v>13857413</v>
      </c>
      <c r="L18">
        <v>12774713</v>
      </c>
      <c r="M18">
        <v>14590147</v>
      </c>
      <c r="N18">
        <v>14682263</v>
      </c>
      <c r="O18">
        <v>15641262</v>
      </c>
      <c r="P18">
        <v>16824339</v>
      </c>
      <c r="Q18">
        <v>16510784</v>
      </c>
      <c r="R18">
        <v>17563040</v>
      </c>
      <c r="S18">
        <v>17847765</v>
      </c>
      <c r="T18">
        <v>12035116</v>
      </c>
      <c r="U18">
        <v>15341606</v>
      </c>
      <c r="V18">
        <v>13485768</v>
      </c>
      <c r="W18">
        <v>13809624</v>
      </c>
      <c r="X18">
        <v>12212425</v>
      </c>
      <c r="Y18">
        <v>14011792</v>
      </c>
      <c r="Z18">
        <v>14547342</v>
      </c>
      <c r="AA18">
        <v>15496261</v>
      </c>
      <c r="AB18">
        <v>15880177</v>
      </c>
      <c r="AC18">
        <v>15918760</v>
      </c>
      <c r="AD18">
        <v>14752736</v>
      </c>
      <c r="AE18">
        <v>13012025</v>
      </c>
      <c r="AF18">
        <v>13804377</v>
      </c>
    </row>
    <row r="19" spans="1:32" x14ac:dyDescent="0.3">
      <c r="A19" t="s">
        <v>10</v>
      </c>
      <c r="B19" t="s">
        <v>120</v>
      </c>
      <c r="C19" t="s">
        <v>86</v>
      </c>
      <c r="D19" t="s">
        <v>121</v>
      </c>
      <c r="E19" t="s">
        <v>87</v>
      </c>
      <c r="F19">
        <v>3236373</v>
      </c>
      <c r="G19">
        <v>3507569</v>
      </c>
      <c r="H19">
        <v>3635749</v>
      </c>
      <c r="I19">
        <v>3195054</v>
      </c>
      <c r="J19">
        <v>3255260</v>
      </c>
      <c r="K19">
        <v>3071846</v>
      </c>
      <c r="L19">
        <v>2795751</v>
      </c>
      <c r="M19">
        <v>2777107</v>
      </c>
      <c r="N19">
        <v>2575479</v>
      </c>
      <c r="O19">
        <v>2437436</v>
      </c>
      <c r="P19">
        <v>2455282</v>
      </c>
      <c r="Q19">
        <v>2314728</v>
      </c>
      <c r="R19">
        <v>2296562</v>
      </c>
      <c r="S19">
        <v>2250227</v>
      </c>
      <c r="T19">
        <v>1692599</v>
      </c>
      <c r="U19">
        <v>1926982</v>
      </c>
      <c r="V19">
        <v>1912805</v>
      </c>
      <c r="W19">
        <v>1802906</v>
      </c>
      <c r="X19">
        <v>1907262</v>
      </c>
      <c r="Y19">
        <v>1973915</v>
      </c>
      <c r="Z19">
        <v>1976556</v>
      </c>
      <c r="AA19">
        <v>1864370</v>
      </c>
      <c r="AB19">
        <v>2162466</v>
      </c>
      <c r="AC19">
        <v>2236255</v>
      </c>
      <c r="AD19">
        <v>2221031</v>
      </c>
      <c r="AE19">
        <v>2122523</v>
      </c>
      <c r="AF19">
        <v>2652644</v>
      </c>
    </row>
    <row r="20" spans="1:32" x14ac:dyDescent="0.3">
      <c r="A20" t="s">
        <v>10</v>
      </c>
      <c r="B20" t="s">
        <v>122</v>
      </c>
      <c r="C20" t="s">
        <v>86</v>
      </c>
      <c r="D20" t="s">
        <v>123</v>
      </c>
      <c r="E20" t="s">
        <v>87</v>
      </c>
      <c r="F20">
        <v>10786279</v>
      </c>
      <c r="G20">
        <v>11765108</v>
      </c>
      <c r="H20">
        <v>11214897</v>
      </c>
      <c r="I20">
        <v>12020346</v>
      </c>
      <c r="J20">
        <v>12007212</v>
      </c>
      <c r="K20">
        <v>12020700</v>
      </c>
      <c r="L20">
        <v>11734963</v>
      </c>
      <c r="M20">
        <v>11474588</v>
      </c>
      <c r="N20">
        <v>10933100</v>
      </c>
      <c r="O20">
        <v>10759082</v>
      </c>
      <c r="P20">
        <v>11148655</v>
      </c>
      <c r="Q20">
        <v>9343273</v>
      </c>
      <c r="R20">
        <v>7868609</v>
      </c>
      <c r="S20">
        <v>8260230</v>
      </c>
      <c r="T20">
        <v>4363173</v>
      </c>
      <c r="U20">
        <v>9622010</v>
      </c>
      <c r="V20">
        <v>6325399</v>
      </c>
      <c r="W20">
        <v>3722939</v>
      </c>
      <c r="X20">
        <v>5070102</v>
      </c>
      <c r="Y20">
        <v>5537464</v>
      </c>
      <c r="Z20">
        <v>6055661</v>
      </c>
      <c r="AA20">
        <v>8285481</v>
      </c>
      <c r="AB20">
        <v>9577712</v>
      </c>
      <c r="AC20">
        <v>8892716</v>
      </c>
      <c r="AD20">
        <v>8222319</v>
      </c>
      <c r="AE20">
        <v>8619736</v>
      </c>
      <c r="AF20">
        <v>9333451</v>
      </c>
    </row>
    <row r="21" spans="1:32" x14ac:dyDescent="0.3">
      <c r="A21" t="s">
        <v>10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10</v>
      </c>
      <c r="B22" t="s">
        <v>126</v>
      </c>
      <c r="C22" t="s">
        <v>86</v>
      </c>
      <c r="D22" t="s">
        <v>127</v>
      </c>
      <c r="E22" t="s">
        <v>87</v>
      </c>
      <c r="F22">
        <v>5344700</v>
      </c>
      <c r="G22">
        <v>5552276</v>
      </c>
      <c r="H22">
        <v>5752854</v>
      </c>
      <c r="I22">
        <v>6030769</v>
      </c>
      <c r="J22">
        <v>6276299</v>
      </c>
      <c r="K22">
        <v>6189999</v>
      </c>
      <c r="L22">
        <v>6238993</v>
      </c>
      <c r="M22">
        <v>6277361</v>
      </c>
      <c r="N22">
        <v>6418672</v>
      </c>
      <c r="O22">
        <v>6435339</v>
      </c>
      <c r="P22">
        <v>6501459</v>
      </c>
      <c r="Q22">
        <v>6492639</v>
      </c>
      <c r="R22">
        <v>6602395</v>
      </c>
      <c r="S22">
        <v>6600401</v>
      </c>
      <c r="T22">
        <v>6484955</v>
      </c>
      <c r="U22">
        <v>6481841</v>
      </c>
      <c r="V22">
        <v>6580578</v>
      </c>
      <c r="W22">
        <v>6494476</v>
      </c>
      <c r="X22">
        <v>6574188</v>
      </c>
      <c r="Y22">
        <v>6750260</v>
      </c>
      <c r="Z22">
        <v>6865205</v>
      </c>
      <c r="AA22">
        <v>7041024</v>
      </c>
      <c r="AB22">
        <v>7573364</v>
      </c>
      <c r="AC22">
        <v>7759675</v>
      </c>
      <c r="AD22">
        <v>7791725</v>
      </c>
      <c r="AE22">
        <v>7817351</v>
      </c>
      <c r="AF22">
        <v>8284252</v>
      </c>
    </row>
    <row r="23" spans="1:32" x14ac:dyDescent="0.3">
      <c r="A23" t="s">
        <v>10</v>
      </c>
      <c r="B23" t="s">
        <v>128</v>
      </c>
      <c r="C23" t="s">
        <v>86</v>
      </c>
      <c r="D23" t="s">
        <v>129</v>
      </c>
      <c r="E23" t="s">
        <v>87</v>
      </c>
      <c r="F23">
        <v>39512178</v>
      </c>
      <c r="G23">
        <v>40674464</v>
      </c>
      <c r="H23">
        <v>38393394</v>
      </c>
      <c r="I23">
        <v>38332632</v>
      </c>
      <c r="J23">
        <v>37286892</v>
      </c>
      <c r="K23">
        <v>35312621</v>
      </c>
      <c r="L23">
        <v>34500105</v>
      </c>
      <c r="M23">
        <v>32459925</v>
      </c>
      <c r="N23">
        <v>30523725</v>
      </c>
      <c r="O23">
        <v>29733457</v>
      </c>
      <c r="P23">
        <v>28820887</v>
      </c>
      <c r="Q23">
        <v>28573768</v>
      </c>
      <c r="R23">
        <v>26659827</v>
      </c>
      <c r="S23">
        <v>25142471</v>
      </c>
      <c r="T23">
        <v>25462710</v>
      </c>
      <c r="U23">
        <v>23653889</v>
      </c>
      <c r="V23">
        <v>23642449</v>
      </c>
      <c r="W23">
        <v>23483693</v>
      </c>
      <c r="X23">
        <v>25291629</v>
      </c>
      <c r="Y23">
        <v>25828316</v>
      </c>
      <c r="Z23">
        <v>27318629</v>
      </c>
      <c r="AA23">
        <v>29182742</v>
      </c>
      <c r="AB23">
        <v>29910414</v>
      </c>
      <c r="AC23">
        <v>29917997</v>
      </c>
      <c r="AD23">
        <v>29771606</v>
      </c>
      <c r="AE23">
        <v>30245690</v>
      </c>
      <c r="AF23">
        <v>29933004</v>
      </c>
    </row>
    <row r="24" spans="1:32" x14ac:dyDescent="0.3">
      <c r="A24" t="s">
        <v>10</v>
      </c>
      <c r="B24" t="s">
        <v>130</v>
      </c>
      <c r="C24" t="s">
        <v>86</v>
      </c>
      <c r="D24" t="s">
        <v>131</v>
      </c>
      <c r="E24" t="s">
        <v>87</v>
      </c>
      <c r="F24">
        <v>76865269</v>
      </c>
      <c r="G24">
        <v>77459793</v>
      </c>
      <c r="H24">
        <v>77664536</v>
      </c>
      <c r="I24">
        <v>76844358</v>
      </c>
      <c r="J24">
        <v>76720847</v>
      </c>
      <c r="K24">
        <v>74838973</v>
      </c>
      <c r="L24">
        <v>76561460</v>
      </c>
      <c r="M24">
        <v>75446386</v>
      </c>
      <c r="N24">
        <v>74044217</v>
      </c>
      <c r="O24">
        <v>76781626</v>
      </c>
      <c r="P24">
        <v>78091728</v>
      </c>
      <c r="Q24">
        <v>75001135</v>
      </c>
      <c r="R24">
        <v>73216044</v>
      </c>
      <c r="S24">
        <v>72139320</v>
      </c>
      <c r="T24">
        <v>70417577</v>
      </c>
      <c r="U24">
        <v>69397577</v>
      </c>
      <c r="V24">
        <v>70430342</v>
      </c>
      <c r="W24">
        <v>72223104</v>
      </c>
      <c r="X24">
        <v>72762681</v>
      </c>
      <c r="Y24">
        <v>69689514</v>
      </c>
      <c r="Z24">
        <v>72699736</v>
      </c>
      <c r="AA24">
        <v>71838148</v>
      </c>
      <c r="AB24">
        <v>74859576</v>
      </c>
      <c r="AC24">
        <v>72608110</v>
      </c>
      <c r="AD24">
        <v>70851994</v>
      </c>
      <c r="AE24">
        <v>68692533</v>
      </c>
      <c r="AF24">
        <v>75843574</v>
      </c>
    </row>
    <row r="25" spans="1:32" x14ac:dyDescent="0.3">
      <c r="A25" t="s">
        <v>10</v>
      </c>
      <c r="B25" t="s">
        <v>132</v>
      </c>
      <c r="C25" t="s">
        <v>86</v>
      </c>
      <c r="D25" t="s">
        <v>133</v>
      </c>
      <c r="E25" t="s">
        <v>87</v>
      </c>
      <c r="F25">
        <v>3851941</v>
      </c>
      <c r="G25">
        <v>4251554</v>
      </c>
      <c r="H25">
        <v>4179375</v>
      </c>
      <c r="I25">
        <v>4307731</v>
      </c>
      <c r="J25">
        <v>4734192</v>
      </c>
      <c r="K25">
        <v>4978289</v>
      </c>
      <c r="L25">
        <v>4442604</v>
      </c>
      <c r="M25">
        <v>4257287</v>
      </c>
      <c r="N25">
        <v>4221985</v>
      </c>
      <c r="O25">
        <v>4304703</v>
      </c>
      <c r="P25">
        <v>3574678</v>
      </c>
      <c r="Q25">
        <v>3341020</v>
      </c>
      <c r="R25">
        <v>2995323</v>
      </c>
      <c r="S25">
        <v>2530613</v>
      </c>
      <c r="T25">
        <v>1927390</v>
      </c>
      <c r="U25">
        <v>1867991</v>
      </c>
      <c r="V25">
        <v>1489542</v>
      </c>
      <c r="W25">
        <v>1596556</v>
      </c>
      <c r="X25">
        <v>1759042</v>
      </c>
      <c r="Y25">
        <v>1942641</v>
      </c>
      <c r="Z25">
        <v>2125853</v>
      </c>
      <c r="AA25">
        <v>2136968</v>
      </c>
      <c r="AB25">
        <v>2403248</v>
      </c>
      <c r="AC25">
        <v>2420477</v>
      </c>
      <c r="AD25">
        <v>2396147</v>
      </c>
      <c r="AE25">
        <v>2349454</v>
      </c>
      <c r="AF25">
        <v>2340816</v>
      </c>
    </row>
    <row r="26" spans="1:32" x14ac:dyDescent="0.3">
      <c r="A26" t="s">
        <v>10</v>
      </c>
      <c r="B26" t="s">
        <v>134</v>
      </c>
      <c r="C26" t="s">
        <v>86</v>
      </c>
      <c r="D26" t="s">
        <v>135</v>
      </c>
      <c r="E26" t="s">
        <v>87</v>
      </c>
      <c r="F26">
        <v>43833552</v>
      </c>
      <c r="G26">
        <v>44363905</v>
      </c>
      <c r="H26">
        <v>45889148</v>
      </c>
      <c r="I26">
        <v>46216192</v>
      </c>
      <c r="J26">
        <v>45653168</v>
      </c>
      <c r="K26">
        <v>43668221</v>
      </c>
      <c r="L26">
        <v>44660587</v>
      </c>
      <c r="M26">
        <v>43406040</v>
      </c>
      <c r="N26">
        <v>42226382</v>
      </c>
      <c r="O26">
        <v>45475897</v>
      </c>
      <c r="P26">
        <v>49410366</v>
      </c>
      <c r="Q26">
        <v>47753100</v>
      </c>
      <c r="R26">
        <v>45823674</v>
      </c>
      <c r="S26">
        <v>45547279</v>
      </c>
      <c r="T26">
        <v>42557743</v>
      </c>
      <c r="U26">
        <v>41378064</v>
      </c>
      <c r="V26">
        <v>42815857</v>
      </c>
      <c r="W26">
        <v>42614377</v>
      </c>
      <c r="X26">
        <v>41172118</v>
      </c>
      <c r="Y26">
        <v>37560996</v>
      </c>
      <c r="Z26">
        <v>38152188</v>
      </c>
      <c r="AA26">
        <v>37346737</v>
      </c>
      <c r="AB26">
        <v>39388435</v>
      </c>
      <c r="AC26">
        <v>38298379</v>
      </c>
      <c r="AD26">
        <v>36030465</v>
      </c>
      <c r="AE26">
        <v>34730761</v>
      </c>
      <c r="AF26">
        <v>39965282</v>
      </c>
    </row>
    <row r="27" spans="1:32" x14ac:dyDescent="0.3">
      <c r="A27" t="s">
        <v>10</v>
      </c>
      <c r="B27" t="s">
        <v>136</v>
      </c>
      <c r="C27" t="s">
        <v>86</v>
      </c>
      <c r="D27" t="s">
        <v>137</v>
      </c>
      <c r="E27" t="s">
        <v>87</v>
      </c>
      <c r="F27">
        <v>29179776</v>
      </c>
      <c r="G27">
        <v>28844334</v>
      </c>
      <c r="H27">
        <v>27596013</v>
      </c>
      <c r="I27">
        <v>26320435</v>
      </c>
      <c r="J27">
        <v>26333487</v>
      </c>
      <c r="K27">
        <v>26192463</v>
      </c>
      <c r="L27">
        <v>27458269</v>
      </c>
      <c r="M27">
        <v>27783059</v>
      </c>
      <c r="N27">
        <v>27595850</v>
      </c>
      <c r="O27">
        <v>27001026</v>
      </c>
      <c r="P27">
        <v>25106684</v>
      </c>
      <c r="Q27">
        <v>23907015</v>
      </c>
      <c r="R27">
        <v>24397047</v>
      </c>
      <c r="S27">
        <v>24061428</v>
      </c>
      <c r="T27">
        <v>25932444</v>
      </c>
      <c r="U27">
        <v>26151522</v>
      </c>
      <c r="V27">
        <v>26124943</v>
      </c>
      <c r="W27">
        <v>28012171</v>
      </c>
      <c r="X27">
        <v>29831521</v>
      </c>
      <c r="Y27">
        <v>30185877</v>
      </c>
      <c r="Z27">
        <v>32421695</v>
      </c>
      <c r="AA27">
        <v>32354443</v>
      </c>
      <c r="AB27">
        <v>33067893</v>
      </c>
      <c r="AC27">
        <v>31889254</v>
      </c>
      <c r="AD27">
        <v>32425382</v>
      </c>
      <c r="AE27">
        <v>31612318</v>
      </c>
      <c r="AF27">
        <v>33537476</v>
      </c>
    </row>
    <row r="28" spans="1:32" x14ac:dyDescent="0.3">
      <c r="A28" t="s">
        <v>10</v>
      </c>
      <c r="B28" t="s">
        <v>138</v>
      </c>
      <c r="C28" t="s">
        <v>86</v>
      </c>
      <c r="D28" t="s">
        <v>139</v>
      </c>
      <c r="E28" t="s">
        <v>87</v>
      </c>
      <c r="F28">
        <v>28664600</v>
      </c>
      <c r="G28">
        <v>27386380</v>
      </c>
      <c r="H28">
        <v>27366333</v>
      </c>
      <c r="I28">
        <v>26183691</v>
      </c>
      <c r="J28">
        <v>26141364</v>
      </c>
      <c r="K28">
        <v>26495854</v>
      </c>
      <c r="L28">
        <v>26283386</v>
      </c>
      <c r="M28">
        <v>26444657</v>
      </c>
      <c r="N28">
        <v>26810476</v>
      </c>
      <c r="O28">
        <v>27473587</v>
      </c>
      <c r="P28">
        <v>27300418</v>
      </c>
      <c r="Q28">
        <v>28635748</v>
      </c>
      <c r="R28">
        <v>29166252</v>
      </c>
      <c r="S28">
        <v>28300617</v>
      </c>
      <c r="T28">
        <v>24416468</v>
      </c>
      <c r="U28">
        <v>26124634</v>
      </c>
      <c r="V28">
        <v>25476840</v>
      </c>
      <c r="W28">
        <v>25970185</v>
      </c>
      <c r="X28">
        <v>26380198</v>
      </c>
      <c r="Y28">
        <v>26956968</v>
      </c>
      <c r="Z28">
        <v>27275531</v>
      </c>
      <c r="AA28">
        <v>28376331</v>
      </c>
      <c r="AB28">
        <v>29452084</v>
      </c>
      <c r="AC28">
        <v>28958225</v>
      </c>
      <c r="AD28">
        <v>29341147</v>
      </c>
      <c r="AE28">
        <v>21689533</v>
      </c>
      <c r="AF28">
        <v>23234957</v>
      </c>
    </row>
    <row r="29" spans="1:32" x14ac:dyDescent="0.3">
      <c r="A29" t="s">
        <v>10</v>
      </c>
      <c r="B29" t="s">
        <v>140</v>
      </c>
      <c r="C29" t="s">
        <v>86</v>
      </c>
      <c r="D29" t="s">
        <v>141</v>
      </c>
      <c r="E29" t="s">
        <v>87</v>
      </c>
      <c r="F29">
        <v>20725941</v>
      </c>
      <c r="G29">
        <v>19795405</v>
      </c>
      <c r="H29">
        <v>19882022</v>
      </c>
      <c r="I29">
        <v>19107605</v>
      </c>
      <c r="J29">
        <v>19447470</v>
      </c>
      <c r="K29">
        <v>20015541</v>
      </c>
      <c r="L29">
        <v>20128568</v>
      </c>
      <c r="M29">
        <v>20199499</v>
      </c>
      <c r="N29">
        <v>20567586</v>
      </c>
      <c r="O29">
        <v>20793871</v>
      </c>
      <c r="P29">
        <v>20686394</v>
      </c>
      <c r="Q29">
        <v>21504215</v>
      </c>
      <c r="R29">
        <v>21858779</v>
      </c>
      <c r="S29">
        <v>21258235</v>
      </c>
      <c r="T29">
        <v>18569557</v>
      </c>
      <c r="U29">
        <v>19888364</v>
      </c>
      <c r="V29">
        <v>19214475</v>
      </c>
      <c r="W29">
        <v>19751393</v>
      </c>
      <c r="X29">
        <v>19957781</v>
      </c>
      <c r="Y29">
        <v>20350022</v>
      </c>
      <c r="Z29">
        <v>20493576</v>
      </c>
      <c r="AA29">
        <v>21283667</v>
      </c>
      <c r="AB29">
        <v>22528144</v>
      </c>
      <c r="AC29">
        <v>22540641</v>
      </c>
      <c r="AD29">
        <v>22916294</v>
      </c>
      <c r="AE29">
        <v>17198069</v>
      </c>
      <c r="AF29">
        <v>18896730</v>
      </c>
    </row>
    <row r="30" spans="1:32" x14ac:dyDescent="0.3">
      <c r="A30" t="s">
        <v>10</v>
      </c>
      <c r="B30" t="s">
        <v>142</v>
      </c>
      <c r="C30" t="s">
        <v>86</v>
      </c>
      <c r="D30" t="s">
        <v>143</v>
      </c>
      <c r="E30" t="s">
        <v>87</v>
      </c>
      <c r="F30">
        <v>2783454</v>
      </c>
      <c r="G30">
        <v>2039771</v>
      </c>
      <c r="H30">
        <v>2291715</v>
      </c>
      <c r="I30">
        <v>2463417</v>
      </c>
      <c r="J30">
        <v>2298769</v>
      </c>
      <c r="K30">
        <v>2040813</v>
      </c>
      <c r="L30">
        <v>1939055</v>
      </c>
      <c r="M30">
        <v>2066013</v>
      </c>
      <c r="N30">
        <v>2215274</v>
      </c>
      <c r="O30">
        <v>2242437</v>
      </c>
      <c r="P30">
        <v>2036632</v>
      </c>
      <c r="Q30">
        <v>2341003</v>
      </c>
      <c r="R30">
        <v>2700812</v>
      </c>
      <c r="S30">
        <v>2756843</v>
      </c>
      <c r="T30">
        <v>2348271</v>
      </c>
      <c r="U30">
        <v>1968068</v>
      </c>
      <c r="V30">
        <v>2058049</v>
      </c>
      <c r="W30">
        <v>1666075</v>
      </c>
      <c r="X30">
        <v>1519903</v>
      </c>
      <c r="Y30">
        <v>1953611</v>
      </c>
      <c r="Z30">
        <v>2106844</v>
      </c>
      <c r="AA30">
        <v>2504226</v>
      </c>
      <c r="AB30">
        <v>1897387</v>
      </c>
      <c r="AC30">
        <v>1529146</v>
      </c>
      <c r="AD30">
        <v>1452561</v>
      </c>
      <c r="AE30">
        <v>1455146</v>
      </c>
      <c r="AF30">
        <v>1480155</v>
      </c>
    </row>
    <row r="31" spans="1:32" x14ac:dyDescent="0.3">
      <c r="A31" t="s">
        <v>10</v>
      </c>
      <c r="B31" t="s">
        <v>144</v>
      </c>
      <c r="C31" t="s">
        <v>86</v>
      </c>
      <c r="D31" t="s">
        <v>145</v>
      </c>
      <c r="E31" t="s">
        <v>87</v>
      </c>
      <c r="F31">
        <v>1677158</v>
      </c>
      <c r="G31">
        <v>1816902</v>
      </c>
      <c r="H31">
        <v>1783903</v>
      </c>
      <c r="I31">
        <v>1611269</v>
      </c>
      <c r="J31">
        <v>1676935</v>
      </c>
      <c r="K31">
        <v>1883972</v>
      </c>
      <c r="L31">
        <v>1635793</v>
      </c>
      <c r="M31">
        <v>1602695</v>
      </c>
      <c r="N31">
        <v>1444829</v>
      </c>
      <c r="O31">
        <v>1571062</v>
      </c>
      <c r="P31">
        <v>1613024</v>
      </c>
      <c r="Q31">
        <v>1783489</v>
      </c>
      <c r="R31">
        <v>1696718</v>
      </c>
      <c r="S31">
        <v>1442645</v>
      </c>
      <c r="T31">
        <v>992385</v>
      </c>
      <c r="U31">
        <v>1475707</v>
      </c>
      <c r="V31">
        <v>1468286</v>
      </c>
      <c r="W31">
        <v>1545725</v>
      </c>
      <c r="X31">
        <v>1737382</v>
      </c>
      <c r="Y31">
        <v>1486158</v>
      </c>
      <c r="Z31">
        <v>1339737</v>
      </c>
      <c r="AA31">
        <v>1332494</v>
      </c>
      <c r="AB31">
        <v>1471219</v>
      </c>
      <c r="AC31">
        <v>1356974</v>
      </c>
      <c r="AD31">
        <v>1400761</v>
      </c>
      <c r="AE31">
        <v>320619</v>
      </c>
      <c r="AF31">
        <v>97062</v>
      </c>
    </row>
    <row r="32" spans="1:32" x14ac:dyDescent="0.3">
      <c r="A32" t="s">
        <v>10</v>
      </c>
      <c r="B32" t="s">
        <v>146</v>
      </c>
      <c r="C32" t="s">
        <v>86</v>
      </c>
      <c r="D32" t="s">
        <v>147</v>
      </c>
      <c r="E32" t="s">
        <v>87</v>
      </c>
      <c r="F32">
        <v>1805178</v>
      </c>
      <c r="G32">
        <v>2010671</v>
      </c>
      <c r="H32">
        <v>1691001</v>
      </c>
      <c r="I32">
        <v>1316131</v>
      </c>
      <c r="J32">
        <v>1090537</v>
      </c>
      <c r="K32">
        <v>909720</v>
      </c>
      <c r="L32">
        <v>929380</v>
      </c>
      <c r="M32">
        <v>961559</v>
      </c>
      <c r="N32">
        <v>1004475</v>
      </c>
      <c r="O32">
        <v>1271297</v>
      </c>
      <c r="P32">
        <v>1390719</v>
      </c>
      <c r="Q32">
        <v>1395722</v>
      </c>
      <c r="R32">
        <v>1330472</v>
      </c>
      <c r="S32">
        <v>1391690</v>
      </c>
      <c r="T32">
        <v>1090005</v>
      </c>
      <c r="U32">
        <v>1429222</v>
      </c>
      <c r="V32">
        <v>1341677</v>
      </c>
      <c r="W32">
        <v>1662742</v>
      </c>
      <c r="X32">
        <v>1818437</v>
      </c>
      <c r="Y32">
        <v>1851118</v>
      </c>
      <c r="Z32">
        <v>2007557</v>
      </c>
      <c r="AA32">
        <v>1903962</v>
      </c>
      <c r="AB32">
        <v>2175114</v>
      </c>
      <c r="AC32">
        <v>2077446</v>
      </c>
      <c r="AD32">
        <v>2069694</v>
      </c>
      <c r="AE32">
        <v>1219794</v>
      </c>
      <c r="AF32">
        <v>1255796</v>
      </c>
    </row>
    <row r="33" spans="1:32" x14ac:dyDescent="0.3">
      <c r="A33" t="s">
        <v>10</v>
      </c>
      <c r="B33" t="s">
        <v>148</v>
      </c>
      <c r="C33" t="s">
        <v>86</v>
      </c>
      <c r="D33" t="s">
        <v>149</v>
      </c>
      <c r="E33" t="s">
        <v>87</v>
      </c>
      <c r="F33">
        <v>1672869</v>
      </c>
      <c r="G33">
        <v>1723631</v>
      </c>
      <c r="H33">
        <v>1717692</v>
      </c>
      <c r="I33">
        <v>1685269</v>
      </c>
      <c r="J33">
        <v>1627653</v>
      </c>
      <c r="K33">
        <v>1645808</v>
      </c>
      <c r="L33">
        <v>1650590</v>
      </c>
      <c r="M33">
        <v>1614891</v>
      </c>
      <c r="N33">
        <v>1578312</v>
      </c>
      <c r="O33">
        <v>1594920</v>
      </c>
      <c r="P33">
        <v>1573649</v>
      </c>
      <c r="Q33">
        <v>1611319</v>
      </c>
      <c r="R33">
        <v>1579471</v>
      </c>
      <c r="S33">
        <v>1451204</v>
      </c>
      <c r="T33">
        <v>1416250</v>
      </c>
      <c r="U33">
        <v>1363273</v>
      </c>
      <c r="V33">
        <v>1394353</v>
      </c>
      <c r="W33">
        <v>1344250</v>
      </c>
      <c r="X33">
        <v>1346695</v>
      </c>
      <c r="Y33">
        <v>1316059</v>
      </c>
      <c r="Z33">
        <v>1327817</v>
      </c>
      <c r="AA33">
        <v>1351982</v>
      </c>
      <c r="AB33">
        <v>1380220</v>
      </c>
      <c r="AC33">
        <v>1454018</v>
      </c>
      <c r="AD33">
        <v>1501837</v>
      </c>
      <c r="AE33">
        <v>1495905</v>
      </c>
      <c r="AF33">
        <v>1505214</v>
      </c>
    </row>
    <row r="34" spans="1:32" x14ac:dyDescent="0.3">
      <c r="A34" t="s">
        <v>10</v>
      </c>
      <c r="B34" t="s">
        <v>150</v>
      </c>
      <c r="C34" t="s">
        <v>86</v>
      </c>
      <c r="D34" t="s">
        <v>151</v>
      </c>
      <c r="E34" t="s">
        <v>87</v>
      </c>
      <c r="F34">
        <v>15753007</v>
      </c>
      <c r="G34">
        <v>16335733</v>
      </c>
      <c r="H34">
        <v>16503958</v>
      </c>
      <c r="I34">
        <v>17100252</v>
      </c>
      <c r="J34">
        <v>16910586</v>
      </c>
      <c r="K34">
        <v>16532662</v>
      </c>
      <c r="L34">
        <v>16573259</v>
      </c>
      <c r="M34">
        <v>16036281</v>
      </c>
      <c r="N34">
        <v>15565732</v>
      </c>
      <c r="O34">
        <v>15079062</v>
      </c>
      <c r="P34">
        <v>14399528</v>
      </c>
      <c r="Q34">
        <v>14382458</v>
      </c>
      <c r="R34">
        <v>14618359</v>
      </c>
      <c r="S34">
        <v>13780110</v>
      </c>
      <c r="T34">
        <v>12718555</v>
      </c>
      <c r="U34">
        <v>13186889</v>
      </c>
      <c r="V34">
        <v>12740632</v>
      </c>
      <c r="W34">
        <v>12021026</v>
      </c>
      <c r="X34">
        <v>12853657</v>
      </c>
      <c r="Y34">
        <v>12685486</v>
      </c>
      <c r="Z34">
        <v>12095047</v>
      </c>
      <c r="AA34">
        <v>13231373</v>
      </c>
      <c r="AB34">
        <v>14311007</v>
      </c>
      <c r="AC34">
        <v>14242378</v>
      </c>
      <c r="AD34">
        <v>13419030</v>
      </c>
      <c r="AE34">
        <v>8896537</v>
      </c>
      <c r="AF34">
        <v>7956002</v>
      </c>
    </row>
    <row r="35" spans="1:32" x14ac:dyDescent="0.3">
      <c r="A35" t="s">
        <v>10</v>
      </c>
      <c r="B35" t="s">
        <v>152</v>
      </c>
      <c r="C35" t="s">
        <v>86</v>
      </c>
      <c r="D35" t="s">
        <v>153</v>
      </c>
      <c r="E35" t="s">
        <v>87</v>
      </c>
      <c r="F35">
        <v>17708241</v>
      </c>
      <c r="G35">
        <v>20451622</v>
      </c>
      <c r="H35">
        <v>22449249</v>
      </c>
      <c r="I35">
        <v>24257470</v>
      </c>
      <c r="J35">
        <v>24530743</v>
      </c>
      <c r="K35">
        <v>26060535</v>
      </c>
      <c r="L35">
        <v>27266916</v>
      </c>
      <c r="M35">
        <v>27207812</v>
      </c>
      <c r="N35">
        <v>27310296</v>
      </c>
      <c r="O35">
        <v>26552800</v>
      </c>
      <c r="P35">
        <v>27245743</v>
      </c>
      <c r="Q35">
        <v>27443961</v>
      </c>
      <c r="R35">
        <v>27315647</v>
      </c>
      <c r="S35">
        <v>27284028</v>
      </c>
      <c r="T35">
        <v>26223417</v>
      </c>
      <c r="U35">
        <v>25675413</v>
      </c>
      <c r="V35">
        <v>25137218</v>
      </c>
      <c r="W35">
        <v>25011797</v>
      </c>
      <c r="X35">
        <v>25759001</v>
      </c>
      <c r="Y35">
        <v>25404678</v>
      </c>
      <c r="Z35">
        <v>26620240</v>
      </c>
      <c r="AA35">
        <v>26854765</v>
      </c>
      <c r="AB35">
        <v>27198486</v>
      </c>
      <c r="AC35">
        <v>27414232</v>
      </c>
      <c r="AD35">
        <v>27452679</v>
      </c>
      <c r="AE35">
        <v>27355566</v>
      </c>
      <c r="AF35">
        <v>28248402</v>
      </c>
    </row>
    <row r="36" spans="1:32" x14ac:dyDescent="0.3">
      <c r="A36" t="s">
        <v>10</v>
      </c>
      <c r="B36" t="s">
        <v>154</v>
      </c>
      <c r="C36" t="s">
        <v>86</v>
      </c>
      <c r="D36" t="s">
        <v>155</v>
      </c>
      <c r="E36" t="s">
        <v>87</v>
      </c>
      <c r="F36">
        <v>4910562</v>
      </c>
      <c r="G36">
        <v>5160419</v>
      </c>
      <c r="H36">
        <v>5134609</v>
      </c>
      <c r="I36">
        <v>5257904</v>
      </c>
      <c r="J36">
        <v>5221709</v>
      </c>
      <c r="K36">
        <v>5447257</v>
      </c>
      <c r="L36">
        <v>5384168</v>
      </c>
      <c r="M36">
        <v>5430856</v>
      </c>
      <c r="N36">
        <v>5390783</v>
      </c>
      <c r="O36">
        <v>5317918</v>
      </c>
      <c r="P36">
        <v>5707079</v>
      </c>
      <c r="Q36">
        <v>5570413</v>
      </c>
      <c r="R36">
        <v>5448573</v>
      </c>
      <c r="S36">
        <v>5099211</v>
      </c>
      <c r="T36">
        <v>4795527</v>
      </c>
      <c r="U36">
        <v>4610977</v>
      </c>
      <c r="V36">
        <v>4367413</v>
      </c>
      <c r="W36">
        <v>4270455</v>
      </c>
      <c r="X36">
        <v>4526425</v>
      </c>
      <c r="Y36">
        <v>4605069</v>
      </c>
      <c r="Z36">
        <v>5124167</v>
      </c>
      <c r="AA36">
        <v>4969738</v>
      </c>
      <c r="AB36">
        <v>4934801</v>
      </c>
      <c r="AC36">
        <v>4933357</v>
      </c>
      <c r="AD36">
        <v>4885667</v>
      </c>
      <c r="AE36">
        <v>4776216</v>
      </c>
      <c r="AF36">
        <v>4528212</v>
      </c>
    </row>
    <row r="37" spans="1:32" x14ac:dyDescent="0.3">
      <c r="A37" t="s">
        <v>10</v>
      </c>
      <c r="B37" t="s">
        <v>156</v>
      </c>
      <c r="C37" t="s">
        <v>86</v>
      </c>
      <c r="D37" t="s">
        <v>157</v>
      </c>
      <c r="E37" t="s">
        <v>87</v>
      </c>
      <c r="F37">
        <v>7737679</v>
      </c>
      <c r="G37">
        <v>9495214</v>
      </c>
      <c r="H37">
        <v>10967812</v>
      </c>
      <c r="I37">
        <v>11042660</v>
      </c>
      <c r="J37">
        <v>10529006</v>
      </c>
      <c r="K37">
        <v>10923533</v>
      </c>
      <c r="L37">
        <v>11034336</v>
      </c>
      <c r="M37">
        <v>10364307</v>
      </c>
      <c r="N37">
        <v>10142826</v>
      </c>
      <c r="O37">
        <v>9636502</v>
      </c>
      <c r="P37">
        <v>9409145</v>
      </c>
      <c r="Q37">
        <v>9417589</v>
      </c>
      <c r="R37">
        <v>9177349</v>
      </c>
      <c r="S37">
        <v>9381899</v>
      </c>
      <c r="T37">
        <v>9247485</v>
      </c>
      <c r="U37">
        <v>9652612</v>
      </c>
      <c r="V37">
        <v>9514229</v>
      </c>
      <c r="W37">
        <v>9449232</v>
      </c>
      <c r="X37">
        <v>9770593</v>
      </c>
      <c r="Y37">
        <v>9657062</v>
      </c>
      <c r="Z37">
        <v>9939954</v>
      </c>
      <c r="AA37">
        <v>10334912</v>
      </c>
      <c r="AB37">
        <v>10292084</v>
      </c>
      <c r="AC37">
        <v>10264367</v>
      </c>
      <c r="AD37">
        <v>9899753</v>
      </c>
      <c r="AE37">
        <v>10363438</v>
      </c>
      <c r="AF37">
        <v>10390582</v>
      </c>
    </row>
    <row r="38" spans="1:32" x14ac:dyDescent="0.3">
      <c r="A38" t="s">
        <v>10</v>
      </c>
      <c r="B38" t="s">
        <v>158</v>
      </c>
      <c r="C38" t="s">
        <v>86</v>
      </c>
      <c r="D38" t="s">
        <v>159</v>
      </c>
      <c r="E38" t="s">
        <v>87</v>
      </c>
      <c r="F38">
        <v>5060000</v>
      </c>
      <c r="G38">
        <v>5795989</v>
      </c>
      <c r="H38">
        <v>6346828</v>
      </c>
      <c r="I38">
        <v>7956906</v>
      </c>
      <c r="J38">
        <v>8780028</v>
      </c>
      <c r="K38">
        <v>9689745</v>
      </c>
      <c r="L38">
        <v>10848412</v>
      </c>
      <c r="M38">
        <v>11412649</v>
      </c>
      <c r="N38">
        <v>11776687</v>
      </c>
      <c r="O38">
        <v>11598380</v>
      </c>
      <c r="P38">
        <v>12129519</v>
      </c>
      <c r="Q38">
        <v>12455959</v>
      </c>
      <c r="R38">
        <v>12689725</v>
      </c>
      <c r="S38">
        <v>12802918</v>
      </c>
      <c r="T38">
        <v>12180405</v>
      </c>
      <c r="U38">
        <v>11411824</v>
      </c>
      <c r="V38">
        <v>11255576</v>
      </c>
      <c r="W38">
        <v>11292110</v>
      </c>
      <c r="X38">
        <v>11461983</v>
      </c>
      <c r="Y38">
        <v>11142547</v>
      </c>
      <c r="Z38">
        <v>11556119</v>
      </c>
      <c r="AA38">
        <v>11550115</v>
      </c>
      <c r="AB38">
        <v>11971601</v>
      </c>
      <c r="AC38">
        <v>12216508</v>
      </c>
      <c r="AD38">
        <v>12667259</v>
      </c>
      <c r="AE38">
        <v>12215912</v>
      </c>
      <c r="AF38">
        <v>13329608</v>
      </c>
    </row>
    <row r="39" spans="1:32" x14ac:dyDescent="0.3">
      <c r="A39" t="s">
        <v>10</v>
      </c>
      <c r="B39" t="s">
        <v>160</v>
      </c>
      <c r="C39" t="s">
        <v>86</v>
      </c>
      <c r="D39" t="s">
        <v>161</v>
      </c>
      <c r="E39" t="s">
        <v>87</v>
      </c>
      <c r="F39">
        <v>25900987</v>
      </c>
      <c r="G39">
        <v>26979962</v>
      </c>
      <c r="H39">
        <v>28701862</v>
      </c>
      <c r="I39">
        <v>27186333</v>
      </c>
      <c r="J39">
        <v>26544649</v>
      </c>
      <c r="K39">
        <v>26555359</v>
      </c>
      <c r="L39">
        <v>26158169</v>
      </c>
      <c r="M39">
        <v>29043812</v>
      </c>
      <c r="N39">
        <v>31708956</v>
      </c>
      <c r="O39">
        <v>32319557</v>
      </c>
      <c r="P39">
        <v>32895579</v>
      </c>
      <c r="Q39">
        <v>32293188</v>
      </c>
      <c r="R39">
        <v>32631961</v>
      </c>
      <c r="S39">
        <v>26885031</v>
      </c>
      <c r="T39">
        <v>26227077</v>
      </c>
      <c r="U39">
        <v>24848795</v>
      </c>
      <c r="V39">
        <v>24114407</v>
      </c>
      <c r="W39">
        <v>23804571</v>
      </c>
      <c r="X39">
        <v>24385859</v>
      </c>
      <c r="Y39">
        <v>23148549</v>
      </c>
      <c r="Z39">
        <v>23533574</v>
      </c>
      <c r="AA39">
        <v>22590765</v>
      </c>
      <c r="AB39">
        <v>22706552</v>
      </c>
      <c r="AC39">
        <v>22411461</v>
      </c>
      <c r="AD39">
        <v>22416932</v>
      </c>
      <c r="AE39">
        <v>23684547</v>
      </c>
      <c r="AF39">
        <v>24488126</v>
      </c>
    </row>
    <row r="40" spans="1:32" x14ac:dyDescent="0.3">
      <c r="A40" t="s">
        <v>10</v>
      </c>
      <c r="B40" t="s">
        <v>162</v>
      </c>
      <c r="C40" t="s">
        <v>86</v>
      </c>
      <c r="D40" t="s">
        <v>163</v>
      </c>
      <c r="E40" t="s">
        <v>87</v>
      </c>
      <c r="F40">
        <v>53104817</v>
      </c>
      <c r="G40">
        <v>54335332</v>
      </c>
      <c r="H40">
        <v>54983020</v>
      </c>
      <c r="I40">
        <v>55473824</v>
      </c>
      <c r="J40">
        <v>56713108</v>
      </c>
      <c r="K40">
        <v>58202361</v>
      </c>
      <c r="L40">
        <v>58588637</v>
      </c>
      <c r="M40">
        <v>58058996</v>
      </c>
      <c r="N40">
        <v>57794166</v>
      </c>
      <c r="O40">
        <v>57978207</v>
      </c>
      <c r="P40">
        <v>58825286</v>
      </c>
      <c r="Q40">
        <v>60027933</v>
      </c>
      <c r="R40">
        <v>60464796</v>
      </c>
      <c r="S40">
        <v>61340314</v>
      </c>
      <c r="T40">
        <v>61964652</v>
      </c>
      <c r="U40">
        <v>63016982</v>
      </c>
      <c r="V40">
        <v>63059677</v>
      </c>
      <c r="W40">
        <v>62861492</v>
      </c>
      <c r="X40">
        <v>63630289</v>
      </c>
      <c r="Y40">
        <v>64156957</v>
      </c>
      <c r="Z40">
        <v>64549223</v>
      </c>
      <c r="AA40">
        <v>64793666</v>
      </c>
      <c r="AB40">
        <v>65353014</v>
      </c>
      <c r="AC40">
        <v>65551090</v>
      </c>
      <c r="AD40">
        <v>65897947</v>
      </c>
      <c r="AE40">
        <v>65313476</v>
      </c>
      <c r="AF40">
        <v>65202372</v>
      </c>
    </row>
    <row r="41" spans="1:32" x14ac:dyDescent="0.3">
      <c r="A41" t="s">
        <v>10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10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10</v>
      </c>
      <c r="B43" t="s">
        <v>168</v>
      </c>
      <c r="C43" t="s">
        <v>86</v>
      </c>
      <c r="D43" t="s">
        <v>169</v>
      </c>
      <c r="E43" t="s">
        <v>87</v>
      </c>
      <c r="F43">
        <v>23285425</v>
      </c>
      <c r="G43">
        <v>24903476</v>
      </c>
      <c r="H43">
        <v>25475053</v>
      </c>
      <c r="I43">
        <v>26606362</v>
      </c>
      <c r="J43">
        <v>26596128</v>
      </c>
      <c r="K43">
        <v>29397645</v>
      </c>
      <c r="L43">
        <v>30548980</v>
      </c>
      <c r="M43">
        <v>30548079</v>
      </c>
      <c r="N43">
        <v>31123904</v>
      </c>
      <c r="O43">
        <v>31791723</v>
      </c>
      <c r="P43">
        <v>33465592</v>
      </c>
      <c r="Q43">
        <v>34971832</v>
      </c>
      <c r="R43">
        <v>37432824</v>
      </c>
      <c r="S43">
        <v>39299846</v>
      </c>
      <c r="T43">
        <v>37200972</v>
      </c>
      <c r="U43">
        <v>36695043</v>
      </c>
      <c r="V43">
        <v>37418390</v>
      </c>
      <c r="W43">
        <v>37416158</v>
      </c>
      <c r="X43">
        <v>38431374</v>
      </c>
      <c r="Y43">
        <v>38775367</v>
      </c>
      <c r="Z43">
        <v>41063251</v>
      </c>
      <c r="AA43">
        <v>43479698</v>
      </c>
      <c r="AB43">
        <v>43090438</v>
      </c>
      <c r="AC43">
        <v>44026458</v>
      </c>
      <c r="AD43">
        <v>45304219</v>
      </c>
      <c r="AE43">
        <v>45527489</v>
      </c>
      <c r="AF43">
        <v>47164370</v>
      </c>
    </row>
    <row r="44" spans="1:32" x14ac:dyDescent="0.3">
      <c r="A44" t="s">
        <v>10</v>
      </c>
      <c r="B44" t="s">
        <v>170</v>
      </c>
      <c r="C44" t="s">
        <v>86</v>
      </c>
      <c r="D44" t="s">
        <v>171</v>
      </c>
      <c r="E44" t="s">
        <v>87</v>
      </c>
      <c r="F44">
        <v>398927651</v>
      </c>
      <c r="G44">
        <v>408703883</v>
      </c>
      <c r="H44">
        <v>410704698</v>
      </c>
      <c r="I44">
        <v>405531294</v>
      </c>
      <c r="J44">
        <v>403580428</v>
      </c>
      <c r="K44">
        <v>408333391</v>
      </c>
      <c r="L44">
        <v>398199611</v>
      </c>
      <c r="M44">
        <v>394617774</v>
      </c>
      <c r="N44">
        <v>395518714</v>
      </c>
      <c r="O44">
        <v>399398849</v>
      </c>
      <c r="P44">
        <v>404953447</v>
      </c>
      <c r="Q44">
        <v>402861396</v>
      </c>
      <c r="R44">
        <v>403484579</v>
      </c>
      <c r="S44">
        <v>392347451</v>
      </c>
      <c r="T44">
        <v>350624428</v>
      </c>
      <c r="U44">
        <v>370156194</v>
      </c>
      <c r="V44">
        <v>359032499</v>
      </c>
      <c r="W44">
        <v>354039714</v>
      </c>
      <c r="X44">
        <v>359998741</v>
      </c>
      <c r="Y44">
        <v>359109010</v>
      </c>
      <c r="Z44">
        <v>371530251</v>
      </c>
      <c r="AA44">
        <v>384221011</v>
      </c>
      <c r="AB44">
        <v>398272731</v>
      </c>
      <c r="AC44">
        <v>397129198</v>
      </c>
      <c r="AD44">
        <v>391590870</v>
      </c>
      <c r="AE44">
        <v>369609747</v>
      </c>
      <c r="AF44">
        <v>392361623</v>
      </c>
    </row>
    <row r="45" spans="1:32" x14ac:dyDescent="0.3">
      <c r="A45" t="s">
        <v>10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10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10</v>
      </c>
      <c r="B47" t="s">
        <v>176</v>
      </c>
      <c r="C47" t="s">
        <v>86</v>
      </c>
      <c r="D47" t="s">
        <v>177</v>
      </c>
      <c r="E47" t="s">
        <v>87</v>
      </c>
      <c r="F47">
        <v>24560438</v>
      </c>
      <c r="G47">
        <v>25318686</v>
      </c>
      <c r="H47">
        <v>26083235</v>
      </c>
      <c r="I47">
        <v>26663436</v>
      </c>
      <c r="J47">
        <v>26955580</v>
      </c>
      <c r="K47">
        <v>27364882</v>
      </c>
      <c r="L47">
        <v>26909382</v>
      </c>
      <c r="M47">
        <v>27174099</v>
      </c>
      <c r="N47">
        <v>27766032</v>
      </c>
      <c r="O47">
        <v>27144551</v>
      </c>
      <c r="P47">
        <v>26861366</v>
      </c>
      <c r="Q47">
        <v>27103057</v>
      </c>
      <c r="R47">
        <v>27453009</v>
      </c>
      <c r="S47">
        <v>27471615</v>
      </c>
      <c r="T47">
        <v>27063502</v>
      </c>
      <c r="U47">
        <v>26441452</v>
      </c>
      <c r="V47">
        <v>26583490</v>
      </c>
      <c r="W47">
        <v>26383225</v>
      </c>
      <c r="X47">
        <v>26014476</v>
      </c>
      <c r="Y47">
        <v>25774649</v>
      </c>
      <c r="Z47">
        <v>26270238</v>
      </c>
      <c r="AA47">
        <v>26704564</v>
      </c>
      <c r="AB47">
        <v>27408140</v>
      </c>
      <c r="AC47">
        <v>27682892</v>
      </c>
      <c r="AD47">
        <v>28062326</v>
      </c>
      <c r="AE47">
        <v>28564186</v>
      </c>
      <c r="AF47">
        <v>28468697</v>
      </c>
    </row>
    <row r="48" spans="1:32" x14ac:dyDescent="0.3">
      <c r="A48" t="s">
        <v>10</v>
      </c>
      <c r="B48" t="s">
        <v>178</v>
      </c>
      <c r="C48" t="s">
        <v>86</v>
      </c>
      <c r="D48" t="s">
        <v>179</v>
      </c>
      <c r="E48" t="s">
        <v>87</v>
      </c>
      <c r="F48">
        <v>65051175</v>
      </c>
      <c r="G48">
        <v>67337767</v>
      </c>
      <c r="H48">
        <v>69745130</v>
      </c>
      <c r="I48">
        <v>71621143</v>
      </c>
      <c r="J48">
        <v>73347890</v>
      </c>
      <c r="K48">
        <v>72748467</v>
      </c>
      <c r="L48">
        <v>75182938</v>
      </c>
      <c r="M48">
        <v>76100314</v>
      </c>
      <c r="N48">
        <v>77339067</v>
      </c>
      <c r="O48">
        <v>76834985</v>
      </c>
      <c r="P48">
        <v>77092727</v>
      </c>
      <c r="Q48">
        <v>77964820</v>
      </c>
      <c r="R48">
        <v>78901048</v>
      </c>
      <c r="S48">
        <v>78753465</v>
      </c>
      <c r="T48">
        <v>79009648</v>
      </c>
      <c r="U48">
        <v>79257408</v>
      </c>
      <c r="V48">
        <v>80418051</v>
      </c>
      <c r="W48">
        <v>81952873</v>
      </c>
      <c r="X48">
        <v>82654796</v>
      </c>
      <c r="Y48">
        <v>82449118</v>
      </c>
      <c r="Z48">
        <v>85376768</v>
      </c>
      <c r="AA48">
        <v>87636842</v>
      </c>
      <c r="AB48">
        <v>88679096</v>
      </c>
      <c r="AC48">
        <v>90148107</v>
      </c>
      <c r="AD48">
        <v>91473495</v>
      </c>
      <c r="AE48">
        <v>92200963</v>
      </c>
      <c r="AF48">
        <v>94101402</v>
      </c>
    </row>
    <row r="49" spans="1:32" x14ac:dyDescent="0.3">
      <c r="A49" t="s">
        <v>10</v>
      </c>
      <c r="B49" t="s">
        <v>180</v>
      </c>
      <c r="C49" t="s">
        <v>86</v>
      </c>
      <c r="D49" t="s">
        <v>181</v>
      </c>
      <c r="E49" t="s">
        <v>87</v>
      </c>
      <c r="F49">
        <v>18960869</v>
      </c>
      <c r="G49">
        <v>19322657</v>
      </c>
      <c r="H49">
        <v>19636060</v>
      </c>
      <c r="I49">
        <v>19962031</v>
      </c>
      <c r="J49">
        <v>20246360</v>
      </c>
      <c r="K49">
        <v>20067460</v>
      </c>
      <c r="L49">
        <v>19949808</v>
      </c>
      <c r="M49">
        <v>20152146</v>
      </c>
      <c r="N49">
        <v>20208986</v>
      </c>
      <c r="O49">
        <v>19736221</v>
      </c>
      <c r="P49">
        <v>19675245</v>
      </c>
      <c r="Q49">
        <v>19760154</v>
      </c>
      <c r="R49">
        <v>19865354</v>
      </c>
      <c r="S49">
        <v>19843885</v>
      </c>
      <c r="T49">
        <v>19856954</v>
      </c>
      <c r="U49">
        <v>19347574</v>
      </c>
      <c r="V49">
        <v>19604156</v>
      </c>
      <c r="W49">
        <v>19466657</v>
      </c>
      <c r="X49">
        <v>19073171</v>
      </c>
      <c r="Y49">
        <v>18818537</v>
      </c>
      <c r="Z49">
        <v>19054987</v>
      </c>
      <c r="AA49">
        <v>19288351</v>
      </c>
      <c r="AB49">
        <v>19482939</v>
      </c>
      <c r="AC49">
        <v>19529771</v>
      </c>
      <c r="AD49">
        <v>19741415</v>
      </c>
      <c r="AE49">
        <v>19734693</v>
      </c>
      <c r="AF49">
        <v>19647319</v>
      </c>
    </row>
    <row r="50" spans="1:32" x14ac:dyDescent="0.3">
      <c r="A50" t="s">
        <v>10</v>
      </c>
      <c r="B50" t="s">
        <v>182</v>
      </c>
      <c r="C50" t="s">
        <v>86</v>
      </c>
      <c r="D50" t="s">
        <v>183</v>
      </c>
      <c r="E50" t="s">
        <v>87</v>
      </c>
      <c r="F50">
        <v>21529868</v>
      </c>
      <c r="G50">
        <v>22696424</v>
      </c>
      <c r="H50">
        <v>24025835</v>
      </c>
      <c r="I50">
        <v>24995676</v>
      </c>
      <c r="J50">
        <v>26145950</v>
      </c>
      <c r="K50">
        <v>25316125</v>
      </c>
      <c r="L50">
        <v>28323748</v>
      </c>
      <c r="M50">
        <v>28774069</v>
      </c>
      <c r="N50">
        <v>29364049</v>
      </c>
      <c r="O50">
        <v>29954213</v>
      </c>
      <c r="P50">
        <v>30556116</v>
      </c>
      <c r="Q50">
        <v>31101609</v>
      </c>
      <c r="R50">
        <v>31582685</v>
      </c>
      <c r="S50">
        <v>31437965</v>
      </c>
      <c r="T50">
        <v>32089192</v>
      </c>
      <c r="U50">
        <v>33468382</v>
      </c>
      <c r="V50">
        <v>34230405</v>
      </c>
      <c r="W50">
        <v>36102991</v>
      </c>
      <c r="X50">
        <v>37567149</v>
      </c>
      <c r="Y50">
        <v>37855932</v>
      </c>
      <c r="Z50">
        <v>40051543</v>
      </c>
      <c r="AA50">
        <v>41643927</v>
      </c>
      <c r="AB50">
        <v>41788017</v>
      </c>
      <c r="AC50">
        <v>42935444</v>
      </c>
      <c r="AD50">
        <v>43669754</v>
      </c>
      <c r="AE50">
        <v>43902084</v>
      </c>
      <c r="AF50">
        <v>45985386</v>
      </c>
    </row>
    <row r="51" spans="1:32" x14ac:dyDescent="0.3">
      <c r="A51" t="s">
        <v>10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10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10</v>
      </c>
      <c r="B53" t="s">
        <v>188</v>
      </c>
      <c r="C53" t="s">
        <v>86</v>
      </c>
      <c r="D53" t="s">
        <v>189</v>
      </c>
      <c r="E53" t="s">
        <v>87</v>
      </c>
      <c r="F53">
        <v>8539901</v>
      </c>
      <c r="G53">
        <v>8426517</v>
      </c>
      <c r="H53">
        <v>8010932</v>
      </c>
      <c r="I53">
        <v>7870104</v>
      </c>
      <c r="J53">
        <v>7559525</v>
      </c>
      <c r="K53">
        <v>7843699</v>
      </c>
      <c r="L53">
        <v>7266999</v>
      </c>
      <c r="M53">
        <v>7440901</v>
      </c>
      <c r="N53">
        <v>7179467</v>
      </c>
      <c r="O53">
        <v>7028683</v>
      </c>
      <c r="P53">
        <v>7211373</v>
      </c>
      <c r="Q53">
        <v>7264204</v>
      </c>
      <c r="R53">
        <v>6967075</v>
      </c>
      <c r="S53">
        <v>6859198</v>
      </c>
      <c r="T53">
        <v>6710162</v>
      </c>
      <c r="U53">
        <v>6601596</v>
      </c>
      <c r="V53">
        <v>6474212</v>
      </c>
      <c r="W53">
        <v>6841301</v>
      </c>
      <c r="X53">
        <v>7055672</v>
      </c>
      <c r="Y53">
        <v>6932067</v>
      </c>
      <c r="Z53">
        <v>6841369</v>
      </c>
      <c r="AA53">
        <v>6498359</v>
      </c>
      <c r="AB53">
        <v>6544048</v>
      </c>
      <c r="AC53">
        <v>6502627</v>
      </c>
      <c r="AD53">
        <v>6283381</v>
      </c>
      <c r="AE53">
        <v>4990661</v>
      </c>
      <c r="AF53">
        <v>5325852</v>
      </c>
    </row>
    <row r="54" spans="1:32" x14ac:dyDescent="0.3">
      <c r="A54" t="s">
        <v>10</v>
      </c>
      <c r="B54" t="s">
        <v>190</v>
      </c>
      <c r="C54" t="s">
        <v>86</v>
      </c>
      <c r="D54" t="s">
        <v>191</v>
      </c>
      <c r="E54" t="s">
        <v>87</v>
      </c>
      <c r="F54">
        <v>18851314</v>
      </c>
      <c r="G54">
        <v>19150773</v>
      </c>
      <c r="H54">
        <v>19003725</v>
      </c>
      <c r="I54">
        <v>19423677</v>
      </c>
      <c r="J54">
        <v>19321862</v>
      </c>
      <c r="K54">
        <v>20350478</v>
      </c>
      <c r="L54">
        <v>19689270</v>
      </c>
      <c r="M54">
        <v>20163299</v>
      </c>
      <c r="N54">
        <v>20180792</v>
      </c>
      <c r="O54">
        <v>19946234</v>
      </c>
      <c r="P54">
        <v>20382049</v>
      </c>
      <c r="Q54">
        <v>20527486</v>
      </c>
      <c r="R54">
        <v>20489786</v>
      </c>
      <c r="S54">
        <v>19985096</v>
      </c>
      <c r="T54">
        <v>19105601</v>
      </c>
      <c r="U54">
        <v>18866289</v>
      </c>
      <c r="V54">
        <v>18807756</v>
      </c>
      <c r="W54">
        <v>18529971</v>
      </c>
      <c r="X54">
        <v>18203897</v>
      </c>
      <c r="Y54">
        <v>17709753</v>
      </c>
      <c r="Z54">
        <v>17507536</v>
      </c>
      <c r="AA54">
        <v>17045988</v>
      </c>
      <c r="AB54">
        <v>17399723</v>
      </c>
      <c r="AC54">
        <v>17205082</v>
      </c>
      <c r="AD54">
        <v>17266573</v>
      </c>
      <c r="AE54">
        <v>14708418</v>
      </c>
      <c r="AF54">
        <v>15205906</v>
      </c>
    </row>
    <row r="55" spans="1:32" x14ac:dyDescent="0.3">
      <c r="A55" t="s">
        <v>10</v>
      </c>
      <c r="B55" t="s">
        <v>192</v>
      </c>
      <c r="C55" t="s">
        <v>86</v>
      </c>
      <c r="D55" t="s">
        <v>193</v>
      </c>
      <c r="E55" t="s">
        <v>87</v>
      </c>
      <c r="F55">
        <v>10311413</v>
      </c>
      <c r="G55">
        <v>10724256</v>
      </c>
      <c r="H55">
        <v>10992793</v>
      </c>
      <c r="I55">
        <v>11553573</v>
      </c>
      <c r="J55">
        <v>11762337</v>
      </c>
      <c r="K55">
        <v>12506779</v>
      </c>
      <c r="L55">
        <v>12422271</v>
      </c>
      <c r="M55">
        <v>12722398</v>
      </c>
      <c r="N55">
        <v>13001325</v>
      </c>
      <c r="O55">
        <v>12917551</v>
      </c>
      <c r="P55">
        <v>13170676</v>
      </c>
      <c r="Q55">
        <v>13263282</v>
      </c>
      <c r="R55">
        <v>13522711</v>
      </c>
      <c r="S55">
        <v>13125898</v>
      </c>
      <c r="T55">
        <v>12395439</v>
      </c>
      <c r="U55">
        <v>12264693</v>
      </c>
      <c r="V55">
        <v>12333544</v>
      </c>
      <c r="W55">
        <v>11688670</v>
      </c>
      <c r="X55">
        <v>11148225</v>
      </c>
      <c r="Y55">
        <v>10777686</v>
      </c>
      <c r="Z55">
        <v>10666167</v>
      </c>
      <c r="AA55">
        <v>10547629</v>
      </c>
      <c r="AB55">
        <v>10855675</v>
      </c>
      <c r="AC55">
        <v>10702455</v>
      </c>
      <c r="AD55">
        <v>10983192</v>
      </c>
      <c r="AE55">
        <v>9717757</v>
      </c>
      <c r="AF55">
        <v>9880054</v>
      </c>
    </row>
    <row r="56" spans="1:32" x14ac:dyDescent="0.3">
      <c r="A56" t="s">
        <v>10</v>
      </c>
      <c r="B56" t="s">
        <v>194</v>
      </c>
      <c r="C56" t="s">
        <v>86</v>
      </c>
      <c r="D56" t="s">
        <v>195</v>
      </c>
      <c r="E56" t="s">
        <v>87</v>
      </c>
      <c r="F56">
        <v>3899101</v>
      </c>
      <c r="G56">
        <v>3555098</v>
      </c>
      <c r="H56">
        <v>3245114</v>
      </c>
      <c r="I56">
        <v>2867907</v>
      </c>
      <c r="J56">
        <v>2653792</v>
      </c>
      <c r="K56">
        <v>2258980</v>
      </c>
      <c r="L56">
        <v>2017479</v>
      </c>
      <c r="M56">
        <v>1921302</v>
      </c>
      <c r="N56">
        <v>1827538</v>
      </c>
      <c r="O56">
        <v>1784183</v>
      </c>
      <c r="P56">
        <v>1533191</v>
      </c>
      <c r="Q56">
        <v>1634136</v>
      </c>
      <c r="R56">
        <v>1797966</v>
      </c>
      <c r="S56">
        <v>2314952</v>
      </c>
      <c r="T56">
        <v>2186110</v>
      </c>
      <c r="U56">
        <v>2095889</v>
      </c>
      <c r="V56">
        <v>2217789</v>
      </c>
      <c r="W56">
        <v>2135214</v>
      </c>
      <c r="X56">
        <v>1658620</v>
      </c>
      <c r="Y56">
        <v>1912485</v>
      </c>
      <c r="Z56">
        <v>1851696</v>
      </c>
      <c r="AA56">
        <v>2338896</v>
      </c>
      <c r="AB56">
        <v>1782339</v>
      </c>
      <c r="AC56">
        <v>2012687</v>
      </c>
      <c r="AD56">
        <v>2229736</v>
      </c>
      <c r="AE56">
        <v>2173415</v>
      </c>
      <c r="AF56">
        <v>1930278</v>
      </c>
    </row>
    <row r="57" spans="1:32" x14ac:dyDescent="0.3">
      <c r="A57" t="s">
        <v>10</v>
      </c>
      <c r="B57" t="s">
        <v>196</v>
      </c>
      <c r="C57" t="s">
        <v>86</v>
      </c>
      <c r="D57" t="s">
        <v>197</v>
      </c>
      <c r="E57" t="s">
        <v>87</v>
      </c>
      <c r="F57">
        <v>520982744</v>
      </c>
      <c r="G57">
        <v>533932080</v>
      </c>
      <c r="H57">
        <v>538677962</v>
      </c>
      <c r="I57">
        <v>535494168</v>
      </c>
      <c r="J57">
        <v>536295218</v>
      </c>
      <c r="K57">
        <v>541543199</v>
      </c>
      <c r="L57">
        <v>533988665</v>
      </c>
      <c r="M57">
        <v>530698386</v>
      </c>
      <c r="N57">
        <v>532479485</v>
      </c>
      <c r="O57">
        <v>535996224</v>
      </c>
      <c r="P57">
        <v>542404651</v>
      </c>
      <c r="Q57">
        <v>542488285</v>
      </c>
      <c r="R57">
        <v>544648389</v>
      </c>
      <c r="S57">
        <v>534756182</v>
      </c>
      <c r="T57">
        <v>493784838</v>
      </c>
      <c r="U57">
        <v>514526473</v>
      </c>
      <c r="V57">
        <v>504728016</v>
      </c>
      <c r="W57">
        <v>500989293</v>
      </c>
      <c r="X57">
        <v>507942446</v>
      </c>
      <c r="Y57">
        <v>507627570</v>
      </c>
      <c r="Z57">
        <v>523307938</v>
      </c>
      <c r="AA57">
        <v>538990415</v>
      </c>
      <c r="AB57">
        <v>554087180</v>
      </c>
      <c r="AC57">
        <v>554841082</v>
      </c>
      <c r="AD57">
        <v>551192048</v>
      </c>
      <c r="AE57">
        <v>529297601</v>
      </c>
      <c r="AF57">
        <v>553595675</v>
      </c>
    </row>
    <row r="58" spans="1:32" x14ac:dyDescent="0.3">
      <c r="A58" t="s">
        <v>10</v>
      </c>
      <c r="B58" t="s">
        <v>198</v>
      </c>
      <c r="C58" t="s">
        <v>86</v>
      </c>
      <c r="D58" t="s">
        <v>199</v>
      </c>
      <c r="E58" t="s">
        <v>87</v>
      </c>
      <c r="F58">
        <v>517083643</v>
      </c>
      <c r="G58">
        <v>530376982</v>
      </c>
      <c r="H58">
        <v>535432848</v>
      </c>
      <c r="I58">
        <v>532626261</v>
      </c>
      <c r="J58">
        <v>533641426</v>
      </c>
      <c r="K58">
        <v>539284219</v>
      </c>
      <c r="L58">
        <v>531971186</v>
      </c>
      <c r="M58">
        <v>528777084</v>
      </c>
      <c r="N58">
        <v>530651947</v>
      </c>
      <c r="O58">
        <v>534212041</v>
      </c>
      <c r="P58">
        <v>540871460</v>
      </c>
      <c r="Q58">
        <v>540854149</v>
      </c>
      <c r="R58">
        <v>542850423</v>
      </c>
      <c r="S58">
        <v>532441230</v>
      </c>
      <c r="T58">
        <v>491598728</v>
      </c>
      <c r="U58">
        <v>512430584</v>
      </c>
      <c r="V58">
        <v>502510227</v>
      </c>
      <c r="W58">
        <v>498854079</v>
      </c>
      <c r="X58">
        <v>506283826</v>
      </c>
      <c r="Y58">
        <v>505715085</v>
      </c>
      <c r="Z58">
        <v>521456242</v>
      </c>
      <c r="AA58">
        <v>536651519</v>
      </c>
      <c r="AB58">
        <v>552304841</v>
      </c>
      <c r="AC58">
        <v>552828395</v>
      </c>
      <c r="AD58">
        <v>548962312</v>
      </c>
      <c r="AE58">
        <v>527124186</v>
      </c>
      <c r="AF58">
        <v>551665397</v>
      </c>
    </row>
    <row r="59" spans="1:32" x14ac:dyDescent="0.3">
      <c r="A59" t="s">
        <v>10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12</v>
      </c>
      <c r="B2" t="s">
        <v>84</v>
      </c>
      <c r="C2" t="s">
        <v>86</v>
      </c>
      <c r="D2" t="s">
        <v>85</v>
      </c>
      <c r="E2" t="s">
        <v>87</v>
      </c>
      <c r="F2">
        <v>16484182</v>
      </c>
      <c r="G2">
        <v>15903594</v>
      </c>
      <c r="H2">
        <v>15839804</v>
      </c>
      <c r="I2">
        <v>15537849</v>
      </c>
      <c r="J2">
        <v>15741420</v>
      </c>
      <c r="K2">
        <v>15872216</v>
      </c>
      <c r="L2">
        <v>14299807</v>
      </c>
      <c r="M2">
        <v>14343836</v>
      </c>
      <c r="N2">
        <v>12760847</v>
      </c>
      <c r="O2">
        <v>12466446</v>
      </c>
      <c r="P2">
        <v>12893467</v>
      </c>
      <c r="Q2">
        <v>12207923</v>
      </c>
      <c r="R2">
        <v>12631819</v>
      </c>
      <c r="S2">
        <v>12592647</v>
      </c>
      <c r="T2">
        <v>12438931</v>
      </c>
      <c r="U2">
        <v>11903443</v>
      </c>
      <c r="V2">
        <v>12176652</v>
      </c>
      <c r="W2">
        <v>12105008</v>
      </c>
      <c r="X2">
        <v>12472991</v>
      </c>
      <c r="Y2">
        <v>12435472</v>
      </c>
      <c r="Z2">
        <v>12335045</v>
      </c>
      <c r="AA2">
        <v>12750775</v>
      </c>
      <c r="AB2">
        <v>13551881</v>
      </c>
      <c r="AC2">
        <v>13360690</v>
      </c>
      <c r="AD2">
        <v>13636569</v>
      </c>
      <c r="AE2">
        <v>13293258</v>
      </c>
      <c r="AF2">
        <v>13354047</v>
      </c>
    </row>
    <row r="3" spans="1:32" x14ac:dyDescent="0.3">
      <c r="A3" t="s">
        <v>12</v>
      </c>
      <c r="B3" t="s">
        <v>88</v>
      </c>
      <c r="C3" t="s">
        <v>86</v>
      </c>
      <c r="D3" t="s">
        <v>89</v>
      </c>
      <c r="E3" t="s">
        <v>87</v>
      </c>
      <c r="F3">
        <v>1643974</v>
      </c>
      <c r="G3">
        <v>1761592</v>
      </c>
      <c r="H3">
        <v>1635022</v>
      </c>
      <c r="I3">
        <v>1529026</v>
      </c>
      <c r="J3">
        <v>1485731</v>
      </c>
      <c r="K3">
        <v>1457078</v>
      </c>
      <c r="L3">
        <v>1363963</v>
      </c>
      <c r="M3">
        <v>1254744</v>
      </c>
      <c r="N3">
        <v>1144146</v>
      </c>
      <c r="O3">
        <v>1029000</v>
      </c>
      <c r="P3">
        <v>996375</v>
      </c>
      <c r="Q3">
        <v>942651</v>
      </c>
      <c r="R3">
        <v>912811</v>
      </c>
      <c r="S3">
        <v>866250</v>
      </c>
      <c r="T3">
        <v>839839</v>
      </c>
      <c r="U3">
        <v>794554</v>
      </c>
      <c r="V3">
        <v>746546</v>
      </c>
      <c r="W3">
        <v>774337</v>
      </c>
      <c r="X3">
        <v>813206</v>
      </c>
      <c r="Y3">
        <v>835897</v>
      </c>
      <c r="Z3">
        <v>857099</v>
      </c>
      <c r="AA3">
        <v>825097</v>
      </c>
      <c r="AB3">
        <v>805099</v>
      </c>
      <c r="AC3">
        <v>802317</v>
      </c>
      <c r="AD3">
        <v>789807</v>
      </c>
      <c r="AE3">
        <v>810673</v>
      </c>
      <c r="AF3">
        <v>754113</v>
      </c>
    </row>
    <row r="4" spans="1:32" x14ac:dyDescent="0.3">
      <c r="A4" t="s">
        <v>12</v>
      </c>
      <c r="B4" t="s">
        <v>90</v>
      </c>
      <c r="C4" t="s">
        <v>86</v>
      </c>
      <c r="D4" t="s">
        <v>91</v>
      </c>
      <c r="E4" t="s">
        <v>87</v>
      </c>
      <c r="F4">
        <v>319002784</v>
      </c>
      <c r="G4">
        <v>324919396</v>
      </c>
      <c r="H4">
        <v>330380704</v>
      </c>
      <c r="I4">
        <v>316457826</v>
      </c>
      <c r="J4">
        <v>305504068</v>
      </c>
      <c r="K4">
        <v>310262384</v>
      </c>
      <c r="L4">
        <v>299236812</v>
      </c>
      <c r="M4">
        <v>287947970</v>
      </c>
      <c r="N4">
        <v>289845948</v>
      </c>
      <c r="O4">
        <v>296869448</v>
      </c>
      <c r="P4">
        <v>307841651</v>
      </c>
      <c r="Q4">
        <v>323802253</v>
      </c>
      <c r="R4">
        <v>345130122</v>
      </c>
      <c r="S4">
        <v>345139153</v>
      </c>
      <c r="T4">
        <v>296262126</v>
      </c>
      <c r="U4">
        <v>304282689</v>
      </c>
      <c r="V4">
        <v>295274497</v>
      </c>
      <c r="W4">
        <v>303227899</v>
      </c>
      <c r="X4">
        <v>293751946</v>
      </c>
      <c r="Y4">
        <v>305018144</v>
      </c>
      <c r="Z4">
        <v>321008151</v>
      </c>
      <c r="AA4">
        <v>315811301</v>
      </c>
      <c r="AB4">
        <v>311269510</v>
      </c>
      <c r="AC4">
        <v>326554045</v>
      </c>
      <c r="AD4">
        <v>326109958</v>
      </c>
      <c r="AE4">
        <v>297625993</v>
      </c>
      <c r="AF4">
        <v>305513898</v>
      </c>
    </row>
    <row r="5" spans="1:32" x14ac:dyDescent="0.3">
      <c r="A5" t="s">
        <v>12</v>
      </c>
      <c r="B5" t="s">
        <v>92</v>
      </c>
      <c r="C5" t="s">
        <v>86</v>
      </c>
      <c r="D5" t="s">
        <v>93</v>
      </c>
      <c r="E5" t="s">
        <v>87</v>
      </c>
      <c r="F5">
        <v>36691989</v>
      </c>
      <c r="G5">
        <v>35843954</v>
      </c>
      <c r="H5">
        <v>35751541</v>
      </c>
      <c r="I5">
        <v>36531566</v>
      </c>
      <c r="J5">
        <v>35884300</v>
      </c>
      <c r="K5">
        <v>35233842</v>
      </c>
      <c r="L5">
        <v>35051266</v>
      </c>
      <c r="M5">
        <v>34292481</v>
      </c>
      <c r="N5">
        <v>33696711</v>
      </c>
      <c r="O5">
        <v>33766908</v>
      </c>
      <c r="P5">
        <v>33375749</v>
      </c>
      <c r="Q5">
        <v>32804694</v>
      </c>
      <c r="R5">
        <v>33423906</v>
      </c>
      <c r="S5">
        <v>33221748</v>
      </c>
      <c r="T5">
        <v>34044200</v>
      </c>
      <c r="U5">
        <v>34221207</v>
      </c>
      <c r="V5">
        <v>32819176</v>
      </c>
      <c r="W5">
        <v>33613847</v>
      </c>
      <c r="X5">
        <v>33576359</v>
      </c>
      <c r="Y5">
        <v>33776697</v>
      </c>
      <c r="Z5">
        <v>35802352</v>
      </c>
      <c r="AA5">
        <v>35991482</v>
      </c>
      <c r="AB5">
        <v>36209501</v>
      </c>
      <c r="AC5">
        <v>36946318</v>
      </c>
      <c r="AD5">
        <v>36986142</v>
      </c>
      <c r="AE5">
        <v>35534371</v>
      </c>
      <c r="AF5">
        <v>35721899</v>
      </c>
    </row>
    <row r="6" spans="1:32" x14ac:dyDescent="0.3">
      <c r="A6" t="s">
        <v>12</v>
      </c>
      <c r="B6" t="s">
        <v>94</v>
      </c>
      <c r="C6" t="s">
        <v>86</v>
      </c>
      <c r="D6" t="s">
        <v>95</v>
      </c>
      <c r="E6" t="s">
        <v>87</v>
      </c>
      <c r="F6">
        <v>12101063</v>
      </c>
      <c r="G6">
        <v>11102844</v>
      </c>
      <c r="H6">
        <v>10363498</v>
      </c>
      <c r="I6">
        <v>9787080</v>
      </c>
      <c r="J6">
        <v>8684752</v>
      </c>
      <c r="K6">
        <v>7762246</v>
      </c>
      <c r="L6">
        <v>6746179</v>
      </c>
      <c r="M6">
        <v>5965906</v>
      </c>
      <c r="N6">
        <v>5553635</v>
      </c>
      <c r="O6">
        <v>5196611</v>
      </c>
      <c r="P6">
        <v>4781846</v>
      </c>
      <c r="Q6">
        <v>4571067</v>
      </c>
      <c r="R6">
        <v>4583129</v>
      </c>
      <c r="S6">
        <v>4389195</v>
      </c>
      <c r="T6">
        <v>3676652</v>
      </c>
      <c r="U6">
        <v>3452264</v>
      </c>
      <c r="V6">
        <v>3609143</v>
      </c>
      <c r="W6">
        <v>3593767</v>
      </c>
      <c r="X6">
        <v>3361559</v>
      </c>
      <c r="Y6">
        <v>3425229</v>
      </c>
      <c r="Z6">
        <v>3831452</v>
      </c>
      <c r="AA6">
        <v>3608143</v>
      </c>
      <c r="AB6">
        <v>3463152</v>
      </c>
      <c r="AC6">
        <v>3467401</v>
      </c>
      <c r="AD6">
        <v>3430543</v>
      </c>
      <c r="AE6">
        <v>3160577</v>
      </c>
      <c r="AF6">
        <v>2806382</v>
      </c>
    </row>
    <row r="7" spans="1:32" x14ac:dyDescent="0.3">
      <c r="A7" t="s">
        <v>12</v>
      </c>
      <c r="B7" t="s">
        <v>96</v>
      </c>
      <c r="C7" t="s">
        <v>86</v>
      </c>
      <c r="D7" t="s">
        <v>97</v>
      </c>
      <c r="E7" t="s">
        <v>87</v>
      </c>
      <c r="F7">
        <v>21170630</v>
      </c>
      <c r="G7">
        <v>21475566</v>
      </c>
      <c r="H7">
        <v>21484949</v>
      </c>
      <c r="I7">
        <v>20768528</v>
      </c>
      <c r="J7">
        <v>19570942</v>
      </c>
      <c r="K7">
        <v>19265512</v>
      </c>
      <c r="L7">
        <v>18652383</v>
      </c>
      <c r="M7">
        <v>17775194</v>
      </c>
      <c r="N7">
        <v>17264152</v>
      </c>
      <c r="O7">
        <v>17313243</v>
      </c>
      <c r="P7">
        <v>17261145</v>
      </c>
      <c r="Q7">
        <v>17008570</v>
      </c>
      <c r="R7">
        <v>17081921</v>
      </c>
      <c r="S7">
        <v>16882651</v>
      </c>
      <c r="T7">
        <v>15224089</v>
      </c>
      <c r="U7">
        <v>15899715</v>
      </c>
      <c r="V7">
        <v>14989172</v>
      </c>
      <c r="W7">
        <v>14545326</v>
      </c>
      <c r="X7">
        <v>14692480</v>
      </c>
      <c r="Y7">
        <v>14593818</v>
      </c>
      <c r="Z7">
        <v>15337664</v>
      </c>
      <c r="AA7">
        <v>15116023</v>
      </c>
      <c r="AB7">
        <v>15106934</v>
      </c>
      <c r="AC7">
        <v>14896917</v>
      </c>
      <c r="AD7">
        <v>14860269</v>
      </c>
      <c r="AE7">
        <v>13892280</v>
      </c>
      <c r="AF7">
        <v>14049777</v>
      </c>
    </row>
    <row r="8" spans="1:32" x14ac:dyDescent="0.3">
      <c r="A8" t="s">
        <v>12</v>
      </c>
      <c r="B8" t="s">
        <v>98</v>
      </c>
      <c r="C8" t="s">
        <v>86</v>
      </c>
      <c r="D8" t="s">
        <v>99</v>
      </c>
      <c r="E8" t="s">
        <v>87</v>
      </c>
      <c r="F8">
        <v>10690012</v>
      </c>
      <c r="G8">
        <v>11543120</v>
      </c>
      <c r="H8">
        <v>12461048</v>
      </c>
      <c r="I8">
        <v>13031722</v>
      </c>
      <c r="J8">
        <v>11428387</v>
      </c>
      <c r="K8">
        <v>11293202</v>
      </c>
      <c r="L8">
        <v>12833641</v>
      </c>
      <c r="M8">
        <v>12745344</v>
      </c>
      <c r="N8">
        <v>12944445</v>
      </c>
      <c r="O8">
        <v>13045710</v>
      </c>
      <c r="P8">
        <v>14364096</v>
      </c>
      <c r="Q8">
        <v>17076689</v>
      </c>
      <c r="R8">
        <v>19980514</v>
      </c>
      <c r="S8">
        <v>19373844</v>
      </c>
      <c r="T8">
        <v>26749870</v>
      </c>
      <c r="U8">
        <v>17463136</v>
      </c>
      <c r="V8">
        <v>17889073</v>
      </c>
      <c r="W8">
        <v>21247731</v>
      </c>
      <c r="X8">
        <v>20818487</v>
      </c>
      <c r="Y8">
        <v>21887607</v>
      </c>
      <c r="Z8">
        <v>22679984</v>
      </c>
      <c r="AA8">
        <v>18127567</v>
      </c>
      <c r="AB8">
        <v>14518615</v>
      </c>
      <c r="AC8">
        <v>16447543</v>
      </c>
      <c r="AD8">
        <v>19124641</v>
      </c>
      <c r="AE8">
        <v>16363605</v>
      </c>
      <c r="AF8">
        <v>13413890</v>
      </c>
    </row>
    <row r="9" spans="1:32" x14ac:dyDescent="0.3">
      <c r="A9" t="s">
        <v>12</v>
      </c>
      <c r="B9" t="s">
        <v>100</v>
      </c>
      <c r="C9" t="s">
        <v>86</v>
      </c>
      <c r="D9" t="s">
        <v>101</v>
      </c>
      <c r="E9" t="s">
        <v>87</v>
      </c>
      <c r="F9">
        <v>20403170</v>
      </c>
      <c r="G9">
        <v>21712573</v>
      </c>
      <c r="H9">
        <v>22053978</v>
      </c>
      <c r="I9">
        <v>21667054</v>
      </c>
      <c r="J9">
        <v>21229607</v>
      </c>
      <c r="K9">
        <v>19990658</v>
      </c>
      <c r="L9">
        <v>20430914</v>
      </c>
      <c r="M9">
        <v>19933898</v>
      </c>
      <c r="N9">
        <v>19317501</v>
      </c>
      <c r="O9">
        <v>19522414</v>
      </c>
      <c r="P9">
        <v>20484656</v>
      </c>
      <c r="Q9">
        <v>21646894</v>
      </c>
      <c r="R9">
        <v>23414359</v>
      </c>
      <c r="S9">
        <v>23749397</v>
      </c>
      <c r="T9">
        <v>22379394</v>
      </c>
      <c r="U9">
        <v>20274631</v>
      </c>
      <c r="V9">
        <v>20579335</v>
      </c>
      <c r="W9">
        <v>21435714</v>
      </c>
      <c r="X9">
        <v>21504175</v>
      </c>
      <c r="Y9">
        <v>22692024</v>
      </c>
      <c r="Z9">
        <v>25293338</v>
      </c>
      <c r="AA9">
        <v>23422411</v>
      </c>
      <c r="AB9">
        <v>21391762</v>
      </c>
      <c r="AC9">
        <v>22755616</v>
      </c>
      <c r="AD9">
        <v>24737436</v>
      </c>
      <c r="AE9">
        <v>23058827</v>
      </c>
      <c r="AF9">
        <v>21113485</v>
      </c>
    </row>
    <row r="10" spans="1:32" x14ac:dyDescent="0.3">
      <c r="A10" t="s">
        <v>12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12</v>
      </c>
      <c r="B11" t="s">
        <v>104</v>
      </c>
      <c r="C11" t="s">
        <v>86</v>
      </c>
      <c r="D11" t="s">
        <v>105</v>
      </c>
      <c r="E11" t="s">
        <v>87</v>
      </c>
      <c r="F11">
        <v>7065178</v>
      </c>
      <c r="G11">
        <v>7042531</v>
      </c>
      <c r="H11">
        <v>7140320</v>
      </c>
      <c r="I11">
        <v>7247376</v>
      </c>
      <c r="J11">
        <v>7429460</v>
      </c>
      <c r="K11">
        <v>8181853</v>
      </c>
      <c r="L11">
        <v>7969363</v>
      </c>
      <c r="M11">
        <v>8177099</v>
      </c>
      <c r="N11">
        <v>8265009</v>
      </c>
      <c r="O11">
        <v>8297522</v>
      </c>
      <c r="P11">
        <v>7923210</v>
      </c>
      <c r="Q11">
        <v>8346664</v>
      </c>
      <c r="R11">
        <v>8059725</v>
      </c>
      <c r="S11">
        <v>8285435</v>
      </c>
      <c r="T11">
        <v>8358025</v>
      </c>
      <c r="U11">
        <v>8933563</v>
      </c>
      <c r="V11">
        <v>8612645</v>
      </c>
      <c r="W11">
        <v>8391036</v>
      </c>
      <c r="X11">
        <v>8107168</v>
      </c>
      <c r="Y11">
        <v>7936299</v>
      </c>
      <c r="Z11">
        <v>8463694</v>
      </c>
      <c r="AA11">
        <v>9055427</v>
      </c>
      <c r="AB11">
        <v>8833281</v>
      </c>
      <c r="AC11">
        <v>9039608</v>
      </c>
      <c r="AD11">
        <v>8536485</v>
      </c>
      <c r="AE11">
        <v>9428142</v>
      </c>
      <c r="AF11">
        <v>8913766</v>
      </c>
    </row>
    <row r="12" spans="1:32" x14ac:dyDescent="0.3">
      <c r="A12" t="s">
        <v>12</v>
      </c>
      <c r="B12" t="s">
        <v>106</v>
      </c>
      <c r="C12" t="s">
        <v>86</v>
      </c>
      <c r="D12" t="s">
        <v>107</v>
      </c>
      <c r="E12" t="s">
        <v>87</v>
      </c>
      <c r="F12">
        <v>23582726</v>
      </c>
      <c r="G12">
        <v>23789880</v>
      </c>
      <c r="H12">
        <v>23585291</v>
      </c>
      <c r="I12">
        <v>22520289</v>
      </c>
      <c r="J12">
        <v>21943031</v>
      </c>
      <c r="K12">
        <v>21956004</v>
      </c>
      <c r="L12">
        <v>21041378</v>
      </c>
      <c r="M12">
        <v>20324794</v>
      </c>
      <c r="N12">
        <v>20292569</v>
      </c>
      <c r="O12">
        <v>20850557</v>
      </c>
      <c r="P12">
        <v>20811115</v>
      </c>
      <c r="Q12">
        <v>21504498</v>
      </c>
      <c r="R12">
        <v>22647118</v>
      </c>
      <c r="S12">
        <v>21882816</v>
      </c>
      <c r="T12">
        <v>18316839</v>
      </c>
      <c r="U12">
        <v>20019678</v>
      </c>
      <c r="V12">
        <v>20018497</v>
      </c>
      <c r="W12">
        <v>19377048</v>
      </c>
      <c r="X12">
        <v>19208413</v>
      </c>
      <c r="Y12">
        <v>19543170</v>
      </c>
      <c r="Z12">
        <v>20733465</v>
      </c>
      <c r="AA12">
        <v>20589777</v>
      </c>
      <c r="AB12">
        <v>20881396</v>
      </c>
      <c r="AC12">
        <v>21298209</v>
      </c>
      <c r="AD12">
        <v>21302876</v>
      </c>
      <c r="AE12">
        <v>20806557</v>
      </c>
      <c r="AF12">
        <v>21744886</v>
      </c>
    </row>
    <row r="13" spans="1:32" x14ac:dyDescent="0.3">
      <c r="A13" t="s">
        <v>12</v>
      </c>
      <c r="B13" t="s">
        <v>108</v>
      </c>
      <c r="C13" t="s">
        <v>86</v>
      </c>
      <c r="D13" t="s">
        <v>109</v>
      </c>
      <c r="E13" t="s">
        <v>87</v>
      </c>
      <c r="F13">
        <v>44262679</v>
      </c>
      <c r="G13">
        <v>44324463</v>
      </c>
      <c r="H13">
        <v>44311755</v>
      </c>
      <c r="I13">
        <v>41630222</v>
      </c>
      <c r="J13">
        <v>38144208</v>
      </c>
      <c r="K13">
        <v>38661823</v>
      </c>
      <c r="L13">
        <v>37343204</v>
      </c>
      <c r="M13">
        <v>35941221</v>
      </c>
      <c r="N13">
        <v>35022743</v>
      </c>
      <c r="O13">
        <v>37208754</v>
      </c>
      <c r="P13">
        <v>42928778</v>
      </c>
      <c r="Q13">
        <v>48037512</v>
      </c>
      <c r="R13">
        <v>53738160</v>
      </c>
      <c r="S13">
        <v>56194728</v>
      </c>
      <c r="T13">
        <v>50069938</v>
      </c>
      <c r="U13">
        <v>50100358</v>
      </c>
      <c r="V13">
        <v>48858397</v>
      </c>
      <c r="W13">
        <v>54470933</v>
      </c>
      <c r="X13">
        <v>50338857</v>
      </c>
      <c r="Y13">
        <v>51193267</v>
      </c>
      <c r="Z13">
        <v>51471470</v>
      </c>
      <c r="AA13">
        <v>50726160</v>
      </c>
      <c r="AB13">
        <v>47898765</v>
      </c>
      <c r="AC13">
        <v>52225285</v>
      </c>
      <c r="AD13">
        <v>52294448</v>
      </c>
      <c r="AE13">
        <v>46227445</v>
      </c>
      <c r="AF13">
        <v>50089935</v>
      </c>
    </row>
    <row r="14" spans="1:32" x14ac:dyDescent="0.3">
      <c r="A14" t="s">
        <v>12</v>
      </c>
      <c r="B14" t="s">
        <v>110</v>
      </c>
      <c r="C14" t="s">
        <v>86</v>
      </c>
      <c r="D14" t="s">
        <v>111</v>
      </c>
      <c r="E14" t="s">
        <v>87</v>
      </c>
      <c r="F14">
        <v>40161248</v>
      </c>
      <c r="G14">
        <v>43720858</v>
      </c>
      <c r="H14">
        <v>45468628</v>
      </c>
      <c r="I14">
        <v>41883088</v>
      </c>
      <c r="J14">
        <v>42873114</v>
      </c>
      <c r="K14">
        <v>46352162</v>
      </c>
      <c r="L14">
        <v>40847733</v>
      </c>
      <c r="M14">
        <v>37163398</v>
      </c>
      <c r="N14">
        <v>39283342</v>
      </c>
      <c r="O14">
        <v>39084768</v>
      </c>
      <c r="P14">
        <v>37966144</v>
      </c>
      <c r="Q14">
        <v>38703301</v>
      </c>
      <c r="R14">
        <v>41073789</v>
      </c>
      <c r="S14">
        <v>40403850</v>
      </c>
      <c r="T14">
        <v>30726639</v>
      </c>
      <c r="U14">
        <v>32398835</v>
      </c>
      <c r="V14">
        <v>29637897</v>
      </c>
      <c r="W14">
        <v>25208276</v>
      </c>
      <c r="X14">
        <v>23016864</v>
      </c>
      <c r="Y14">
        <v>25340839</v>
      </c>
      <c r="Z14">
        <v>26405644</v>
      </c>
      <c r="AA14">
        <v>26047515</v>
      </c>
      <c r="AB14">
        <v>25622700</v>
      </c>
      <c r="AC14">
        <v>27245500</v>
      </c>
      <c r="AD14">
        <v>25617908</v>
      </c>
      <c r="AE14">
        <v>25135109</v>
      </c>
      <c r="AF14">
        <v>27391659</v>
      </c>
    </row>
    <row r="15" spans="1:32" x14ac:dyDescent="0.3">
      <c r="A15" t="s">
        <v>12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12</v>
      </c>
      <c r="B16" t="s">
        <v>114</v>
      </c>
      <c r="C16" t="s">
        <v>86</v>
      </c>
      <c r="D16" t="s">
        <v>115</v>
      </c>
      <c r="E16" t="s">
        <v>87</v>
      </c>
      <c r="F16">
        <v>21342672</v>
      </c>
      <c r="G16">
        <v>21470437</v>
      </c>
      <c r="H16">
        <v>21691462</v>
      </c>
      <c r="I16">
        <v>19973877</v>
      </c>
      <c r="J16">
        <v>18572585</v>
      </c>
      <c r="K16">
        <v>19603721</v>
      </c>
      <c r="L16">
        <v>18840819</v>
      </c>
      <c r="M16">
        <v>16518254</v>
      </c>
      <c r="N16">
        <v>16538533</v>
      </c>
      <c r="O16">
        <v>16676086</v>
      </c>
      <c r="P16">
        <v>17081270</v>
      </c>
      <c r="Q16">
        <v>18213345</v>
      </c>
      <c r="R16">
        <v>19048574</v>
      </c>
      <c r="S16">
        <v>17982136</v>
      </c>
      <c r="T16">
        <v>15251038</v>
      </c>
      <c r="U16">
        <v>16937411</v>
      </c>
      <c r="V16">
        <v>16324692</v>
      </c>
      <c r="W16">
        <v>16413955</v>
      </c>
      <c r="X16">
        <v>15903979</v>
      </c>
      <c r="Y16">
        <v>17327924</v>
      </c>
      <c r="Z16">
        <v>17470500</v>
      </c>
      <c r="AA16">
        <v>17437998</v>
      </c>
      <c r="AB16">
        <v>17825012</v>
      </c>
      <c r="AC16">
        <v>19310136</v>
      </c>
      <c r="AD16">
        <v>18788233</v>
      </c>
      <c r="AE16">
        <v>17658844</v>
      </c>
      <c r="AF16">
        <v>18018333</v>
      </c>
    </row>
    <row r="17" spans="1:32" x14ac:dyDescent="0.3">
      <c r="A17" t="s">
        <v>12</v>
      </c>
      <c r="B17" t="s">
        <v>116</v>
      </c>
      <c r="C17" t="s">
        <v>86</v>
      </c>
      <c r="D17" t="s">
        <v>117</v>
      </c>
      <c r="E17" t="s">
        <v>87</v>
      </c>
      <c r="F17">
        <v>29094631</v>
      </c>
      <c r="G17">
        <v>30729931</v>
      </c>
      <c r="H17">
        <v>31668926</v>
      </c>
      <c r="I17">
        <v>29960292</v>
      </c>
      <c r="J17">
        <v>28460893</v>
      </c>
      <c r="K17">
        <v>29663634</v>
      </c>
      <c r="L17">
        <v>28101886</v>
      </c>
      <c r="M17">
        <v>25266857</v>
      </c>
      <c r="N17">
        <v>26533512</v>
      </c>
      <c r="O17">
        <v>28879354</v>
      </c>
      <c r="P17">
        <v>30783281</v>
      </c>
      <c r="Q17">
        <v>32917874</v>
      </c>
      <c r="R17">
        <v>34981582</v>
      </c>
      <c r="S17">
        <v>34286950</v>
      </c>
      <c r="T17">
        <v>23136001</v>
      </c>
      <c r="U17">
        <v>26074015</v>
      </c>
      <c r="V17">
        <v>28385344</v>
      </c>
      <c r="W17">
        <v>28010330</v>
      </c>
      <c r="X17">
        <v>26715573</v>
      </c>
      <c r="Y17">
        <v>28088580</v>
      </c>
      <c r="Z17">
        <v>30274507</v>
      </c>
      <c r="AA17">
        <v>30805483</v>
      </c>
      <c r="AB17">
        <v>32949707</v>
      </c>
      <c r="AC17">
        <v>34887914</v>
      </c>
      <c r="AD17">
        <v>33365393</v>
      </c>
      <c r="AE17">
        <v>29992675</v>
      </c>
      <c r="AF17">
        <v>33933061</v>
      </c>
    </row>
    <row r="18" spans="1:32" x14ac:dyDescent="0.3">
      <c r="A18" t="s">
        <v>12</v>
      </c>
      <c r="B18" t="s">
        <v>118</v>
      </c>
      <c r="C18" t="s">
        <v>86</v>
      </c>
      <c r="D18" t="s">
        <v>119</v>
      </c>
      <c r="E18" t="s">
        <v>87</v>
      </c>
      <c r="F18">
        <v>43411558</v>
      </c>
      <c r="G18">
        <v>42985495</v>
      </c>
      <c r="H18">
        <v>45271477</v>
      </c>
      <c r="I18">
        <v>42836813</v>
      </c>
      <c r="J18">
        <v>43189300</v>
      </c>
      <c r="K18">
        <v>44354799</v>
      </c>
      <c r="L18">
        <v>43774510</v>
      </c>
      <c r="M18">
        <v>46694242</v>
      </c>
      <c r="N18">
        <v>48473041</v>
      </c>
      <c r="O18">
        <v>50912965</v>
      </c>
      <c r="P18">
        <v>53802348</v>
      </c>
      <c r="Q18">
        <v>56776342</v>
      </c>
      <c r="R18">
        <v>60993800</v>
      </c>
      <c r="S18">
        <v>62506755</v>
      </c>
      <c r="T18">
        <v>43488968</v>
      </c>
      <c r="U18">
        <v>53633768</v>
      </c>
      <c r="V18">
        <v>48615092</v>
      </c>
      <c r="W18">
        <v>52091281</v>
      </c>
      <c r="X18">
        <v>51659257</v>
      </c>
      <c r="Y18">
        <v>54259521</v>
      </c>
      <c r="Z18">
        <v>58042606</v>
      </c>
      <c r="AA18">
        <v>59742512</v>
      </c>
      <c r="AB18">
        <v>61295937</v>
      </c>
      <c r="AC18">
        <v>62676456</v>
      </c>
      <c r="AD18">
        <v>61649689</v>
      </c>
      <c r="AE18">
        <v>51106609</v>
      </c>
      <c r="AF18">
        <v>52138934</v>
      </c>
    </row>
    <row r="19" spans="1:32" x14ac:dyDescent="0.3">
      <c r="A19" t="s">
        <v>12</v>
      </c>
      <c r="B19" t="s">
        <v>120</v>
      </c>
      <c r="C19" t="s">
        <v>86</v>
      </c>
      <c r="D19" t="s">
        <v>121</v>
      </c>
      <c r="E19" t="s">
        <v>87</v>
      </c>
      <c r="F19">
        <v>9025228</v>
      </c>
      <c r="G19">
        <v>9177744</v>
      </c>
      <c r="H19">
        <v>9127831</v>
      </c>
      <c r="I19">
        <v>8619919</v>
      </c>
      <c r="J19">
        <v>8093489</v>
      </c>
      <c r="K19">
        <v>7942928</v>
      </c>
      <c r="L19">
        <v>7603536</v>
      </c>
      <c r="M19">
        <v>7149282</v>
      </c>
      <c r="N19">
        <v>6660755</v>
      </c>
      <c r="O19">
        <v>6114556</v>
      </c>
      <c r="P19">
        <v>6278013</v>
      </c>
      <c r="Q19">
        <v>6194803</v>
      </c>
      <c r="R19">
        <v>6103545</v>
      </c>
      <c r="S19">
        <v>5979648</v>
      </c>
      <c r="T19">
        <v>4840473</v>
      </c>
      <c r="U19">
        <v>4874108</v>
      </c>
      <c r="V19">
        <v>4936034</v>
      </c>
      <c r="W19">
        <v>4828655</v>
      </c>
      <c r="X19">
        <v>4848775</v>
      </c>
      <c r="Y19">
        <v>4953169</v>
      </c>
      <c r="Z19">
        <v>5201475</v>
      </c>
      <c r="AA19">
        <v>5140803</v>
      </c>
      <c r="AB19">
        <v>5272748</v>
      </c>
      <c r="AC19">
        <v>5357142</v>
      </c>
      <c r="AD19">
        <v>5415895</v>
      </c>
      <c r="AE19">
        <v>5260952</v>
      </c>
      <c r="AF19">
        <v>6177891</v>
      </c>
    </row>
    <row r="20" spans="1:32" x14ac:dyDescent="0.3">
      <c r="A20" t="s">
        <v>12</v>
      </c>
      <c r="B20" t="s">
        <v>122</v>
      </c>
      <c r="C20" t="s">
        <v>86</v>
      </c>
      <c r="D20" t="s">
        <v>123</v>
      </c>
      <c r="E20" t="s">
        <v>87</v>
      </c>
      <c r="F20">
        <v>17824149</v>
      </c>
      <c r="G20">
        <v>18509472</v>
      </c>
      <c r="H20">
        <v>18272233</v>
      </c>
      <c r="I20">
        <v>19591360</v>
      </c>
      <c r="J20">
        <v>19260873</v>
      </c>
      <c r="K20">
        <v>18887245</v>
      </c>
      <c r="L20">
        <v>19309277</v>
      </c>
      <c r="M20">
        <v>19300037</v>
      </c>
      <c r="N20">
        <v>18759411</v>
      </c>
      <c r="O20">
        <v>18585900</v>
      </c>
      <c r="P20">
        <v>19082112</v>
      </c>
      <c r="Q20">
        <v>18582847</v>
      </c>
      <c r="R20">
        <v>19535373</v>
      </c>
      <c r="S20">
        <v>19832943</v>
      </c>
      <c r="T20">
        <v>19755245</v>
      </c>
      <c r="U20">
        <v>20804022</v>
      </c>
      <c r="V20">
        <v>19322553</v>
      </c>
      <c r="W20">
        <v>19735546</v>
      </c>
      <c r="X20">
        <v>20977182</v>
      </c>
      <c r="Y20">
        <v>22388231</v>
      </c>
      <c r="Z20">
        <v>23913548</v>
      </c>
      <c r="AA20">
        <v>22780693</v>
      </c>
      <c r="AB20">
        <v>20373789</v>
      </c>
      <c r="AC20">
        <v>21096599</v>
      </c>
      <c r="AD20">
        <v>21768914</v>
      </c>
      <c r="AE20">
        <v>22021476</v>
      </c>
      <c r="AF20">
        <v>21048571</v>
      </c>
    </row>
    <row r="21" spans="1:32" x14ac:dyDescent="0.3">
      <c r="A21" t="s">
        <v>12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12</v>
      </c>
      <c r="B22" t="s">
        <v>126</v>
      </c>
      <c r="C22" t="s">
        <v>86</v>
      </c>
      <c r="D22" t="s">
        <v>127</v>
      </c>
      <c r="E22" t="s">
        <v>87</v>
      </c>
      <c r="F22">
        <v>8381410</v>
      </c>
      <c r="G22">
        <v>8707040</v>
      </c>
      <c r="H22">
        <v>8961771</v>
      </c>
      <c r="I22">
        <v>9468823</v>
      </c>
      <c r="J22">
        <v>9809499</v>
      </c>
      <c r="K22">
        <v>9652463</v>
      </c>
      <c r="L22">
        <v>9972311</v>
      </c>
      <c r="M22">
        <v>10217662</v>
      </c>
      <c r="N22">
        <v>10452937</v>
      </c>
      <c r="O22">
        <v>10433604</v>
      </c>
      <c r="P22">
        <v>10506595</v>
      </c>
      <c r="Q22">
        <v>10469962</v>
      </c>
      <c r="R22">
        <v>10622457</v>
      </c>
      <c r="S22">
        <v>10543056</v>
      </c>
      <c r="T22">
        <v>10650765</v>
      </c>
      <c r="U22">
        <v>10454243</v>
      </c>
      <c r="V22">
        <v>10553411</v>
      </c>
      <c r="W22">
        <v>10612908</v>
      </c>
      <c r="X22">
        <v>10790256</v>
      </c>
      <c r="Y22">
        <v>11216388</v>
      </c>
      <c r="Z22">
        <v>11813315</v>
      </c>
      <c r="AA22">
        <v>12172236</v>
      </c>
      <c r="AB22">
        <v>12550482</v>
      </c>
      <c r="AC22">
        <v>12743141</v>
      </c>
      <c r="AD22">
        <v>12993362</v>
      </c>
      <c r="AE22">
        <v>13320080</v>
      </c>
      <c r="AF22">
        <v>13583712</v>
      </c>
    </row>
    <row r="23" spans="1:32" x14ac:dyDescent="0.3">
      <c r="A23" t="s">
        <v>12</v>
      </c>
      <c r="B23" t="s">
        <v>128</v>
      </c>
      <c r="C23" t="s">
        <v>86</v>
      </c>
      <c r="D23" t="s">
        <v>129</v>
      </c>
      <c r="E23" t="s">
        <v>87</v>
      </c>
      <c r="F23">
        <v>88437669</v>
      </c>
      <c r="G23">
        <v>91976336</v>
      </c>
      <c r="H23">
        <v>86196572</v>
      </c>
      <c r="I23">
        <v>84140565</v>
      </c>
      <c r="J23">
        <v>80666914</v>
      </c>
      <c r="K23">
        <v>77095320</v>
      </c>
      <c r="L23">
        <v>74205457</v>
      </c>
      <c r="M23">
        <v>69758317</v>
      </c>
      <c r="N23">
        <v>65873632</v>
      </c>
      <c r="O23">
        <v>63588725</v>
      </c>
      <c r="P23">
        <v>62576580</v>
      </c>
      <c r="Q23">
        <v>61788953</v>
      </c>
      <c r="R23">
        <v>58414254</v>
      </c>
      <c r="S23">
        <v>55615488</v>
      </c>
      <c r="T23">
        <v>54322911</v>
      </c>
      <c r="U23">
        <v>50887352</v>
      </c>
      <c r="V23">
        <v>52479640</v>
      </c>
      <c r="W23">
        <v>53485704</v>
      </c>
      <c r="X23">
        <v>57447856</v>
      </c>
      <c r="Y23">
        <v>57320994</v>
      </c>
      <c r="Z23">
        <v>60184137</v>
      </c>
      <c r="AA23">
        <v>63394337</v>
      </c>
      <c r="AB23">
        <v>64002337</v>
      </c>
      <c r="AC23">
        <v>64699449</v>
      </c>
      <c r="AD23">
        <v>65712473</v>
      </c>
      <c r="AE23">
        <v>65510492</v>
      </c>
      <c r="AF23">
        <v>64468731</v>
      </c>
    </row>
    <row r="24" spans="1:32" x14ac:dyDescent="0.3">
      <c r="A24" t="s">
        <v>12</v>
      </c>
      <c r="B24" t="s">
        <v>130</v>
      </c>
      <c r="C24" t="s">
        <v>86</v>
      </c>
      <c r="D24" t="s">
        <v>131</v>
      </c>
      <c r="E24" t="s">
        <v>87</v>
      </c>
      <c r="F24">
        <v>114265106</v>
      </c>
      <c r="G24">
        <v>115817818</v>
      </c>
      <c r="H24">
        <v>116654325</v>
      </c>
      <c r="I24">
        <v>115556386</v>
      </c>
      <c r="J24">
        <v>116112014</v>
      </c>
      <c r="K24">
        <v>113847291</v>
      </c>
      <c r="L24">
        <v>116350881</v>
      </c>
      <c r="M24">
        <v>116097453</v>
      </c>
      <c r="N24">
        <v>115926720</v>
      </c>
      <c r="O24">
        <v>118982700</v>
      </c>
      <c r="P24">
        <v>124409279</v>
      </c>
      <c r="Q24">
        <v>121729732</v>
      </c>
      <c r="R24">
        <v>120261447</v>
      </c>
      <c r="S24">
        <v>119700746</v>
      </c>
      <c r="T24">
        <v>114473412</v>
      </c>
      <c r="U24">
        <v>114673648</v>
      </c>
      <c r="V24">
        <v>114805976</v>
      </c>
      <c r="W24">
        <v>117197770</v>
      </c>
      <c r="X24">
        <v>118968422</v>
      </c>
      <c r="Y24">
        <v>114904841</v>
      </c>
      <c r="Z24">
        <v>118537816</v>
      </c>
      <c r="AA24">
        <v>117910177</v>
      </c>
      <c r="AB24">
        <v>120045059</v>
      </c>
      <c r="AC24">
        <v>119708300</v>
      </c>
      <c r="AD24">
        <v>118422562</v>
      </c>
      <c r="AE24">
        <v>116992955</v>
      </c>
      <c r="AF24">
        <v>124995747</v>
      </c>
    </row>
    <row r="25" spans="1:32" x14ac:dyDescent="0.3">
      <c r="A25" t="s">
        <v>12</v>
      </c>
      <c r="B25" t="s">
        <v>132</v>
      </c>
      <c r="C25" t="s">
        <v>86</v>
      </c>
      <c r="D25" t="s">
        <v>133</v>
      </c>
      <c r="E25" t="s">
        <v>87</v>
      </c>
      <c r="F25">
        <v>9061828</v>
      </c>
      <c r="G25">
        <v>9672410</v>
      </c>
      <c r="H25">
        <v>9869550</v>
      </c>
      <c r="I25">
        <v>9921545</v>
      </c>
      <c r="J25">
        <v>10589525</v>
      </c>
      <c r="K25">
        <v>11078198</v>
      </c>
      <c r="L25">
        <v>10076785</v>
      </c>
      <c r="M25">
        <v>9796622</v>
      </c>
      <c r="N25">
        <v>9866692</v>
      </c>
      <c r="O25">
        <v>9967017</v>
      </c>
      <c r="P25">
        <v>9923328</v>
      </c>
      <c r="Q25">
        <v>9157037</v>
      </c>
      <c r="R25">
        <v>8244458</v>
      </c>
      <c r="S25">
        <v>6921504</v>
      </c>
      <c r="T25">
        <v>5298470</v>
      </c>
      <c r="U25">
        <v>5213345</v>
      </c>
      <c r="V25">
        <v>4211468</v>
      </c>
      <c r="W25">
        <v>4469736</v>
      </c>
      <c r="X25">
        <v>4755173</v>
      </c>
      <c r="Y25">
        <v>5177603</v>
      </c>
      <c r="Z25">
        <v>5532612</v>
      </c>
      <c r="AA25">
        <v>5758252</v>
      </c>
      <c r="AB25">
        <v>6204273</v>
      </c>
      <c r="AC25">
        <v>6202261</v>
      </c>
      <c r="AD25">
        <v>6125898</v>
      </c>
      <c r="AE25">
        <v>5999321</v>
      </c>
      <c r="AF25">
        <v>5807504</v>
      </c>
    </row>
    <row r="26" spans="1:32" x14ac:dyDescent="0.3">
      <c r="A26" t="s">
        <v>12</v>
      </c>
      <c r="B26" t="s">
        <v>134</v>
      </c>
      <c r="C26" t="s">
        <v>86</v>
      </c>
      <c r="D26" t="s">
        <v>135</v>
      </c>
      <c r="E26" t="s">
        <v>87</v>
      </c>
      <c r="F26">
        <v>62683757</v>
      </c>
      <c r="G26">
        <v>63878364</v>
      </c>
      <c r="H26">
        <v>66027167</v>
      </c>
      <c r="I26">
        <v>65688390</v>
      </c>
      <c r="J26">
        <v>65747429</v>
      </c>
      <c r="K26">
        <v>63182288</v>
      </c>
      <c r="L26">
        <v>64865669</v>
      </c>
      <c r="M26">
        <v>64286008</v>
      </c>
      <c r="N26">
        <v>63878406</v>
      </c>
      <c r="O26">
        <v>67415810</v>
      </c>
      <c r="P26">
        <v>74794263</v>
      </c>
      <c r="Q26">
        <v>73374173</v>
      </c>
      <c r="R26">
        <v>70733951</v>
      </c>
      <c r="S26">
        <v>70630834</v>
      </c>
      <c r="T26">
        <v>62855570</v>
      </c>
      <c r="U26">
        <v>61862387</v>
      </c>
      <c r="V26">
        <v>62531093</v>
      </c>
      <c r="W26">
        <v>61898875</v>
      </c>
      <c r="X26">
        <v>60240063</v>
      </c>
      <c r="Y26">
        <v>54852865</v>
      </c>
      <c r="Z26">
        <v>54713429</v>
      </c>
      <c r="AA26">
        <v>54093907</v>
      </c>
      <c r="AB26">
        <v>56082730</v>
      </c>
      <c r="AC26">
        <v>55545285</v>
      </c>
      <c r="AD26">
        <v>52987443</v>
      </c>
      <c r="AE26">
        <v>50992644</v>
      </c>
      <c r="AF26">
        <v>57593821</v>
      </c>
    </row>
    <row r="27" spans="1:32" x14ac:dyDescent="0.3">
      <c r="A27" t="s">
        <v>12</v>
      </c>
      <c r="B27" t="s">
        <v>136</v>
      </c>
      <c r="C27" t="s">
        <v>86</v>
      </c>
      <c r="D27" t="s">
        <v>137</v>
      </c>
      <c r="E27" t="s">
        <v>87</v>
      </c>
      <c r="F27">
        <v>42519521</v>
      </c>
      <c r="G27">
        <v>42267044</v>
      </c>
      <c r="H27">
        <v>40757608</v>
      </c>
      <c r="I27">
        <v>39946451</v>
      </c>
      <c r="J27">
        <v>39775060</v>
      </c>
      <c r="K27">
        <v>39586805</v>
      </c>
      <c r="L27">
        <v>41408427</v>
      </c>
      <c r="M27">
        <v>42014823</v>
      </c>
      <c r="N27">
        <v>42181622</v>
      </c>
      <c r="O27">
        <v>41599873</v>
      </c>
      <c r="P27">
        <v>39691688</v>
      </c>
      <c r="Q27">
        <v>39198522</v>
      </c>
      <c r="R27">
        <v>41283038</v>
      </c>
      <c r="S27">
        <v>42148408</v>
      </c>
      <c r="T27">
        <v>46319372</v>
      </c>
      <c r="U27">
        <v>47597916</v>
      </c>
      <c r="V27">
        <v>48063415</v>
      </c>
      <c r="W27">
        <v>50829159</v>
      </c>
      <c r="X27">
        <v>53973186</v>
      </c>
      <c r="Y27">
        <v>54874373</v>
      </c>
      <c r="Z27">
        <v>58291775</v>
      </c>
      <c r="AA27">
        <v>58058018</v>
      </c>
      <c r="AB27">
        <v>57758056</v>
      </c>
      <c r="AC27">
        <v>57960754</v>
      </c>
      <c r="AD27">
        <v>59309221</v>
      </c>
      <c r="AE27">
        <v>60000990</v>
      </c>
      <c r="AF27">
        <v>61594422</v>
      </c>
    </row>
    <row r="28" spans="1:32" x14ac:dyDescent="0.3">
      <c r="A28" t="s">
        <v>12</v>
      </c>
      <c r="B28" t="s">
        <v>138</v>
      </c>
      <c r="C28" t="s">
        <v>86</v>
      </c>
      <c r="D28" t="s">
        <v>139</v>
      </c>
      <c r="E28" t="s">
        <v>87</v>
      </c>
      <c r="F28">
        <v>45405093</v>
      </c>
      <c r="G28">
        <v>42851886</v>
      </c>
      <c r="H28">
        <v>43275073</v>
      </c>
      <c r="I28">
        <v>42773684</v>
      </c>
      <c r="J28">
        <v>42236929</v>
      </c>
      <c r="K28">
        <v>42231427</v>
      </c>
      <c r="L28">
        <v>42418757</v>
      </c>
      <c r="M28">
        <v>42841083</v>
      </c>
      <c r="N28">
        <v>43537323</v>
      </c>
      <c r="O28">
        <v>44677042</v>
      </c>
      <c r="P28">
        <v>45128524</v>
      </c>
      <c r="Q28">
        <v>46440522</v>
      </c>
      <c r="R28">
        <v>47654468</v>
      </c>
      <c r="S28">
        <v>47359386</v>
      </c>
      <c r="T28">
        <v>43441746</v>
      </c>
      <c r="U28">
        <v>42208935</v>
      </c>
      <c r="V28">
        <v>41018849</v>
      </c>
      <c r="W28">
        <v>42704050</v>
      </c>
      <c r="X28">
        <v>43061437</v>
      </c>
      <c r="Y28">
        <v>44735946</v>
      </c>
      <c r="Z28">
        <v>46586968</v>
      </c>
      <c r="AA28">
        <v>46941029</v>
      </c>
      <c r="AB28">
        <v>47050004</v>
      </c>
      <c r="AC28">
        <v>46766910</v>
      </c>
      <c r="AD28">
        <v>47685506</v>
      </c>
      <c r="AE28">
        <v>37288821</v>
      </c>
      <c r="AF28">
        <v>37717987</v>
      </c>
    </row>
    <row r="29" spans="1:32" x14ac:dyDescent="0.3">
      <c r="A29" t="s">
        <v>12</v>
      </c>
      <c r="B29" t="s">
        <v>140</v>
      </c>
      <c r="C29" t="s">
        <v>86</v>
      </c>
      <c r="D29" t="s">
        <v>141</v>
      </c>
      <c r="E29" t="s">
        <v>87</v>
      </c>
      <c r="F29">
        <v>29476577</v>
      </c>
      <c r="G29">
        <v>27638843</v>
      </c>
      <c r="H29">
        <v>27661680</v>
      </c>
      <c r="I29">
        <v>26974461</v>
      </c>
      <c r="J29">
        <v>27128644</v>
      </c>
      <c r="K29">
        <v>27968757</v>
      </c>
      <c r="L29">
        <v>27999346</v>
      </c>
      <c r="M29">
        <v>28130082</v>
      </c>
      <c r="N29">
        <v>28870446</v>
      </c>
      <c r="O29">
        <v>29315743</v>
      </c>
      <c r="P29">
        <v>28881012</v>
      </c>
      <c r="Q29">
        <v>29368991</v>
      </c>
      <c r="R29">
        <v>29733830</v>
      </c>
      <c r="S29">
        <v>29337707</v>
      </c>
      <c r="T29">
        <v>27265568</v>
      </c>
      <c r="U29">
        <v>26557725</v>
      </c>
      <c r="V29">
        <v>25542621</v>
      </c>
      <c r="W29">
        <v>26435668</v>
      </c>
      <c r="X29">
        <v>26772890</v>
      </c>
      <c r="Y29">
        <v>27385300</v>
      </c>
      <c r="Z29">
        <v>28222591</v>
      </c>
      <c r="AA29">
        <v>29096137</v>
      </c>
      <c r="AB29">
        <v>29713531</v>
      </c>
      <c r="AC29">
        <v>29808180</v>
      </c>
      <c r="AD29">
        <v>30749733</v>
      </c>
      <c r="AE29">
        <v>24775905</v>
      </c>
      <c r="AF29">
        <v>25726734</v>
      </c>
    </row>
    <row r="30" spans="1:32" x14ac:dyDescent="0.3">
      <c r="A30" t="s">
        <v>12</v>
      </c>
      <c r="B30" t="s">
        <v>142</v>
      </c>
      <c r="C30" t="s">
        <v>86</v>
      </c>
      <c r="D30" t="s">
        <v>143</v>
      </c>
      <c r="E30" t="s">
        <v>87</v>
      </c>
      <c r="F30">
        <v>5426611</v>
      </c>
      <c r="G30">
        <v>4499703</v>
      </c>
      <c r="H30">
        <v>5039429</v>
      </c>
      <c r="I30">
        <v>5474745</v>
      </c>
      <c r="J30">
        <v>5082289</v>
      </c>
      <c r="K30">
        <v>4589928</v>
      </c>
      <c r="L30">
        <v>4843382</v>
      </c>
      <c r="M30">
        <v>4963678</v>
      </c>
      <c r="N30">
        <v>5010965</v>
      </c>
      <c r="O30">
        <v>5222678</v>
      </c>
      <c r="P30">
        <v>5827940</v>
      </c>
      <c r="Q30">
        <v>6381084</v>
      </c>
      <c r="R30">
        <v>7081760</v>
      </c>
      <c r="S30">
        <v>7509643</v>
      </c>
      <c r="T30">
        <v>6020677</v>
      </c>
      <c r="U30">
        <v>5899867</v>
      </c>
      <c r="V30">
        <v>5894638</v>
      </c>
      <c r="W30">
        <v>5897246</v>
      </c>
      <c r="X30">
        <v>5684157</v>
      </c>
      <c r="Y30">
        <v>6442092</v>
      </c>
      <c r="Z30">
        <v>6641275</v>
      </c>
      <c r="AA30">
        <v>6050263</v>
      </c>
      <c r="AB30">
        <v>5518970</v>
      </c>
      <c r="AC30">
        <v>4943329</v>
      </c>
      <c r="AD30">
        <v>4646900</v>
      </c>
      <c r="AE30">
        <v>4824738</v>
      </c>
      <c r="AF30">
        <v>4938423</v>
      </c>
    </row>
    <row r="31" spans="1:32" x14ac:dyDescent="0.3">
      <c r="A31" t="s">
        <v>12</v>
      </c>
      <c r="B31" t="s">
        <v>144</v>
      </c>
      <c r="C31" t="s">
        <v>86</v>
      </c>
      <c r="D31" t="s">
        <v>145</v>
      </c>
      <c r="E31" t="s">
        <v>87</v>
      </c>
      <c r="F31">
        <v>3434900</v>
      </c>
      <c r="G31">
        <v>3643394</v>
      </c>
      <c r="H31">
        <v>3697319</v>
      </c>
      <c r="I31">
        <v>3686894</v>
      </c>
      <c r="J31">
        <v>3752583</v>
      </c>
      <c r="K31">
        <v>3853792</v>
      </c>
      <c r="L31">
        <v>3679909</v>
      </c>
      <c r="M31">
        <v>3779833</v>
      </c>
      <c r="N31">
        <v>3688435</v>
      </c>
      <c r="O31">
        <v>3861417</v>
      </c>
      <c r="P31">
        <v>3918810</v>
      </c>
      <c r="Q31">
        <v>4107573</v>
      </c>
      <c r="R31">
        <v>4229354</v>
      </c>
      <c r="S31">
        <v>3987372</v>
      </c>
      <c r="T31">
        <v>3816438</v>
      </c>
      <c r="U31">
        <v>3356127</v>
      </c>
      <c r="V31">
        <v>3238016</v>
      </c>
      <c r="W31">
        <v>3402927</v>
      </c>
      <c r="X31">
        <v>3536239</v>
      </c>
      <c r="Y31">
        <v>3618213</v>
      </c>
      <c r="Z31">
        <v>3926168</v>
      </c>
      <c r="AA31">
        <v>3914441</v>
      </c>
      <c r="AB31">
        <v>3829856</v>
      </c>
      <c r="AC31">
        <v>3913927</v>
      </c>
      <c r="AD31">
        <v>4101827</v>
      </c>
      <c r="AE31">
        <v>1156275</v>
      </c>
      <c r="AF31">
        <v>820419</v>
      </c>
    </row>
    <row r="32" spans="1:32" x14ac:dyDescent="0.3">
      <c r="A32" t="s">
        <v>12</v>
      </c>
      <c r="B32" t="s">
        <v>146</v>
      </c>
      <c r="C32" t="s">
        <v>86</v>
      </c>
      <c r="D32" t="s">
        <v>147</v>
      </c>
      <c r="E32" t="s">
        <v>87</v>
      </c>
      <c r="F32">
        <v>4921721</v>
      </c>
      <c r="G32">
        <v>4827233</v>
      </c>
      <c r="H32">
        <v>4633562</v>
      </c>
      <c r="I32">
        <v>4422898</v>
      </c>
      <c r="J32">
        <v>4121000</v>
      </c>
      <c r="K32">
        <v>3667868</v>
      </c>
      <c r="L32">
        <v>3760739</v>
      </c>
      <c r="M32">
        <v>3884567</v>
      </c>
      <c r="N32">
        <v>3945332</v>
      </c>
      <c r="O32">
        <v>4297879</v>
      </c>
      <c r="P32">
        <v>4546303</v>
      </c>
      <c r="Q32">
        <v>4625130</v>
      </c>
      <c r="R32">
        <v>4656132</v>
      </c>
      <c r="S32">
        <v>4606416</v>
      </c>
      <c r="T32">
        <v>4460545</v>
      </c>
      <c r="U32">
        <v>4565025</v>
      </c>
      <c r="V32">
        <v>4540048</v>
      </c>
      <c r="W32">
        <v>5207590</v>
      </c>
      <c r="X32">
        <v>5302140</v>
      </c>
      <c r="Y32">
        <v>5550402</v>
      </c>
      <c r="Z32">
        <v>6003190</v>
      </c>
      <c r="AA32">
        <v>6060757</v>
      </c>
      <c r="AB32">
        <v>6148201</v>
      </c>
      <c r="AC32">
        <v>6170135</v>
      </c>
      <c r="AD32">
        <v>6188616</v>
      </c>
      <c r="AE32">
        <v>4576106</v>
      </c>
      <c r="AF32">
        <v>4289976</v>
      </c>
    </row>
    <row r="33" spans="1:32" x14ac:dyDescent="0.3">
      <c r="A33" t="s">
        <v>12</v>
      </c>
      <c r="B33" t="s">
        <v>148</v>
      </c>
      <c r="C33" t="s">
        <v>86</v>
      </c>
      <c r="D33" t="s">
        <v>149</v>
      </c>
      <c r="E33" t="s">
        <v>87</v>
      </c>
      <c r="F33">
        <v>2145284</v>
      </c>
      <c r="G33">
        <v>2242713</v>
      </c>
      <c r="H33">
        <v>2243083</v>
      </c>
      <c r="I33">
        <v>2214686</v>
      </c>
      <c r="J33">
        <v>2152413</v>
      </c>
      <c r="K33">
        <v>2151082</v>
      </c>
      <c r="L33">
        <v>2135381</v>
      </c>
      <c r="M33">
        <v>2082923</v>
      </c>
      <c r="N33">
        <v>2022145</v>
      </c>
      <c r="O33">
        <v>1979325</v>
      </c>
      <c r="P33">
        <v>1954459</v>
      </c>
      <c r="Q33">
        <v>1957744</v>
      </c>
      <c r="R33">
        <v>1953392</v>
      </c>
      <c r="S33">
        <v>1918248</v>
      </c>
      <c r="T33">
        <v>1878518</v>
      </c>
      <c r="U33">
        <v>1830191</v>
      </c>
      <c r="V33">
        <v>1803526</v>
      </c>
      <c r="W33">
        <v>1760619</v>
      </c>
      <c r="X33">
        <v>1766011</v>
      </c>
      <c r="Y33">
        <v>1739939</v>
      </c>
      <c r="Z33">
        <v>1793744</v>
      </c>
      <c r="AA33">
        <v>1819431</v>
      </c>
      <c r="AB33">
        <v>1839446</v>
      </c>
      <c r="AC33">
        <v>1931339</v>
      </c>
      <c r="AD33">
        <v>1998430</v>
      </c>
      <c r="AE33">
        <v>1955797</v>
      </c>
      <c r="AF33">
        <v>1942435</v>
      </c>
    </row>
    <row r="34" spans="1:32" x14ac:dyDescent="0.3">
      <c r="A34" t="s">
        <v>12</v>
      </c>
      <c r="B34" t="s">
        <v>150</v>
      </c>
      <c r="C34" t="s">
        <v>86</v>
      </c>
      <c r="D34" t="s">
        <v>151</v>
      </c>
      <c r="E34" t="s">
        <v>87</v>
      </c>
      <c r="F34">
        <v>33399937</v>
      </c>
      <c r="G34">
        <v>34592948</v>
      </c>
      <c r="H34">
        <v>34642192</v>
      </c>
      <c r="I34">
        <v>35693295</v>
      </c>
      <c r="J34">
        <v>35927060</v>
      </c>
      <c r="K34">
        <v>35715194</v>
      </c>
      <c r="L34">
        <v>35470111</v>
      </c>
      <c r="M34">
        <v>34407403</v>
      </c>
      <c r="N34">
        <v>33192931</v>
      </c>
      <c r="O34">
        <v>32238932</v>
      </c>
      <c r="P34">
        <v>31965195</v>
      </c>
      <c r="Q34">
        <v>31796662</v>
      </c>
      <c r="R34">
        <v>32231730</v>
      </c>
      <c r="S34">
        <v>31516637</v>
      </c>
      <c r="T34">
        <v>30688878</v>
      </c>
      <c r="U34">
        <v>30617268</v>
      </c>
      <c r="V34">
        <v>29433896</v>
      </c>
      <c r="W34">
        <v>29781079</v>
      </c>
      <c r="X34">
        <v>29868120</v>
      </c>
      <c r="Y34">
        <v>29783592</v>
      </c>
      <c r="Z34">
        <v>30788364</v>
      </c>
      <c r="AA34">
        <v>31718969</v>
      </c>
      <c r="AB34">
        <v>32197155</v>
      </c>
      <c r="AC34">
        <v>31695917</v>
      </c>
      <c r="AD34">
        <v>31415622</v>
      </c>
      <c r="AE34">
        <v>23012173</v>
      </c>
      <c r="AF34">
        <v>20283629</v>
      </c>
    </row>
    <row r="35" spans="1:32" x14ac:dyDescent="0.3">
      <c r="A35" t="s">
        <v>12</v>
      </c>
      <c r="B35" t="s">
        <v>152</v>
      </c>
      <c r="C35" t="s">
        <v>86</v>
      </c>
      <c r="D35" t="s">
        <v>153</v>
      </c>
      <c r="E35" t="s">
        <v>87</v>
      </c>
      <c r="F35">
        <v>28360640</v>
      </c>
      <c r="G35">
        <v>32362798</v>
      </c>
      <c r="H35">
        <v>35522196</v>
      </c>
      <c r="I35">
        <v>38747024</v>
      </c>
      <c r="J35">
        <v>41415079</v>
      </c>
      <c r="K35">
        <v>45023276</v>
      </c>
      <c r="L35">
        <v>47545476</v>
      </c>
      <c r="M35">
        <v>47925459</v>
      </c>
      <c r="N35">
        <v>48005607</v>
      </c>
      <c r="O35">
        <v>47324059</v>
      </c>
      <c r="P35">
        <v>47561561</v>
      </c>
      <c r="Q35">
        <v>48425845</v>
      </c>
      <c r="R35">
        <v>48876853</v>
      </c>
      <c r="S35">
        <v>48906354</v>
      </c>
      <c r="T35">
        <v>47653583</v>
      </c>
      <c r="U35">
        <v>47251319</v>
      </c>
      <c r="V35">
        <v>46703862</v>
      </c>
      <c r="W35">
        <v>47780894</v>
      </c>
      <c r="X35">
        <v>49267390</v>
      </c>
      <c r="Y35">
        <v>49809307</v>
      </c>
      <c r="Z35">
        <v>52684972</v>
      </c>
      <c r="AA35">
        <v>53649184</v>
      </c>
      <c r="AB35">
        <v>54194467</v>
      </c>
      <c r="AC35">
        <v>55574752</v>
      </c>
      <c r="AD35">
        <v>56335704</v>
      </c>
      <c r="AE35">
        <v>55896071</v>
      </c>
      <c r="AF35">
        <v>56850931</v>
      </c>
    </row>
    <row r="36" spans="1:32" x14ac:dyDescent="0.3">
      <c r="A36" t="s">
        <v>12</v>
      </c>
      <c r="B36" t="s">
        <v>154</v>
      </c>
      <c r="C36" t="s">
        <v>86</v>
      </c>
      <c r="D36" t="s">
        <v>155</v>
      </c>
      <c r="E36" t="s">
        <v>87</v>
      </c>
      <c r="F36">
        <v>10341566</v>
      </c>
      <c r="G36">
        <v>10810477</v>
      </c>
      <c r="H36">
        <v>10970583</v>
      </c>
      <c r="I36">
        <v>11351803</v>
      </c>
      <c r="J36">
        <v>11344408</v>
      </c>
      <c r="K36">
        <v>11825091</v>
      </c>
      <c r="L36">
        <v>11952962</v>
      </c>
      <c r="M36">
        <v>12109782</v>
      </c>
      <c r="N36">
        <v>12113510</v>
      </c>
      <c r="O36">
        <v>12260116</v>
      </c>
      <c r="P36">
        <v>12438733</v>
      </c>
      <c r="Q36">
        <v>12305931</v>
      </c>
      <c r="R36">
        <v>12154024</v>
      </c>
      <c r="S36">
        <v>12022293</v>
      </c>
      <c r="T36">
        <v>11693565</v>
      </c>
      <c r="U36">
        <v>11194195</v>
      </c>
      <c r="V36">
        <v>10878309</v>
      </c>
      <c r="W36">
        <v>11233628</v>
      </c>
      <c r="X36">
        <v>11449333</v>
      </c>
      <c r="Y36">
        <v>11501950</v>
      </c>
      <c r="Z36">
        <v>12346983</v>
      </c>
      <c r="AA36">
        <v>12205272</v>
      </c>
      <c r="AB36">
        <v>12115311</v>
      </c>
      <c r="AC36">
        <v>12248216</v>
      </c>
      <c r="AD36">
        <v>12353589</v>
      </c>
      <c r="AE36">
        <v>11567722</v>
      </c>
      <c r="AF36">
        <v>11089707</v>
      </c>
    </row>
    <row r="37" spans="1:32" x14ac:dyDescent="0.3">
      <c r="A37" t="s">
        <v>12</v>
      </c>
      <c r="B37" t="s">
        <v>156</v>
      </c>
      <c r="C37" t="s">
        <v>86</v>
      </c>
      <c r="D37" t="s">
        <v>157</v>
      </c>
      <c r="E37" t="s">
        <v>87</v>
      </c>
      <c r="F37">
        <v>10381313</v>
      </c>
      <c r="G37">
        <v>12675836</v>
      </c>
      <c r="H37">
        <v>14748147</v>
      </c>
      <c r="I37">
        <v>15158545</v>
      </c>
      <c r="J37">
        <v>16577144</v>
      </c>
      <c r="K37">
        <v>18299081</v>
      </c>
      <c r="L37">
        <v>18753468</v>
      </c>
      <c r="M37">
        <v>18017098</v>
      </c>
      <c r="N37">
        <v>17602303</v>
      </c>
      <c r="O37">
        <v>16779737</v>
      </c>
      <c r="P37">
        <v>16374954</v>
      </c>
      <c r="Q37">
        <v>17016442</v>
      </c>
      <c r="R37">
        <v>17122332</v>
      </c>
      <c r="S37">
        <v>16787702</v>
      </c>
      <c r="T37">
        <v>16651674</v>
      </c>
      <c r="U37">
        <v>17439643</v>
      </c>
      <c r="V37">
        <v>17773907</v>
      </c>
      <c r="W37">
        <v>18110179</v>
      </c>
      <c r="X37">
        <v>18948559</v>
      </c>
      <c r="Y37">
        <v>19249603</v>
      </c>
      <c r="Z37">
        <v>20320649</v>
      </c>
      <c r="AA37">
        <v>21135406</v>
      </c>
      <c r="AB37">
        <v>21203458</v>
      </c>
      <c r="AC37">
        <v>22251572</v>
      </c>
      <c r="AD37">
        <v>22261665</v>
      </c>
      <c r="AE37">
        <v>22730613</v>
      </c>
      <c r="AF37">
        <v>23088146</v>
      </c>
    </row>
    <row r="38" spans="1:32" x14ac:dyDescent="0.3">
      <c r="A38" t="s">
        <v>12</v>
      </c>
      <c r="B38" t="s">
        <v>158</v>
      </c>
      <c r="C38" t="s">
        <v>86</v>
      </c>
      <c r="D38" t="s">
        <v>159</v>
      </c>
      <c r="E38" t="s">
        <v>87</v>
      </c>
      <c r="F38">
        <v>7637761</v>
      </c>
      <c r="G38">
        <v>8876485</v>
      </c>
      <c r="H38">
        <v>9803466</v>
      </c>
      <c r="I38">
        <v>12236676</v>
      </c>
      <c r="J38">
        <v>13493527</v>
      </c>
      <c r="K38">
        <v>14899104</v>
      </c>
      <c r="L38">
        <v>16839046</v>
      </c>
      <c r="M38">
        <v>17798579</v>
      </c>
      <c r="N38">
        <v>18289794</v>
      </c>
      <c r="O38">
        <v>18284206</v>
      </c>
      <c r="P38">
        <v>18747874</v>
      </c>
      <c r="Q38">
        <v>19103472</v>
      </c>
      <c r="R38">
        <v>19600497</v>
      </c>
      <c r="S38">
        <v>20096359</v>
      </c>
      <c r="T38">
        <v>19308344</v>
      </c>
      <c r="U38">
        <v>18617481</v>
      </c>
      <c r="V38">
        <v>18051646</v>
      </c>
      <c r="W38">
        <v>18437087</v>
      </c>
      <c r="X38">
        <v>18869498</v>
      </c>
      <c r="Y38">
        <v>19057754</v>
      </c>
      <c r="Z38">
        <v>20017340</v>
      </c>
      <c r="AA38">
        <v>20308506</v>
      </c>
      <c r="AB38">
        <v>20875698</v>
      </c>
      <c r="AC38">
        <v>21074964</v>
      </c>
      <c r="AD38">
        <v>21720450</v>
      </c>
      <c r="AE38">
        <v>21597736</v>
      </c>
      <c r="AF38">
        <v>22673078</v>
      </c>
    </row>
    <row r="39" spans="1:32" x14ac:dyDescent="0.3">
      <c r="A39" t="s">
        <v>12</v>
      </c>
      <c r="B39" t="s">
        <v>160</v>
      </c>
      <c r="C39" t="s">
        <v>86</v>
      </c>
      <c r="D39" t="s">
        <v>161</v>
      </c>
      <c r="E39" t="s">
        <v>87</v>
      </c>
      <c r="F39">
        <v>37224168</v>
      </c>
      <c r="G39">
        <v>39133536</v>
      </c>
      <c r="H39">
        <v>40822867</v>
      </c>
      <c r="I39">
        <v>39813370</v>
      </c>
      <c r="J39">
        <v>39103394</v>
      </c>
      <c r="K39">
        <v>38826475</v>
      </c>
      <c r="L39">
        <v>38047911</v>
      </c>
      <c r="M39">
        <v>41035082</v>
      </c>
      <c r="N39">
        <v>43142860</v>
      </c>
      <c r="O39">
        <v>43719411</v>
      </c>
      <c r="P39">
        <v>45097918</v>
      </c>
      <c r="Q39">
        <v>45404853</v>
      </c>
      <c r="R39">
        <v>46416155</v>
      </c>
      <c r="S39">
        <v>40348337</v>
      </c>
      <c r="T39">
        <v>38883379</v>
      </c>
      <c r="U39">
        <v>36731769</v>
      </c>
      <c r="V39">
        <v>35577482</v>
      </c>
      <c r="W39">
        <v>35136833</v>
      </c>
      <c r="X39">
        <v>36094280</v>
      </c>
      <c r="Y39">
        <v>34701617</v>
      </c>
      <c r="Z39">
        <v>36098690</v>
      </c>
      <c r="AA39">
        <v>35198070</v>
      </c>
      <c r="AB39">
        <v>35386508</v>
      </c>
      <c r="AC39">
        <v>35551757</v>
      </c>
      <c r="AD39">
        <v>35725860</v>
      </c>
      <c r="AE39">
        <v>36871370</v>
      </c>
      <c r="AF39">
        <v>37361671</v>
      </c>
    </row>
    <row r="40" spans="1:32" x14ac:dyDescent="0.3">
      <c r="A40" t="s">
        <v>12</v>
      </c>
      <c r="B40" t="s">
        <v>162</v>
      </c>
      <c r="C40" t="s">
        <v>86</v>
      </c>
      <c r="D40" t="s">
        <v>163</v>
      </c>
      <c r="E40" t="s">
        <v>87</v>
      </c>
      <c r="F40">
        <v>60352402</v>
      </c>
      <c r="G40">
        <v>61842763</v>
      </c>
      <c r="H40">
        <v>62909643</v>
      </c>
      <c r="I40">
        <v>64032330</v>
      </c>
      <c r="J40">
        <v>65238803</v>
      </c>
      <c r="K40">
        <v>66602111</v>
      </c>
      <c r="L40">
        <v>67716491</v>
      </c>
      <c r="M40">
        <v>68355923</v>
      </c>
      <c r="N40">
        <v>68816329</v>
      </c>
      <c r="O40">
        <v>69358235</v>
      </c>
      <c r="P40">
        <v>70003559</v>
      </c>
      <c r="Q40">
        <v>71580832</v>
      </c>
      <c r="R40">
        <v>72613421</v>
      </c>
      <c r="S40">
        <v>74077463</v>
      </c>
      <c r="T40">
        <v>74995539</v>
      </c>
      <c r="U40">
        <v>76408767</v>
      </c>
      <c r="V40">
        <v>76901436</v>
      </c>
      <c r="W40">
        <v>77201282</v>
      </c>
      <c r="X40">
        <v>77980978</v>
      </c>
      <c r="Y40">
        <v>78257550</v>
      </c>
      <c r="Z40">
        <v>79003039</v>
      </c>
      <c r="AA40">
        <v>79533791</v>
      </c>
      <c r="AB40">
        <v>79305868</v>
      </c>
      <c r="AC40">
        <v>79325066</v>
      </c>
      <c r="AD40">
        <v>80150736</v>
      </c>
      <c r="AE40">
        <v>80002141</v>
      </c>
      <c r="AF40">
        <v>79881549</v>
      </c>
    </row>
    <row r="41" spans="1:32" x14ac:dyDescent="0.3">
      <c r="A41" t="s">
        <v>12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12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12</v>
      </c>
      <c r="B43" t="s">
        <v>168</v>
      </c>
      <c r="C43" t="s">
        <v>86</v>
      </c>
      <c r="D43" t="s">
        <v>169</v>
      </c>
      <c r="E43" t="s">
        <v>87</v>
      </c>
      <c r="F43">
        <v>37200927</v>
      </c>
      <c r="G43">
        <v>39415855</v>
      </c>
      <c r="H43">
        <v>40500859</v>
      </c>
      <c r="I43">
        <v>42466030</v>
      </c>
      <c r="J43">
        <v>42309060</v>
      </c>
      <c r="K43">
        <v>46446481</v>
      </c>
      <c r="L43">
        <v>47699264</v>
      </c>
      <c r="M43">
        <v>47297801</v>
      </c>
      <c r="N43">
        <v>47561310</v>
      </c>
      <c r="O43">
        <v>47929351</v>
      </c>
      <c r="P43">
        <v>50091713</v>
      </c>
      <c r="Q43">
        <v>52294489</v>
      </c>
      <c r="R43">
        <v>55385698</v>
      </c>
      <c r="S43">
        <v>58284858</v>
      </c>
      <c r="T43">
        <v>55725687</v>
      </c>
      <c r="U43">
        <v>54898663</v>
      </c>
      <c r="V43">
        <v>56202213</v>
      </c>
      <c r="W43">
        <v>56503772</v>
      </c>
      <c r="X43">
        <v>58048794</v>
      </c>
      <c r="Y43">
        <v>59152613</v>
      </c>
      <c r="Z43">
        <v>63007110</v>
      </c>
      <c r="AA43">
        <v>65628936</v>
      </c>
      <c r="AB43">
        <v>65565470</v>
      </c>
      <c r="AC43">
        <v>66938560</v>
      </c>
      <c r="AD43">
        <v>68823517</v>
      </c>
      <c r="AE43">
        <v>66980910</v>
      </c>
      <c r="AF43">
        <v>68313340</v>
      </c>
    </row>
    <row r="44" spans="1:32" x14ac:dyDescent="0.3">
      <c r="A44" t="s">
        <v>12</v>
      </c>
      <c r="B44" t="s">
        <v>170</v>
      </c>
      <c r="C44" t="s">
        <v>86</v>
      </c>
      <c r="D44" t="s">
        <v>171</v>
      </c>
      <c r="E44" t="s">
        <v>87</v>
      </c>
      <c r="F44">
        <v>775748857</v>
      </c>
      <c r="G44">
        <v>794798330</v>
      </c>
      <c r="H44">
        <v>801151646</v>
      </c>
      <c r="I44">
        <v>790563484</v>
      </c>
      <c r="J44">
        <v>778339895</v>
      </c>
      <c r="K44">
        <v>785547564</v>
      </c>
      <c r="L44">
        <v>775479277</v>
      </c>
      <c r="M44">
        <v>762518680</v>
      </c>
      <c r="N44">
        <v>760229131</v>
      </c>
      <c r="O44">
        <v>768155638</v>
      </c>
      <c r="P44">
        <v>788118585</v>
      </c>
      <c r="Q44">
        <v>803951200</v>
      </c>
      <c r="R44">
        <v>828100328</v>
      </c>
      <c r="S44">
        <v>820231632</v>
      </c>
      <c r="T44">
        <v>754186609</v>
      </c>
      <c r="U44">
        <v>753906994</v>
      </c>
      <c r="V44">
        <v>742691503</v>
      </c>
      <c r="W44">
        <v>757622268</v>
      </c>
      <c r="X44">
        <v>759824652</v>
      </c>
      <c r="Y44">
        <v>769632577</v>
      </c>
      <c r="Z44">
        <v>804965347</v>
      </c>
      <c r="AA44">
        <v>805272617</v>
      </c>
      <c r="AB44">
        <v>803444828</v>
      </c>
      <c r="AC44">
        <v>821804521</v>
      </c>
      <c r="AD44">
        <v>825958274</v>
      </c>
      <c r="AE44">
        <v>772105619</v>
      </c>
      <c r="AF44">
        <v>786938528</v>
      </c>
    </row>
    <row r="45" spans="1:32" x14ac:dyDescent="0.3">
      <c r="A45" t="s">
        <v>12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12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12</v>
      </c>
      <c r="B47" t="s">
        <v>176</v>
      </c>
      <c r="C47" t="s">
        <v>86</v>
      </c>
      <c r="D47" t="s">
        <v>177</v>
      </c>
      <c r="E47" t="s">
        <v>87</v>
      </c>
      <c r="F47">
        <v>34828694</v>
      </c>
      <c r="G47">
        <v>35289387</v>
      </c>
      <c r="H47">
        <v>35966466</v>
      </c>
      <c r="I47">
        <v>36915555</v>
      </c>
      <c r="J47">
        <v>37703748</v>
      </c>
      <c r="K47">
        <v>38123246</v>
      </c>
      <c r="L47">
        <v>38293987</v>
      </c>
      <c r="M47">
        <v>39116983</v>
      </c>
      <c r="N47">
        <v>40191094</v>
      </c>
      <c r="O47">
        <v>39468991</v>
      </c>
      <c r="P47">
        <v>38721764</v>
      </c>
      <c r="Q47">
        <v>38363267</v>
      </c>
      <c r="R47">
        <v>38666479</v>
      </c>
      <c r="S47">
        <v>38006112</v>
      </c>
      <c r="T47">
        <v>38607871</v>
      </c>
      <c r="U47">
        <v>38349830</v>
      </c>
      <c r="V47">
        <v>38280548</v>
      </c>
      <c r="W47">
        <v>38037934</v>
      </c>
      <c r="X47">
        <v>38060780</v>
      </c>
      <c r="Y47">
        <v>37606541</v>
      </c>
      <c r="Z47">
        <v>38713751</v>
      </c>
      <c r="AA47">
        <v>39545031</v>
      </c>
      <c r="AB47">
        <v>39155627</v>
      </c>
      <c r="AC47">
        <v>39392334</v>
      </c>
      <c r="AD47">
        <v>40586771</v>
      </c>
      <c r="AE47">
        <v>42679539</v>
      </c>
      <c r="AF47">
        <v>43308257</v>
      </c>
    </row>
    <row r="48" spans="1:32" x14ac:dyDescent="0.3">
      <c r="A48" t="s">
        <v>12</v>
      </c>
      <c r="B48" t="s">
        <v>178</v>
      </c>
      <c r="C48" t="s">
        <v>86</v>
      </c>
      <c r="D48" t="s">
        <v>179</v>
      </c>
      <c r="E48" t="s">
        <v>87</v>
      </c>
      <c r="F48">
        <v>92979692</v>
      </c>
      <c r="G48">
        <v>95422283</v>
      </c>
      <c r="H48">
        <v>97630775</v>
      </c>
      <c r="I48">
        <v>100261544</v>
      </c>
      <c r="J48">
        <v>103169587</v>
      </c>
      <c r="K48">
        <v>101624519</v>
      </c>
      <c r="L48">
        <v>105810541</v>
      </c>
      <c r="M48">
        <v>107923109</v>
      </c>
      <c r="N48">
        <v>109541449</v>
      </c>
      <c r="O48">
        <v>109054465</v>
      </c>
      <c r="P48">
        <v>109216006</v>
      </c>
      <c r="Q48">
        <v>109644805</v>
      </c>
      <c r="R48">
        <v>110072099</v>
      </c>
      <c r="S48">
        <v>109860352</v>
      </c>
      <c r="T48">
        <v>111867057</v>
      </c>
      <c r="U48">
        <v>112596224</v>
      </c>
      <c r="V48">
        <v>114611857</v>
      </c>
      <c r="W48">
        <v>116587410</v>
      </c>
      <c r="X48">
        <v>117424236</v>
      </c>
      <c r="Y48">
        <v>117627482</v>
      </c>
      <c r="Z48">
        <v>121568503</v>
      </c>
      <c r="AA48">
        <v>124820298</v>
      </c>
      <c r="AB48">
        <v>125006298</v>
      </c>
      <c r="AC48">
        <v>126862254</v>
      </c>
      <c r="AD48">
        <v>129830815</v>
      </c>
      <c r="AE48">
        <v>132731053</v>
      </c>
      <c r="AF48">
        <v>136586855</v>
      </c>
    </row>
    <row r="49" spans="1:32" x14ac:dyDescent="0.3">
      <c r="A49" t="s">
        <v>12</v>
      </c>
      <c r="B49" t="s">
        <v>180</v>
      </c>
      <c r="C49" t="s">
        <v>86</v>
      </c>
      <c r="D49" t="s">
        <v>181</v>
      </c>
      <c r="E49" t="s">
        <v>87</v>
      </c>
      <c r="F49">
        <v>21871407</v>
      </c>
      <c r="G49">
        <v>22301781</v>
      </c>
      <c r="H49">
        <v>22612510</v>
      </c>
      <c r="I49">
        <v>23001893</v>
      </c>
      <c r="J49">
        <v>23332167</v>
      </c>
      <c r="K49">
        <v>23157131</v>
      </c>
      <c r="L49">
        <v>23217855</v>
      </c>
      <c r="M49">
        <v>23570574</v>
      </c>
      <c r="N49">
        <v>23768697</v>
      </c>
      <c r="O49">
        <v>23353320</v>
      </c>
      <c r="P49">
        <v>23356116</v>
      </c>
      <c r="Q49">
        <v>23387847</v>
      </c>
      <c r="R49">
        <v>23491845</v>
      </c>
      <c r="S49">
        <v>23415204</v>
      </c>
      <c r="T49">
        <v>23682724</v>
      </c>
      <c r="U49">
        <v>22981544</v>
      </c>
      <c r="V49">
        <v>23173590</v>
      </c>
      <c r="W49">
        <v>23095148</v>
      </c>
      <c r="X49">
        <v>22655294</v>
      </c>
      <c r="Y49">
        <v>22425689</v>
      </c>
      <c r="Z49">
        <v>22886396</v>
      </c>
      <c r="AA49">
        <v>23193849</v>
      </c>
      <c r="AB49">
        <v>23228835</v>
      </c>
      <c r="AC49">
        <v>23319529</v>
      </c>
      <c r="AD49">
        <v>23627023</v>
      </c>
      <c r="AE49">
        <v>23896439</v>
      </c>
      <c r="AF49">
        <v>23656180</v>
      </c>
    </row>
    <row r="50" spans="1:32" x14ac:dyDescent="0.3">
      <c r="A50" t="s">
        <v>12</v>
      </c>
      <c r="B50" t="s">
        <v>182</v>
      </c>
      <c r="C50" t="s">
        <v>86</v>
      </c>
      <c r="D50" t="s">
        <v>183</v>
      </c>
      <c r="E50" t="s">
        <v>87</v>
      </c>
      <c r="F50">
        <v>36279591</v>
      </c>
      <c r="G50">
        <v>37831115</v>
      </c>
      <c r="H50">
        <v>39051799</v>
      </c>
      <c r="I50">
        <v>40344096</v>
      </c>
      <c r="J50">
        <v>42133672</v>
      </c>
      <c r="K50">
        <v>40344142</v>
      </c>
      <c r="L50">
        <v>44298699</v>
      </c>
      <c r="M50">
        <v>45235552</v>
      </c>
      <c r="N50">
        <v>45581658</v>
      </c>
      <c r="O50">
        <v>46232154</v>
      </c>
      <c r="P50">
        <v>47138126</v>
      </c>
      <c r="Q50">
        <v>47893691</v>
      </c>
      <c r="R50">
        <v>47913775</v>
      </c>
      <c r="S50">
        <v>48439036</v>
      </c>
      <c r="T50">
        <v>49576462</v>
      </c>
      <c r="U50">
        <v>51264850</v>
      </c>
      <c r="V50">
        <v>53157719</v>
      </c>
      <c r="W50">
        <v>55454328</v>
      </c>
      <c r="X50">
        <v>56708162</v>
      </c>
      <c r="Y50">
        <v>57595252</v>
      </c>
      <c r="Z50">
        <v>59968356</v>
      </c>
      <c r="AA50">
        <v>62081418</v>
      </c>
      <c r="AB50">
        <v>62621836</v>
      </c>
      <c r="AC50">
        <v>64150391</v>
      </c>
      <c r="AD50">
        <v>65617021</v>
      </c>
      <c r="AE50">
        <v>66155075</v>
      </c>
      <c r="AF50">
        <v>69622418</v>
      </c>
    </row>
    <row r="51" spans="1:32" x14ac:dyDescent="0.3">
      <c r="A51" t="s">
        <v>12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12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12</v>
      </c>
      <c r="B53" t="s">
        <v>188</v>
      </c>
      <c r="C53" t="s">
        <v>86</v>
      </c>
      <c r="D53" t="s">
        <v>189</v>
      </c>
      <c r="E53" t="s">
        <v>87</v>
      </c>
      <c r="F53">
        <v>12746811</v>
      </c>
      <c r="G53">
        <v>12781026</v>
      </c>
      <c r="H53">
        <v>12198572</v>
      </c>
      <c r="I53">
        <v>11829111</v>
      </c>
      <c r="J53">
        <v>11513158</v>
      </c>
      <c r="K53">
        <v>11944837</v>
      </c>
      <c r="L53">
        <v>11652027</v>
      </c>
      <c r="M53">
        <v>11640139</v>
      </c>
      <c r="N53">
        <v>11229990</v>
      </c>
      <c r="O53">
        <v>11071977</v>
      </c>
      <c r="P53">
        <v>10908020</v>
      </c>
      <c r="Q53">
        <v>10929994</v>
      </c>
      <c r="R53">
        <v>10490403</v>
      </c>
      <c r="S53">
        <v>10186653</v>
      </c>
      <c r="T53">
        <v>10199308</v>
      </c>
      <c r="U53">
        <v>9808778</v>
      </c>
      <c r="V53">
        <v>9518760</v>
      </c>
      <c r="W53">
        <v>10098238</v>
      </c>
      <c r="X53">
        <v>10357451</v>
      </c>
      <c r="Y53">
        <v>10227258</v>
      </c>
      <c r="Z53">
        <v>10276609</v>
      </c>
      <c r="AA53">
        <v>9827601</v>
      </c>
      <c r="AB53">
        <v>9700464</v>
      </c>
      <c r="AC53">
        <v>9621905</v>
      </c>
      <c r="AD53">
        <v>9364129</v>
      </c>
      <c r="AE53">
        <v>7249226</v>
      </c>
      <c r="AF53">
        <v>7590706</v>
      </c>
    </row>
    <row r="54" spans="1:32" x14ac:dyDescent="0.3">
      <c r="A54" t="s">
        <v>12</v>
      </c>
      <c r="B54" t="s">
        <v>190</v>
      </c>
      <c r="C54" t="s">
        <v>86</v>
      </c>
      <c r="D54" t="s">
        <v>191</v>
      </c>
      <c r="E54" t="s">
        <v>87</v>
      </c>
      <c r="F54">
        <v>28118818</v>
      </c>
      <c r="G54">
        <v>28846059</v>
      </c>
      <c r="H54">
        <v>28448028</v>
      </c>
      <c r="I54">
        <v>28788246</v>
      </c>
      <c r="J54">
        <v>28767854</v>
      </c>
      <c r="K54">
        <v>30230714</v>
      </c>
      <c r="L54">
        <v>29559250</v>
      </c>
      <c r="M54">
        <v>30091833</v>
      </c>
      <c r="N54">
        <v>30025459</v>
      </c>
      <c r="O54">
        <v>30311020</v>
      </c>
      <c r="P54">
        <v>29967615</v>
      </c>
      <c r="Q54">
        <v>30064508</v>
      </c>
      <c r="R54">
        <v>30027141</v>
      </c>
      <c r="S54">
        <v>29525777</v>
      </c>
      <c r="T54">
        <v>29050107</v>
      </c>
      <c r="U54">
        <v>28399089</v>
      </c>
      <c r="V54">
        <v>28395926</v>
      </c>
      <c r="W54">
        <v>28576468</v>
      </c>
      <c r="X54">
        <v>28262772</v>
      </c>
      <c r="Y54">
        <v>27329535</v>
      </c>
      <c r="Z54">
        <v>27150132</v>
      </c>
      <c r="AA54">
        <v>26491813</v>
      </c>
      <c r="AB54">
        <v>26453067</v>
      </c>
      <c r="AC54">
        <v>26312084</v>
      </c>
      <c r="AD54">
        <v>26538420</v>
      </c>
      <c r="AE54">
        <v>22481347</v>
      </c>
      <c r="AF54">
        <v>22692151</v>
      </c>
    </row>
    <row r="55" spans="1:32" x14ac:dyDescent="0.3">
      <c r="A55" t="s">
        <v>12</v>
      </c>
      <c r="B55" t="s">
        <v>192</v>
      </c>
      <c r="C55" t="s">
        <v>86</v>
      </c>
      <c r="D55" t="s">
        <v>193</v>
      </c>
      <c r="E55" t="s">
        <v>87</v>
      </c>
      <c r="F55">
        <v>15372007</v>
      </c>
      <c r="G55">
        <v>16065033</v>
      </c>
      <c r="H55">
        <v>16249456</v>
      </c>
      <c r="I55">
        <v>16959135</v>
      </c>
      <c r="J55">
        <v>17254696</v>
      </c>
      <c r="K55">
        <v>18285877</v>
      </c>
      <c r="L55">
        <v>17907223</v>
      </c>
      <c r="M55">
        <v>18451694</v>
      </c>
      <c r="N55">
        <v>18795469</v>
      </c>
      <c r="O55">
        <v>19239043</v>
      </c>
      <c r="P55">
        <v>19059595</v>
      </c>
      <c r="Q55">
        <v>19134514</v>
      </c>
      <c r="R55">
        <v>19536738</v>
      </c>
      <c r="S55">
        <v>19339124</v>
      </c>
      <c r="T55">
        <v>18850799</v>
      </c>
      <c r="U55">
        <v>18590311</v>
      </c>
      <c r="V55">
        <v>18877166</v>
      </c>
      <c r="W55">
        <v>18478230</v>
      </c>
      <c r="X55">
        <v>17905321</v>
      </c>
      <c r="Y55">
        <v>17102277</v>
      </c>
      <c r="Z55">
        <v>16873523</v>
      </c>
      <c r="AA55">
        <v>16664212</v>
      </c>
      <c r="AB55">
        <v>16752603</v>
      </c>
      <c r="AC55">
        <v>16690179</v>
      </c>
      <c r="AD55">
        <v>17174291</v>
      </c>
      <c r="AE55">
        <v>15232121</v>
      </c>
      <c r="AF55">
        <v>15101445</v>
      </c>
    </row>
    <row r="56" spans="1:32" x14ac:dyDescent="0.3">
      <c r="A56" t="s">
        <v>12</v>
      </c>
      <c r="B56" t="s">
        <v>194</v>
      </c>
      <c r="C56" t="s">
        <v>86</v>
      </c>
      <c r="D56" t="s">
        <v>195</v>
      </c>
      <c r="E56" t="s">
        <v>87</v>
      </c>
      <c r="F56">
        <v>5573402</v>
      </c>
      <c r="G56">
        <v>5384672</v>
      </c>
      <c r="H56">
        <v>5159313</v>
      </c>
      <c r="I56">
        <v>4828929</v>
      </c>
      <c r="J56">
        <v>4626067</v>
      </c>
      <c r="K56">
        <v>4252794</v>
      </c>
      <c r="L56">
        <v>4084470</v>
      </c>
      <c r="M56">
        <v>4034004</v>
      </c>
      <c r="N56">
        <v>4026886</v>
      </c>
      <c r="O56">
        <v>3970263</v>
      </c>
      <c r="P56">
        <v>3932455</v>
      </c>
      <c r="Q56">
        <v>4199478</v>
      </c>
      <c r="R56">
        <v>4571829</v>
      </c>
      <c r="S56">
        <v>5183296</v>
      </c>
      <c r="T56">
        <v>5006846</v>
      </c>
      <c r="U56">
        <v>4974528</v>
      </c>
      <c r="V56">
        <v>5120378</v>
      </c>
      <c r="W56">
        <v>5045337</v>
      </c>
      <c r="X56">
        <v>4514242</v>
      </c>
      <c r="Y56">
        <v>4709976</v>
      </c>
      <c r="Z56">
        <v>4704664</v>
      </c>
      <c r="AA56">
        <v>5155368</v>
      </c>
      <c r="AB56">
        <v>4583229</v>
      </c>
      <c r="AC56">
        <v>4857074</v>
      </c>
      <c r="AD56">
        <v>5110372</v>
      </c>
      <c r="AE56">
        <v>4762766</v>
      </c>
      <c r="AF56">
        <v>4438031</v>
      </c>
    </row>
    <row r="57" spans="1:32" x14ac:dyDescent="0.3">
      <c r="A57" t="s">
        <v>12</v>
      </c>
      <c r="B57" t="s">
        <v>196</v>
      </c>
      <c r="C57" t="s">
        <v>86</v>
      </c>
      <c r="D57" t="s">
        <v>197</v>
      </c>
      <c r="E57" t="s">
        <v>87</v>
      </c>
      <c r="F57">
        <v>934654353</v>
      </c>
      <c r="G57">
        <v>957448048</v>
      </c>
      <c r="H57">
        <v>966851377</v>
      </c>
      <c r="I57">
        <v>959686287</v>
      </c>
      <c r="J57">
        <v>951374352</v>
      </c>
      <c r="K57">
        <v>958026988</v>
      </c>
      <c r="L57">
        <v>953090779</v>
      </c>
      <c r="M57">
        <v>942831716</v>
      </c>
      <c r="N57">
        <v>942613795</v>
      </c>
      <c r="O57">
        <v>950538601</v>
      </c>
      <c r="P57">
        <v>971270605</v>
      </c>
      <c r="Q57">
        <v>989376315</v>
      </c>
      <c r="R57">
        <v>1015357677</v>
      </c>
      <c r="S57">
        <v>1009352743</v>
      </c>
      <c r="T57">
        <v>946056051</v>
      </c>
      <c r="U57">
        <v>947886513</v>
      </c>
      <c r="V57">
        <v>939325174</v>
      </c>
      <c r="W57">
        <v>956456297</v>
      </c>
      <c r="X57">
        <v>959744108</v>
      </c>
      <c r="Y57">
        <v>970227585</v>
      </c>
      <c r="Z57">
        <v>1010241553</v>
      </c>
      <c r="AA57">
        <v>1014782074</v>
      </c>
      <c r="AB57">
        <v>1012340223</v>
      </c>
      <c r="AC57">
        <v>1032848915</v>
      </c>
      <c r="AD57">
        <v>1041050197</v>
      </c>
      <c r="AE57">
        <v>989601579</v>
      </c>
      <c r="AF57">
        <v>1007844963</v>
      </c>
    </row>
    <row r="58" spans="1:32" x14ac:dyDescent="0.3">
      <c r="A58" t="s">
        <v>12</v>
      </c>
      <c r="B58" t="s">
        <v>198</v>
      </c>
      <c r="C58" t="s">
        <v>86</v>
      </c>
      <c r="D58" t="s">
        <v>199</v>
      </c>
      <c r="E58" t="s">
        <v>87</v>
      </c>
      <c r="F58">
        <v>929080951</v>
      </c>
      <c r="G58">
        <v>952063376</v>
      </c>
      <c r="H58">
        <v>961692064</v>
      </c>
      <c r="I58">
        <v>954857358</v>
      </c>
      <c r="J58">
        <v>946748285</v>
      </c>
      <c r="K58">
        <v>953774194</v>
      </c>
      <c r="L58">
        <v>949006309</v>
      </c>
      <c r="M58">
        <v>938797712</v>
      </c>
      <c r="N58">
        <v>938586909</v>
      </c>
      <c r="O58">
        <v>946568338</v>
      </c>
      <c r="P58">
        <v>967338150</v>
      </c>
      <c r="Q58">
        <v>985176837</v>
      </c>
      <c r="R58">
        <v>1010785848</v>
      </c>
      <c r="S58">
        <v>1004169447</v>
      </c>
      <c r="T58">
        <v>941049205</v>
      </c>
      <c r="U58">
        <v>942911985</v>
      </c>
      <c r="V58">
        <v>934204796</v>
      </c>
      <c r="W58">
        <v>951410960</v>
      </c>
      <c r="X58">
        <v>955229866</v>
      </c>
      <c r="Y58">
        <v>965517609</v>
      </c>
      <c r="Z58">
        <v>1005536889</v>
      </c>
      <c r="AA58">
        <v>1009626706</v>
      </c>
      <c r="AB58">
        <v>1007756994</v>
      </c>
      <c r="AC58">
        <v>1027991841</v>
      </c>
      <c r="AD58">
        <v>1035939825</v>
      </c>
      <c r="AE58">
        <v>984838813</v>
      </c>
      <c r="AF58">
        <v>1003406932</v>
      </c>
    </row>
    <row r="59" spans="1:32" x14ac:dyDescent="0.3">
      <c r="A59" t="s">
        <v>12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14</v>
      </c>
      <c r="B2" t="s">
        <v>84</v>
      </c>
      <c r="C2" t="s">
        <v>86</v>
      </c>
      <c r="D2" t="s">
        <v>85</v>
      </c>
      <c r="E2" t="s">
        <v>87</v>
      </c>
      <c r="F2">
        <v>7374679</v>
      </c>
      <c r="G2">
        <v>6593628</v>
      </c>
      <c r="H2">
        <v>6987437</v>
      </c>
      <c r="I2">
        <v>6942468</v>
      </c>
      <c r="J2">
        <v>7033592</v>
      </c>
      <c r="K2">
        <v>6801990</v>
      </c>
      <c r="L2">
        <v>6652794</v>
      </c>
      <c r="M2">
        <v>6496178</v>
      </c>
      <c r="N2">
        <v>6092844</v>
      </c>
      <c r="O2">
        <v>6205662</v>
      </c>
      <c r="P2">
        <v>6219234</v>
      </c>
      <c r="Q2">
        <v>6174835</v>
      </c>
      <c r="R2">
        <v>6270364</v>
      </c>
      <c r="S2">
        <v>6255884</v>
      </c>
      <c r="T2">
        <v>7072941</v>
      </c>
      <c r="U2">
        <v>6585104</v>
      </c>
      <c r="V2">
        <v>6243194</v>
      </c>
      <c r="W2">
        <v>6536720</v>
      </c>
      <c r="X2">
        <v>6689631</v>
      </c>
      <c r="Y2">
        <v>7048788</v>
      </c>
      <c r="Z2">
        <v>7094951</v>
      </c>
      <c r="AA2">
        <v>7330895</v>
      </c>
      <c r="AB2">
        <v>7056579</v>
      </c>
      <c r="AC2">
        <v>7217185</v>
      </c>
      <c r="AD2">
        <v>7227004</v>
      </c>
      <c r="AE2">
        <v>7546989</v>
      </c>
      <c r="AF2">
        <v>7177136</v>
      </c>
    </row>
    <row r="3" spans="1:32" x14ac:dyDescent="0.3">
      <c r="A3" t="s">
        <v>14</v>
      </c>
      <c r="B3" t="s">
        <v>88</v>
      </c>
      <c r="C3" t="s">
        <v>86</v>
      </c>
      <c r="D3" t="s">
        <v>89</v>
      </c>
      <c r="E3" t="s">
        <v>87</v>
      </c>
      <c r="F3">
        <v>839016</v>
      </c>
      <c r="G3">
        <v>864908</v>
      </c>
      <c r="H3">
        <v>830479</v>
      </c>
      <c r="I3">
        <v>785336</v>
      </c>
      <c r="J3">
        <v>778407</v>
      </c>
      <c r="K3">
        <v>758937</v>
      </c>
      <c r="L3">
        <v>722386</v>
      </c>
      <c r="M3">
        <v>700318</v>
      </c>
      <c r="N3">
        <v>635329</v>
      </c>
      <c r="O3">
        <v>617823</v>
      </c>
      <c r="P3">
        <v>578156</v>
      </c>
      <c r="Q3">
        <v>545646</v>
      </c>
      <c r="R3">
        <v>545177</v>
      </c>
      <c r="S3">
        <v>521322</v>
      </c>
      <c r="T3">
        <v>639633</v>
      </c>
      <c r="U3">
        <v>487823</v>
      </c>
      <c r="V3">
        <v>428840</v>
      </c>
      <c r="W3">
        <v>476501</v>
      </c>
      <c r="X3">
        <v>460587</v>
      </c>
      <c r="Y3">
        <v>468947</v>
      </c>
      <c r="Z3">
        <v>478374</v>
      </c>
      <c r="AA3">
        <v>449043</v>
      </c>
      <c r="AB3">
        <v>412245</v>
      </c>
      <c r="AC3">
        <v>424613</v>
      </c>
      <c r="AD3">
        <v>426510</v>
      </c>
      <c r="AE3">
        <v>446637</v>
      </c>
      <c r="AF3">
        <v>392039</v>
      </c>
    </row>
    <row r="4" spans="1:32" x14ac:dyDescent="0.3">
      <c r="A4" t="s">
        <v>14</v>
      </c>
      <c r="B4" t="s">
        <v>90</v>
      </c>
      <c r="C4" t="s">
        <v>86</v>
      </c>
      <c r="D4" t="s">
        <v>91</v>
      </c>
      <c r="E4" t="s">
        <v>87</v>
      </c>
      <c r="F4">
        <v>192661594</v>
      </c>
      <c r="G4">
        <v>197081750</v>
      </c>
      <c r="H4">
        <v>201858777</v>
      </c>
      <c r="I4">
        <v>194251493</v>
      </c>
      <c r="J4">
        <v>183675374</v>
      </c>
      <c r="K4">
        <v>185452186</v>
      </c>
      <c r="L4">
        <v>184881292</v>
      </c>
      <c r="M4">
        <v>176834480</v>
      </c>
      <c r="N4">
        <v>176123924</v>
      </c>
      <c r="O4">
        <v>181015027</v>
      </c>
      <c r="P4">
        <v>190232294</v>
      </c>
      <c r="Q4">
        <v>205036438</v>
      </c>
      <c r="R4">
        <v>224376336</v>
      </c>
      <c r="S4">
        <v>227150543</v>
      </c>
      <c r="T4">
        <v>203824399</v>
      </c>
      <c r="U4">
        <v>194303945</v>
      </c>
      <c r="V4">
        <v>193167173</v>
      </c>
      <c r="W4">
        <v>203732229</v>
      </c>
      <c r="X4">
        <v>195601770</v>
      </c>
      <c r="Y4">
        <v>204149123</v>
      </c>
      <c r="Z4">
        <v>216131129</v>
      </c>
      <c r="AA4">
        <v>205312539</v>
      </c>
      <c r="AB4">
        <v>195964291</v>
      </c>
      <c r="AC4">
        <v>209382390</v>
      </c>
      <c r="AD4">
        <v>213130174</v>
      </c>
      <c r="AE4">
        <v>191363951</v>
      </c>
      <c r="AF4">
        <v>189383304</v>
      </c>
    </row>
    <row r="5" spans="1:32" x14ac:dyDescent="0.3">
      <c r="A5" t="s">
        <v>14</v>
      </c>
      <c r="B5" t="s">
        <v>92</v>
      </c>
      <c r="C5" t="s">
        <v>86</v>
      </c>
      <c r="D5" t="s">
        <v>93</v>
      </c>
      <c r="E5" t="s">
        <v>87</v>
      </c>
      <c r="F5">
        <v>22280648</v>
      </c>
      <c r="G5">
        <v>22024472</v>
      </c>
      <c r="H5">
        <v>22317338</v>
      </c>
      <c r="I5">
        <v>22557755</v>
      </c>
      <c r="J5">
        <v>21920480</v>
      </c>
      <c r="K5">
        <v>20883501</v>
      </c>
      <c r="L5">
        <v>20353437</v>
      </c>
      <c r="M5">
        <v>20038867</v>
      </c>
      <c r="N5">
        <v>19418151</v>
      </c>
      <c r="O5">
        <v>19712779</v>
      </c>
      <c r="P5">
        <v>19847168</v>
      </c>
      <c r="Q5">
        <v>19642814</v>
      </c>
      <c r="R5">
        <v>20303782</v>
      </c>
      <c r="S5">
        <v>20976866</v>
      </c>
      <c r="T5">
        <v>22395840</v>
      </c>
      <c r="U5">
        <v>21311459</v>
      </c>
      <c r="V5">
        <v>20775000</v>
      </c>
      <c r="W5">
        <v>21178419</v>
      </c>
      <c r="X5">
        <v>21108926</v>
      </c>
      <c r="Y5">
        <v>21456095</v>
      </c>
      <c r="Z5">
        <v>22769846</v>
      </c>
      <c r="AA5">
        <v>22268952</v>
      </c>
      <c r="AB5">
        <v>21979238</v>
      </c>
      <c r="AC5">
        <v>23105831</v>
      </c>
      <c r="AD5">
        <v>23248166</v>
      </c>
      <c r="AE5">
        <v>22634570</v>
      </c>
      <c r="AF5">
        <v>22099490</v>
      </c>
    </row>
    <row r="6" spans="1:32" x14ac:dyDescent="0.3">
      <c r="A6" t="s">
        <v>14</v>
      </c>
      <c r="B6" t="s">
        <v>94</v>
      </c>
      <c r="C6" t="s">
        <v>86</v>
      </c>
      <c r="D6" t="s">
        <v>95</v>
      </c>
      <c r="E6" t="s">
        <v>87</v>
      </c>
      <c r="F6">
        <v>7323321</v>
      </c>
      <c r="G6">
        <v>6666255</v>
      </c>
      <c r="H6">
        <v>6313340</v>
      </c>
      <c r="I6">
        <v>6033304</v>
      </c>
      <c r="J6">
        <v>5450601</v>
      </c>
      <c r="K6">
        <v>4747939</v>
      </c>
      <c r="L6">
        <v>4164422</v>
      </c>
      <c r="M6">
        <v>3694656</v>
      </c>
      <c r="N6">
        <v>3389753</v>
      </c>
      <c r="O6">
        <v>3204031</v>
      </c>
      <c r="P6">
        <v>3016412</v>
      </c>
      <c r="Q6">
        <v>2857330</v>
      </c>
      <c r="R6">
        <v>2865580</v>
      </c>
      <c r="S6">
        <v>2732091</v>
      </c>
      <c r="T6">
        <v>2399581</v>
      </c>
      <c r="U6">
        <v>2140171</v>
      </c>
      <c r="V6">
        <v>2287788</v>
      </c>
      <c r="W6">
        <v>2320989</v>
      </c>
      <c r="X6">
        <v>2108897</v>
      </c>
      <c r="Y6">
        <v>2178345</v>
      </c>
      <c r="Z6">
        <v>2398715</v>
      </c>
      <c r="AA6">
        <v>2372668</v>
      </c>
      <c r="AB6">
        <v>2201968</v>
      </c>
      <c r="AC6">
        <v>2152615</v>
      </c>
      <c r="AD6">
        <v>2147247</v>
      </c>
      <c r="AE6">
        <v>1977473</v>
      </c>
      <c r="AF6">
        <v>1706569</v>
      </c>
    </row>
    <row r="7" spans="1:32" x14ac:dyDescent="0.3">
      <c r="A7" t="s">
        <v>14</v>
      </c>
      <c r="B7" t="s">
        <v>96</v>
      </c>
      <c r="C7" t="s">
        <v>86</v>
      </c>
      <c r="D7" t="s">
        <v>97</v>
      </c>
      <c r="E7" t="s">
        <v>87</v>
      </c>
      <c r="F7">
        <v>12161123</v>
      </c>
      <c r="G7">
        <v>12464149</v>
      </c>
      <c r="H7">
        <v>12625270</v>
      </c>
      <c r="I7">
        <v>11875903</v>
      </c>
      <c r="J7">
        <v>11395330</v>
      </c>
      <c r="K7">
        <v>10833587</v>
      </c>
      <c r="L7">
        <v>10618392</v>
      </c>
      <c r="M7">
        <v>10226519</v>
      </c>
      <c r="N7">
        <v>9980957</v>
      </c>
      <c r="O7">
        <v>10032637</v>
      </c>
      <c r="P7">
        <v>9707233</v>
      </c>
      <c r="Q7">
        <v>9983598</v>
      </c>
      <c r="R7">
        <v>10510830</v>
      </c>
      <c r="S7">
        <v>10654043</v>
      </c>
      <c r="T7">
        <v>9802072</v>
      </c>
      <c r="U7">
        <v>9778157</v>
      </c>
      <c r="V7">
        <v>9394635</v>
      </c>
      <c r="W7">
        <v>9239701</v>
      </c>
      <c r="X7">
        <v>9178902</v>
      </c>
      <c r="Y7">
        <v>9192632</v>
      </c>
      <c r="Z7">
        <v>9353761</v>
      </c>
      <c r="AA7">
        <v>9224434</v>
      </c>
      <c r="AB7">
        <v>8950617</v>
      </c>
      <c r="AC7">
        <v>8949844</v>
      </c>
      <c r="AD7">
        <v>9070812</v>
      </c>
      <c r="AE7">
        <v>8538068</v>
      </c>
      <c r="AF7">
        <v>8471091</v>
      </c>
    </row>
    <row r="8" spans="1:32" x14ac:dyDescent="0.3">
      <c r="A8" t="s">
        <v>14</v>
      </c>
      <c r="B8" t="s">
        <v>98</v>
      </c>
      <c r="C8" t="s">
        <v>86</v>
      </c>
      <c r="D8" t="s">
        <v>99</v>
      </c>
      <c r="E8" t="s">
        <v>87</v>
      </c>
      <c r="F8">
        <v>5239205</v>
      </c>
      <c r="G8">
        <v>5262573</v>
      </c>
      <c r="H8">
        <v>6254736</v>
      </c>
      <c r="I8">
        <v>7573676</v>
      </c>
      <c r="J8">
        <v>6049079</v>
      </c>
      <c r="K8">
        <v>5551179</v>
      </c>
      <c r="L8">
        <v>7716611</v>
      </c>
      <c r="M8">
        <v>7797424</v>
      </c>
      <c r="N8">
        <v>7959622</v>
      </c>
      <c r="O8">
        <v>8209620</v>
      </c>
      <c r="P8">
        <v>9193806</v>
      </c>
      <c r="Q8">
        <v>11741739</v>
      </c>
      <c r="R8">
        <v>15009714</v>
      </c>
      <c r="S8">
        <v>14469608</v>
      </c>
      <c r="T8">
        <v>21559648</v>
      </c>
      <c r="U8">
        <v>12646896</v>
      </c>
      <c r="V8">
        <v>13078652</v>
      </c>
      <c r="W8">
        <v>16413214</v>
      </c>
      <c r="X8">
        <v>15080271</v>
      </c>
      <c r="Y8">
        <v>17325950</v>
      </c>
      <c r="Z8">
        <v>18598801</v>
      </c>
      <c r="AA8">
        <v>12800199</v>
      </c>
      <c r="AB8">
        <v>8737528</v>
      </c>
      <c r="AC8">
        <v>10610547</v>
      </c>
      <c r="AD8">
        <v>13532176</v>
      </c>
      <c r="AE8">
        <v>10779417</v>
      </c>
      <c r="AF8">
        <v>6785648</v>
      </c>
    </row>
    <row r="9" spans="1:32" x14ac:dyDescent="0.3">
      <c r="A9" t="s">
        <v>14</v>
      </c>
      <c r="B9" t="s">
        <v>100</v>
      </c>
      <c r="C9" t="s">
        <v>86</v>
      </c>
      <c r="D9" t="s">
        <v>101</v>
      </c>
      <c r="E9" t="s">
        <v>87</v>
      </c>
      <c r="F9">
        <v>12883465</v>
      </c>
      <c r="G9">
        <v>13469859</v>
      </c>
      <c r="H9">
        <v>13933791</v>
      </c>
      <c r="I9">
        <v>14166223</v>
      </c>
      <c r="J9">
        <v>13408276</v>
      </c>
      <c r="K9">
        <v>13089548</v>
      </c>
      <c r="L9">
        <v>13540768</v>
      </c>
      <c r="M9">
        <v>13075104</v>
      </c>
      <c r="N9">
        <v>12660752</v>
      </c>
      <c r="O9">
        <v>13177110</v>
      </c>
      <c r="P9">
        <v>14054068</v>
      </c>
      <c r="Q9">
        <v>15387687</v>
      </c>
      <c r="R9">
        <v>17280379</v>
      </c>
      <c r="S9">
        <v>17831725</v>
      </c>
      <c r="T9">
        <v>17214042</v>
      </c>
      <c r="U9">
        <v>14060416</v>
      </c>
      <c r="V9">
        <v>14781552</v>
      </c>
      <c r="W9">
        <v>15419735</v>
      </c>
      <c r="X9">
        <v>15563107</v>
      </c>
      <c r="Y9">
        <v>16788896</v>
      </c>
      <c r="Z9">
        <v>18640451</v>
      </c>
      <c r="AA9">
        <v>15679053</v>
      </c>
      <c r="AB9">
        <v>13880204</v>
      </c>
      <c r="AC9">
        <v>14984449</v>
      </c>
      <c r="AD9">
        <v>16528999</v>
      </c>
      <c r="AE9">
        <v>15151010</v>
      </c>
      <c r="AF9">
        <v>13330390</v>
      </c>
    </row>
    <row r="10" spans="1:32" x14ac:dyDescent="0.3">
      <c r="A10" t="s">
        <v>14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14</v>
      </c>
      <c r="B11" t="s">
        <v>104</v>
      </c>
      <c r="C11" t="s">
        <v>86</v>
      </c>
      <c r="D11" t="s">
        <v>105</v>
      </c>
      <c r="E11" t="s">
        <v>87</v>
      </c>
      <c r="F11">
        <v>3265798</v>
      </c>
      <c r="G11">
        <v>3209866</v>
      </c>
      <c r="H11">
        <v>3334579</v>
      </c>
      <c r="I11">
        <v>3417126</v>
      </c>
      <c r="J11">
        <v>3481772</v>
      </c>
      <c r="K11">
        <v>3769913</v>
      </c>
      <c r="L11">
        <v>3744043</v>
      </c>
      <c r="M11">
        <v>3753319</v>
      </c>
      <c r="N11">
        <v>3710286</v>
      </c>
      <c r="O11">
        <v>3700808</v>
      </c>
      <c r="P11">
        <v>3585572</v>
      </c>
      <c r="Q11">
        <v>3698033</v>
      </c>
      <c r="R11">
        <v>3675897</v>
      </c>
      <c r="S11">
        <v>3722613</v>
      </c>
      <c r="T11">
        <v>4091935</v>
      </c>
      <c r="U11">
        <v>3974459</v>
      </c>
      <c r="V11">
        <v>3921454</v>
      </c>
      <c r="W11">
        <v>3853179</v>
      </c>
      <c r="X11">
        <v>3727984</v>
      </c>
      <c r="Y11">
        <v>3780208</v>
      </c>
      <c r="Z11">
        <v>4237660</v>
      </c>
      <c r="AA11">
        <v>4275482</v>
      </c>
      <c r="AB11">
        <v>4127585</v>
      </c>
      <c r="AC11">
        <v>4161495</v>
      </c>
      <c r="AD11">
        <v>4047191</v>
      </c>
      <c r="AE11">
        <v>4458959</v>
      </c>
      <c r="AF11">
        <v>4132975</v>
      </c>
    </row>
    <row r="12" spans="1:32" x14ac:dyDescent="0.3">
      <c r="A12" t="s">
        <v>14</v>
      </c>
      <c r="B12" t="s">
        <v>106</v>
      </c>
      <c r="C12" t="s">
        <v>86</v>
      </c>
      <c r="D12" t="s">
        <v>107</v>
      </c>
      <c r="E12" t="s">
        <v>87</v>
      </c>
      <c r="F12">
        <v>13423312</v>
      </c>
      <c r="G12">
        <v>13838605</v>
      </c>
      <c r="H12">
        <v>13850672</v>
      </c>
      <c r="I12">
        <v>13388298</v>
      </c>
      <c r="J12">
        <v>13112803</v>
      </c>
      <c r="K12">
        <v>12548989</v>
      </c>
      <c r="L12">
        <v>12502983</v>
      </c>
      <c r="M12">
        <v>12232014</v>
      </c>
      <c r="N12">
        <v>11916403</v>
      </c>
      <c r="O12">
        <v>11963210</v>
      </c>
      <c r="P12">
        <v>12172498</v>
      </c>
      <c r="Q12">
        <v>13023070</v>
      </c>
      <c r="R12">
        <v>13632112</v>
      </c>
      <c r="S12">
        <v>13313851</v>
      </c>
      <c r="T12">
        <v>12258802</v>
      </c>
      <c r="U12">
        <v>11961081</v>
      </c>
      <c r="V12">
        <v>12064657</v>
      </c>
      <c r="W12">
        <v>12016550</v>
      </c>
      <c r="X12">
        <v>11513382</v>
      </c>
      <c r="Y12">
        <v>11829514</v>
      </c>
      <c r="Z12">
        <v>12720565</v>
      </c>
      <c r="AA12">
        <v>12322880</v>
      </c>
      <c r="AB12">
        <v>11828485</v>
      </c>
      <c r="AC12">
        <v>12311196</v>
      </c>
      <c r="AD12">
        <v>12662994</v>
      </c>
      <c r="AE12">
        <v>12072524</v>
      </c>
      <c r="AF12">
        <v>11961601</v>
      </c>
    </row>
    <row r="13" spans="1:32" x14ac:dyDescent="0.3">
      <c r="A13" t="s">
        <v>14</v>
      </c>
      <c r="B13" t="s">
        <v>108</v>
      </c>
      <c r="C13" t="s">
        <v>86</v>
      </c>
      <c r="D13" t="s">
        <v>109</v>
      </c>
      <c r="E13" t="s">
        <v>87</v>
      </c>
      <c r="F13">
        <v>28669048</v>
      </c>
      <c r="G13">
        <v>28649640</v>
      </c>
      <c r="H13">
        <v>28492684</v>
      </c>
      <c r="I13">
        <v>27515839</v>
      </c>
      <c r="J13">
        <v>24348644</v>
      </c>
      <c r="K13">
        <v>24394062</v>
      </c>
      <c r="L13">
        <v>24156457</v>
      </c>
      <c r="M13">
        <v>23927473</v>
      </c>
      <c r="N13">
        <v>22976270</v>
      </c>
      <c r="O13">
        <v>24668706</v>
      </c>
      <c r="P13">
        <v>29129544</v>
      </c>
      <c r="Q13">
        <v>33178454</v>
      </c>
      <c r="R13">
        <v>38832202</v>
      </c>
      <c r="S13">
        <v>41358978</v>
      </c>
      <c r="T13">
        <v>38568256</v>
      </c>
      <c r="U13">
        <v>34892265</v>
      </c>
      <c r="V13">
        <v>36383277</v>
      </c>
      <c r="W13">
        <v>41157899</v>
      </c>
      <c r="X13">
        <v>36449177</v>
      </c>
      <c r="Y13">
        <v>37267731</v>
      </c>
      <c r="Z13">
        <v>37090172</v>
      </c>
      <c r="AA13">
        <v>35634027</v>
      </c>
      <c r="AB13">
        <v>32215785</v>
      </c>
      <c r="AC13">
        <v>36992660</v>
      </c>
      <c r="AD13">
        <v>37249305</v>
      </c>
      <c r="AE13">
        <v>32508630</v>
      </c>
      <c r="AF13">
        <v>34277059</v>
      </c>
    </row>
    <row r="14" spans="1:32" x14ac:dyDescent="0.3">
      <c r="A14" t="s">
        <v>14</v>
      </c>
      <c r="B14" t="s">
        <v>110</v>
      </c>
      <c r="C14" t="s">
        <v>86</v>
      </c>
      <c r="D14" t="s">
        <v>111</v>
      </c>
      <c r="E14" t="s">
        <v>87</v>
      </c>
      <c r="F14">
        <v>22432465</v>
      </c>
      <c r="G14">
        <v>24856918</v>
      </c>
      <c r="H14">
        <v>26165525</v>
      </c>
      <c r="I14">
        <v>24150839</v>
      </c>
      <c r="J14">
        <v>24373809</v>
      </c>
      <c r="K14">
        <v>26240595</v>
      </c>
      <c r="L14">
        <v>24378821</v>
      </c>
      <c r="M14">
        <v>21259308</v>
      </c>
      <c r="N14">
        <v>21650190</v>
      </c>
      <c r="O14">
        <v>21369439</v>
      </c>
      <c r="P14">
        <v>20810723</v>
      </c>
      <c r="Q14">
        <v>21513904</v>
      </c>
      <c r="R14">
        <v>23002966</v>
      </c>
      <c r="S14">
        <v>23255149</v>
      </c>
      <c r="T14">
        <v>17783295</v>
      </c>
      <c r="U14">
        <v>17651649</v>
      </c>
      <c r="V14">
        <v>16564410</v>
      </c>
      <c r="W14">
        <v>14178760</v>
      </c>
      <c r="X14">
        <v>13121143</v>
      </c>
      <c r="Y14">
        <v>14443204</v>
      </c>
      <c r="Z14">
        <v>15319876</v>
      </c>
      <c r="AA14">
        <v>14703317</v>
      </c>
      <c r="AB14">
        <v>14920166</v>
      </c>
      <c r="AC14">
        <v>15237621</v>
      </c>
      <c r="AD14">
        <v>14511387</v>
      </c>
      <c r="AE14">
        <v>14330514</v>
      </c>
      <c r="AF14">
        <v>15170328</v>
      </c>
    </row>
    <row r="15" spans="1:32" x14ac:dyDescent="0.3">
      <c r="A15" t="s">
        <v>14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14</v>
      </c>
      <c r="B16" t="s">
        <v>114</v>
      </c>
      <c r="C16" t="s">
        <v>86</v>
      </c>
      <c r="D16" t="s">
        <v>115</v>
      </c>
      <c r="E16" t="s">
        <v>87</v>
      </c>
      <c r="F16">
        <v>11595014</v>
      </c>
      <c r="G16">
        <v>12151673</v>
      </c>
      <c r="H16">
        <v>12121930</v>
      </c>
      <c r="I16">
        <v>11043370</v>
      </c>
      <c r="J16">
        <v>10179818</v>
      </c>
      <c r="K16">
        <v>10819815</v>
      </c>
      <c r="L16">
        <v>11089790</v>
      </c>
      <c r="M16">
        <v>9333662</v>
      </c>
      <c r="N16">
        <v>9041226</v>
      </c>
      <c r="O16">
        <v>9082824</v>
      </c>
      <c r="P16">
        <v>9496438</v>
      </c>
      <c r="Q16">
        <v>10187061</v>
      </c>
      <c r="R16">
        <v>11004355</v>
      </c>
      <c r="S16">
        <v>10587740</v>
      </c>
      <c r="T16">
        <v>9463728</v>
      </c>
      <c r="U16">
        <v>9907596</v>
      </c>
      <c r="V16">
        <v>9712465</v>
      </c>
      <c r="W16">
        <v>10209013</v>
      </c>
      <c r="X16">
        <v>9966290</v>
      </c>
      <c r="Y16">
        <v>10594417</v>
      </c>
      <c r="Z16">
        <v>10901787</v>
      </c>
      <c r="AA16">
        <v>10727602</v>
      </c>
      <c r="AB16">
        <v>10359651</v>
      </c>
      <c r="AC16">
        <v>11539028</v>
      </c>
      <c r="AD16">
        <v>11311592</v>
      </c>
      <c r="AE16">
        <v>10846550</v>
      </c>
      <c r="AF16">
        <v>10920935</v>
      </c>
    </row>
    <row r="17" spans="1:32" x14ac:dyDescent="0.3">
      <c r="A17" t="s">
        <v>14</v>
      </c>
      <c r="B17" t="s">
        <v>116</v>
      </c>
      <c r="C17" t="s">
        <v>86</v>
      </c>
      <c r="D17" t="s">
        <v>117</v>
      </c>
      <c r="E17" t="s">
        <v>87</v>
      </c>
      <c r="F17">
        <v>17061852</v>
      </c>
      <c r="G17">
        <v>18205124</v>
      </c>
      <c r="H17">
        <v>18489994</v>
      </c>
      <c r="I17">
        <v>17532224</v>
      </c>
      <c r="J17">
        <v>16356653</v>
      </c>
      <c r="K17">
        <v>17204590</v>
      </c>
      <c r="L17">
        <v>16807986</v>
      </c>
      <c r="M17">
        <v>15019864</v>
      </c>
      <c r="N17">
        <v>15544260</v>
      </c>
      <c r="O17">
        <v>16945040</v>
      </c>
      <c r="P17">
        <v>18418092</v>
      </c>
      <c r="Q17">
        <v>19677115</v>
      </c>
      <c r="R17">
        <v>21020776</v>
      </c>
      <c r="S17">
        <v>19859468</v>
      </c>
      <c r="T17">
        <v>13685474</v>
      </c>
      <c r="U17">
        <v>14740508</v>
      </c>
      <c r="V17">
        <v>16050730</v>
      </c>
      <c r="W17">
        <v>16437364</v>
      </c>
      <c r="X17">
        <v>15395346</v>
      </c>
      <c r="Y17">
        <v>16065148</v>
      </c>
      <c r="Z17">
        <v>17379312</v>
      </c>
      <c r="AA17">
        <v>17781241</v>
      </c>
      <c r="AB17">
        <v>18237022</v>
      </c>
      <c r="AC17">
        <v>19458521</v>
      </c>
      <c r="AD17">
        <v>18728488</v>
      </c>
      <c r="AE17">
        <v>16833223</v>
      </c>
      <c r="AF17">
        <v>18667414</v>
      </c>
    </row>
    <row r="18" spans="1:32" x14ac:dyDescent="0.3">
      <c r="A18" t="s">
        <v>14</v>
      </c>
      <c r="B18" t="s">
        <v>118</v>
      </c>
      <c r="C18" t="s">
        <v>86</v>
      </c>
      <c r="D18" t="s">
        <v>119</v>
      </c>
      <c r="E18" t="s">
        <v>87</v>
      </c>
      <c r="F18">
        <v>30537488</v>
      </c>
      <c r="G18">
        <v>30612441</v>
      </c>
      <c r="H18">
        <v>32466836</v>
      </c>
      <c r="I18">
        <v>29572071</v>
      </c>
      <c r="J18">
        <v>28759880</v>
      </c>
      <c r="K18">
        <v>30497386</v>
      </c>
      <c r="L18">
        <v>30999797</v>
      </c>
      <c r="M18">
        <v>32104095</v>
      </c>
      <c r="N18">
        <v>33790778</v>
      </c>
      <c r="O18">
        <v>35271703</v>
      </c>
      <c r="P18">
        <v>36978009</v>
      </c>
      <c r="Q18">
        <v>40265558</v>
      </c>
      <c r="R18">
        <v>43430760</v>
      </c>
      <c r="S18">
        <v>44658990</v>
      </c>
      <c r="T18">
        <v>31453852</v>
      </c>
      <c r="U18">
        <v>38292162</v>
      </c>
      <c r="V18">
        <v>35129324</v>
      </c>
      <c r="W18">
        <v>38281657</v>
      </c>
      <c r="X18">
        <v>39446832</v>
      </c>
      <c r="Y18">
        <v>40247729</v>
      </c>
      <c r="Z18">
        <v>43495264</v>
      </c>
      <c r="AA18">
        <v>44246251</v>
      </c>
      <c r="AB18">
        <v>45415760</v>
      </c>
      <c r="AC18">
        <v>46757696</v>
      </c>
      <c r="AD18">
        <v>46896953</v>
      </c>
      <c r="AE18">
        <v>38094584</v>
      </c>
      <c r="AF18">
        <v>38334557</v>
      </c>
    </row>
    <row r="19" spans="1:32" x14ac:dyDescent="0.3">
      <c r="A19" t="s">
        <v>14</v>
      </c>
      <c r="B19" t="s">
        <v>120</v>
      </c>
      <c r="C19" t="s">
        <v>86</v>
      </c>
      <c r="D19" t="s">
        <v>121</v>
      </c>
      <c r="E19" t="s">
        <v>87</v>
      </c>
      <c r="F19">
        <v>5788855</v>
      </c>
      <c r="G19">
        <v>5670175</v>
      </c>
      <c r="H19">
        <v>5492082</v>
      </c>
      <c r="I19">
        <v>5424865</v>
      </c>
      <c r="J19">
        <v>4838229</v>
      </c>
      <c r="K19">
        <v>4871082</v>
      </c>
      <c r="L19">
        <v>4807785</v>
      </c>
      <c r="M19">
        <v>4372175</v>
      </c>
      <c r="N19">
        <v>4085276</v>
      </c>
      <c r="O19">
        <v>3677120</v>
      </c>
      <c r="P19">
        <v>3822731</v>
      </c>
      <c r="Q19">
        <v>3880075</v>
      </c>
      <c r="R19">
        <v>3806983</v>
      </c>
      <c r="S19">
        <v>3729421</v>
      </c>
      <c r="T19">
        <v>3147874</v>
      </c>
      <c r="U19">
        <v>2947126</v>
      </c>
      <c r="V19">
        <v>3023229</v>
      </c>
      <c r="W19">
        <v>3025749</v>
      </c>
      <c r="X19">
        <v>2941513</v>
      </c>
      <c r="Y19">
        <v>2979254</v>
      </c>
      <c r="Z19">
        <v>3224919</v>
      </c>
      <c r="AA19">
        <v>3276433</v>
      </c>
      <c r="AB19">
        <v>3110282</v>
      </c>
      <c r="AC19">
        <v>3120887</v>
      </c>
      <c r="AD19">
        <v>3194864</v>
      </c>
      <c r="AE19">
        <v>3138429</v>
      </c>
      <c r="AF19">
        <v>3525247</v>
      </c>
    </row>
    <row r="20" spans="1:32" x14ac:dyDescent="0.3">
      <c r="A20" t="s">
        <v>14</v>
      </c>
      <c r="B20" t="s">
        <v>122</v>
      </c>
      <c r="C20" t="s">
        <v>86</v>
      </c>
      <c r="D20" t="s">
        <v>123</v>
      </c>
      <c r="E20" t="s">
        <v>87</v>
      </c>
      <c r="F20">
        <v>7037870</v>
      </c>
      <c r="G20">
        <v>6744364</v>
      </c>
      <c r="H20">
        <v>7057336</v>
      </c>
      <c r="I20">
        <v>7571014</v>
      </c>
      <c r="J20">
        <v>7253661</v>
      </c>
      <c r="K20">
        <v>6866545</v>
      </c>
      <c r="L20">
        <v>7574314</v>
      </c>
      <c r="M20">
        <v>7825449</v>
      </c>
      <c r="N20">
        <v>7826311</v>
      </c>
      <c r="O20">
        <v>7826818</v>
      </c>
      <c r="P20">
        <v>7933457</v>
      </c>
      <c r="Q20">
        <v>9239574</v>
      </c>
      <c r="R20">
        <v>11666764</v>
      </c>
      <c r="S20">
        <v>11572713</v>
      </c>
      <c r="T20">
        <v>15392072</v>
      </c>
      <c r="U20">
        <v>11182012</v>
      </c>
      <c r="V20">
        <v>12997154</v>
      </c>
      <c r="W20">
        <v>16012607</v>
      </c>
      <c r="X20">
        <v>15907080</v>
      </c>
      <c r="Y20">
        <v>16850767</v>
      </c>
      <c r="Z20">
        <v>17857887</v>
      </c>
      <c r="AA20">
        <v>14495212</v>
      </c>
      <c r="AB20">
        <v>10796077</v>
      </c>
      <c r="AC20">
        <v>12203883</v>
      </c>
      <c r="AD20">
        <v>13546595</v>
      </c>
      <c r="AE20">
        <v>13401740</v>
      </c>
      <c r="AF20">
        <v>11715120</v>
      </c>
    </row>
    <row r="21" spans="1:32" x14ac:dyDescent="0.3">
      <c r="A21" t="s">
        <v>14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14</v>
      </c>
      <c r="B22" t="s">
        <v>126</v>
      </c>
      <c r="C22" t="s">
        <v>86</v>
      </c>
      <c r="D22" t="s">
        <v>127</v>
      </c>
      <c r="E22" t="s">
        <v>87</v>
      </c>
      <c r="F22">
        <v>3036710</v>
      </c>
      <c r="G22">
        <v>3154764</v>
      </c>
      <c r="H22">
        <v>3208917</v>
      </c>
      <c r="I22">
        <v>3438054</v>
      </c>
      <c r="J22">
        <v>3533200</v>
      </c>
      <c r="K22">
        <v>3462464</v>
      </c>
      <c r="L22">
        <v>3733318</v>
      </c>
      <c r="M22">
        <v>3940301</v>
      </c>
      <c r="N22">
        <v>4034265</v>
      </c>
      <c r="O22">
        <v>3998265</v>
      </c>
      <c r="P22">
        <v>4005136</v>
      </c>
      <c r="Q22">
        <v>3977323</v>
      </c>
      <c r="R22">
        <v>4020062</v>
      </c>
      <c r="S22">
        <v>3942655</v>
      </c>
      <c r="T22">
        <v>4165810</v>
      </c>
      <c r="U22">
        <v>3972402</v>
      </c>
      <c r="V22">
        <v>3972833</v>
      </c>
      <c r="W22">
        <v>4118432</v>
      </c>
      <c r="X22">
        <v>4216068</v>
      </c>
      <c r="Y22">
        <v>4466128</v>
      </c>
      <c r="Z22">
        <v>4948110</v>
      </c>
      <c r="AA22">
        <v>5131212</v>
      </c>
      <c r="AB22">
        <v>4977118</v>
      </c>
      <c r="AC22">
        <v>4983466</v>
      </c>
      <c r="AD22">
        <v>5201637</v>
      </c>
      <c r="AE22">
        <v>5502729</v>
      </c>
      <c r="AF22">
        <v>5299460</v>
      </c>
    </row>
    <row r="23" spans="1:32" x14ac:dyDescent="0.3">
      <c r="A23" t="s">
        <v>14</v>
      </c>
      <c r="B23" t="s">
        <v>128</v>
      </c>
      <c r="C23" t="s">
        <v>86</v>
      </c>
      <c r="D23" t="s">
        <v>129</v>
      </c>
      <c r="E23" t="s">
        <v>87</v>
      </c>
      <c r="F23">
        <v>48925491</v>
      </c>
      <c r="G23">
        <v>51301872</v>
      </c>
      <c r="H23">
        <v>47803178</v>
      </c>
      <c r="I23">
        <v>45807933</v>
      </c>
      <c r="J23">
        <v>43380022</v>
      </c>
      <c r="K23">
        <v>41782699</v>
      </c>
      <c r="L23">
        <v>39705352</v>
      </c>
      <c r="M23">
        <v>37298392</v>
      </c>
      <c r="N23">
        <v>35349907</v>
      </c>
      <c r="O23">
        <v>33855268</v>
      </c>
      <c r="P23">
        <v>33755693</v>
      </c>
      <c r="Q23">
        <v>33215185</v>
      </c>
      <c r="R23">
        <v>31754427</v>
      </c>
      <c r="S23">
        <v>30473017</v>
      </c>
      <c r="T23">
        <v>28860201</v>
      </c>
      <c r="U23">
        <v>27233463</v>
      </c>
      <c r="V23">
        <v>28837191</v>
      </c>
      <c r="W23">
        <v>30002011</v>
      </c>
      <c r="X23">
        <v>32156227</v>
      </c>
      <c r="Y23">
        <v>31492678</v>
      </c>
      <c r="Z23">
        <v>32865508</v>
      </c>
      <c r="AA23">
        <v>34211595</v>
      </c>
      <c r="AB23">
        <v>34091923</v>
      </c>
      <c r="AC23">
        <v>34781452</v>
      </c>
      <c r="AD23">
        <v>35940867</v>
      </c>
      <c r="AE23">
        <v>35264802</v>
      </c>
      <c r="AF23">
        <v>34535727</v>
      </c>
    </row>
    <row r="24" spans="1:32" x14ac:dyDescent="0.3">
      <c r="A24" t="s">
        <v>14</v>
      </c>
      <c r="B24" t="s">
        <v>130</v>
      </c>
      <c r="C24" t="s">
        <v>86</v>
      </c>
      <c r="D24" t="s">
        <v>131</v>
      </c>
      <c r="E24" t="s">
        <v>87</v>
      </c>
      <c r="F24">
        <v>37399837</v>
      </c>
      <c r="G24">
        <v>38358025</v>
      </c>
      <c r="H24">
        <v>38989789</v>
      </c>
      <c r="I24">
        <v>38712028</v>
      </c>
      <c r="J24">
        <v>39391167</v>
      </c>
      <c r="K24">
        <v>39008318</v>
      </c>
      <c r="L24">
        <v>39789421</v>
      </c>
      <c r="M24">
        <v>40651067</v>
      </c>
      <c r="N24">
        <v>41882503</v>
      </c>
      <c r="O24">
        <v>42201074</v>
      </c>
      <c r="P24">
        <v>46317551</v>
      </c>
      <c r="Q24">
        <v>46728597</v>
      </c>
      <c r="R24">
        <v>47045403</v>
      </c>
      <c r="S24">
        <v>47561426</v>
      </c>
      <c r="T24">
        <v>44055835</v>
      </c>
      <c r="U24">
        <v>45276071</v>
      </c>
      <c r="V24">
        <v>44375634</v>
      </c>
      <c r="W24">
        <v>44974666</v>
      </c>
      <c r="X24">
        <v>46205741</v>
      </c>
      <c r="Y24">
        <v>45215327</v>
      </c>
      <c r="Z24">
        <v>45838080</v>
      </c>
      <c r="AA24">
        <v>46072029</v>
      </c>
      <c r="AB24">
        <v>45185483</v>
      </c>
      <c r="AC24">
        <v>47100190</v>
      </c>
      <c r="AD24">
        <v>47570568</v>
      </c>
      <c r="AE24">
        <v>48300422</v>
      </c>
      <c r="AF24">
        <v>49152173</v>
      </c>
    </row>
    <row r="25" spans="1:32" x14ac:dyDescent="0.3">
      <c r="A25" t="s">
        <v>14</v>
      </c>
      <c r="B25" t="s">
        <v>132</v>
      </c>
      <c r="C25" t="s">
        <v>86</v>
      </c>
      <c r="D25" t="s">
        <v>133</v>
      </c>
      <c r="E25" t="s">
        <v>87</v>
      </c>
      <c r="F25">
        <v>5209887</v>
      </c>
      <c r="G25">
        <v>5420856</v>
      </c>
      <c r="H25">
        <v>5690175</v>
      </c>
      <c r="I25">
        <v>5613814</v>
      </c>
      <c r="J25">
        <v>5855333</v>
      </c>
      <c r="K25">
        <v>6099909</v>
      </c>
      <c r="L25">
        <v>5634181</v>
      </c>
      <c r="M25">
        <v>5539335</v>
      </c>
      <c r="N25">
        <v>5644707</v>
      </c>
      <c r="O25">
        <v>5662314</v>
      </c>
      <c r="P25">
        <v>6348650</v>
      </c>
      <c r="Q25">
        <v>5816017</v>
      </c>
      <c r="R25">
        <v>5249135</v>
      </c>
      <c r="S25">
        <v>4390891</v>
      </c>
      <c r="T25">
        <v>3371080</v>
      </c>
      <c r="U25">
        <v>3345354</v>
      </c>
      <c r="V25">
        <v>2721926</v>
      </c>
      <c r="W25">
        <v>2873180</v>
      </c>
      <c r="X25">
        <v>2996131</v>
      </c>
      <c r="Y25">
        <v>3234962</v>
      </c>
      <c r="Z25">
        <v>3406759</v>
      </c>
      <c r="AA25">
        <v>3621284</v>
      </c>
      <c r="AB25">
        <v>3801025</v>
      </c>
      <c r="AC25">
        <v>3781784</v>
      </c>
      <c r="AD25">
        <v>3729751</v>
      </c>
      <c r="AE25">
        <v>3649867</v>
      </c>
      <c r="AF25">
        <v>3466688</v>
      </c>
    </row>
    <row r="26" spans="1:32" x14ac:dyDescent="0.3">
      <c r="A26" t="s">
        <v>14</v>
      </c>
      <c r="B26" t="s">
        <v>134</v>
      </c>
      <c r="C26" t="s">
        <v>86</v>
      </c>
      <c r="D26" t="s">
        <v>135</v>
      </c>
      <c r="E26" t="s">
        <v>87</v>
      </c>
      <c r="F26">
        <v>18850205</v>
      </c>
      <c r="G26">
        <v>19514459</v>
      </c>
      <c r="H26">
        <v>20138019</v>
      </c>
      <c r="I26">
        <v>19472198</v>
      </c>
      <c r="J26">
        <v>20094261</v>
      </c>
      <c r="K26">
        <v>19514067</v>
      </c>
      <c r="L26">
        <v>20205082</v>
      </c>
      <c r="M26">
        <v>20879968</v>
      </c>
      <c r="N26">
        <v>21652024</v>
      </c>
      <c r="O26">
        <v>21939913</v>
      </c>
      <c r="P26">
        <v>25383897</v>
      </c>
      <c r="Q26">
        <v>25621073</v>
      </c>
      <c r="R26">
        <v>24910277</v>
      </c>
      <c r="S26">
        <v>25083555</v>
      </c>
      <c r="T26">
        <v>20297827</v>
      </c>
      <c r="U26">
        <v>20484323</v>
      </c>
      <c r="V26">
        <v>19715236</v>
      </c>
      <c r="W26">
        <v>19284498</v>
      </c>
      <c r="X26">
        <v>19067945</v>
      </c>
      <c r="Y26">
        <v>17291869</v>
      </c>
      <c r="Z26">
        <v>16561241</v>
      </c>
      <c r="AA26">
        <v>16747170</v>
      </c>
      <c r="AB26">
        <v>16694295</v>
      </c>
      <c r="AC26">
        <v>17246906</v>
      </c>
      <c r="AD26">
        <v>16956978</v>
      </c>
      <c r="AE26">
        <v>16261883</v>
      </c>
      <c r="AF26">
        <v>17628539</v>
      </c>
    </row>
    <row r="27" spans="1:32" x14ac:dyDescent="0.3">
      <c r="A27" t="s">
        <v>14</v>
      </c>
      <c r="B27" t="s">
        <v>136</v>
      </c>
      <c r="C27" t="s">
        <v>86</v>
      </c>
      <c r="D27" t="s">
        <v>137</v>
      </c>
      <c r="E27" t="s">
        <v>87</v>
      </c>
      <c r="F27">
        <v>13339745</v>
      </c>
      <c r="G27">
        <v>13422710</v>
      </c>
      <c r="H27">
        <v>13161595</v>
      </c>
      <c r="I27">
        <v>13626016</v>
      </c>
      <c r="J27">
        <v>13441573</v>
      </c>
      <c r="K27">
        <v>13394342</v>
      </c>
      <c r="L27">
        <v>13950158</v>
      </c>
      <c r="M27">
        <v>14231764</v>
      </c>
      <c r="N27">
        <v>14585772</v>
      </c>
      <c r="O27">
        <v>14598847</v>
      </c>
      <c r="P27">
        <v>14585004</v>
      </c>
      <c r="Q27">
        <v>15291507</v>
      </c>
      <c r="R27">
        <v>16885991</v>
      </c>
      <c r="S27">
        <v>18086980</v>
      </c>
      <c r="T27">
        <v>20386928</v>
      </c>
      <c r="U27">
        <v>21446394</v>
      </c>
      <c r="V27">
        <v>21938472</v>
      </c>
      <c r="W27">
        <v>22816988</v>
      </c>
      <c r="X27">
        <v>24141665</v>
      </c>
      <c r="Y27">
        <v>24688496</v>
      </c>
      <c r="Z27">
        <v>25870080</v>
      </c>
      <c r="AA27">
        <v>25703575</v>
      </c>
      <c r="AB27">
        <v>24690163</v>
      </c>
      <c r="AC27">
        <v>26071500</v>
      </c>
      <c r="AD27">
        <v>26883839</v>
      </c>
      <c r="AE27">
        <v>28388672</v>
      </c>
      <c r="AF27">
        <v>28056946</v>
      </c>
    </row>
    <row r="28" spans="1:32" x14ac:dyDescent="0.3">
      <c r="A28" t="s">
        <v>14</v>
      </c>
      <c r="B28" t="s">
        <v>138</v>
      </c>
      <c r="C28" t="s">
        <v>86</v>
      </c>
      <c r="D28" t="s">
        <v>139</v>
      </c>
      <c r="E28" t="s">
        <v>87</v>
      </c>
      <c r="F28">
        <v>16740493</v>
      </c>
      <c r="G28">
        <v>15465506</v>
      </c>
      <c r="H28">
        <v>15908740</v>
      </c>
      <c r="I28">
        <v>16589993</v>
      </c>
      <c r="J28">
        <v>16095565</v>
      </c>
      <c r="K28">
        <v>15735573</v>
      </c>
      <c r="L28">
        <v>16135371</v>
      </c>
      <c r="M28">
        <v>16396426</v>
      </c>
      <c r="N28">
        <v>16726847</v>
      </c>
      <c r="O28">
        <v>17203455</v>
      </c>
      <c r="P28">
        <v>17828106</v>
      </c>
      <c r="Q28">
        <v>17804774</v>
      </c>
      <c r="R28">
        <v>18488216</v>
      </c>
      <c r="S28">
        <v>19058769</v>
      </c>
      <c r="T28">
        <v>19025278</v>
      </c>
      <c r="U28">
        <v>16084301</v>
      </c>
      <c r="V28">
        <v>15542009</v>
      </c>
      <c r="W28">
        <v>16733865</v>
      </c>
      <c r="X28">
        <v>16681239</v>
      </c>
      <c r="Y28">
        <v>17778978</v>
      </c>
      <c r="Z28">
        <v>19311437</v>
      </c>
      <c r="AA28">
        <v>18564698</v>
      </c>
      <c r="AB28">
        <v>17597920</v>
      </c>
      <c r="AC28">
        <v>17808685</v>
      </c>
      <c r="AD28">
        <v>18344359</v>
      </c>
      <c r="AE28">
        <v>15599288</v>
      </c>
      <c r="AF28">
        <v>14483030</v>
      </c>
    </row>
    <row r="29" spans="1:32" x14ac:dyDescent="0.3">
      <c r="A29" t="s">
        <v>14</v>
      </c>
      <c r="B29" t="s">
        <v>140</v>
      </c>
      <c r="C29" t="s">
        <v>86</v>
      </c>
      <c r="D29" t="s">
        <v>141</v>
      </c>
      <c r="E29" t="s">
        <v>87</v>
      </c>
      <c r="F29">
        <v>8750636</v>
      </c>
      <c r="G29">
        <v>7843438</v>
      </c>
      <c r="H29">
        <v>7779658</v>
      </c>
      <c r="I29">
        <v>7866856</v>
      </c>
      <c r="J29">
        <v>7681174</v>
      </c>
      <c r="K29">
        <v>7953216</v>
      </c>
      <c r="L29">
        <v>7870778</v>
      </c>
      <c r="M29">
        <v>7930583</v>
      </c>
      <c r="N29">
        <v>8302860</v>
      </c>
      <c r="O29">
        <v>8521872</v>
      </c>
      <c r="P29">
        <v>8194618</v>
      </c>
      <c r="Q29">
        <v>7864776</v>
      </c>
      <c r="R29">
        <v>7875051</v>
      </c>
      <c r="S29">
        <v>8079472</v>
      </c>
      <c r="T29">
        <v>8696011</v>
      </c>
      <c r="U29">
        <v>6669361</v>
      </c>
      <c r="V29">
        <v>6328146</v>
      </c>
      <c r="W29">
        <v>6684275</v>
      </c>
      <c r="X29">
        <v>6815109</v>
      </c>
      <c r="Y29">
        <v>7035278</v>
      </c>
      <c r="Z29">
        <v>7729015</v>
      </c>
      <c r="AA29">
        <v>7812470</v>
      </c>
      <c r="AB29">
        <v>7185387</v>
      </c>
      <c r="AC29">
        <v>7267539</v>
      </c>
      <c r="AD29">
        <v>7833439</v>
      </c>
      <c r="AE29">
        <v>7577836</v>
      </c>
      <c r="AF29">
        <v>6830004</v>
      </c>
    </row>
    <row r="30" spans="1:32" x14ac:dyDescent="0.3">
      <c r="A30" t="s">
        <v>14</v>
      </c>
      <c r="B30" t="s">
        <v>142</v>
      </c>
      <c r="C30" t="s">
        <v>86</v>
      </c>
      <c r="D30" t="s">
        <v>143</v>
      </c>
      <c r="E30" t="s">
        <v>87</v>
      </c>
      <c r="F30">
        <v>2643157</v>
      </c>
      <c r="G30">
        <v>2459932</v>
      </c>
      <c r="H30">
        <v>2747714</v>
      </c>
      <c r="I30">
        <v>3011328</v>
      </c>
      <c r="J30">
        <v>2783520</v>
      </c>
      <c r="K30">
        <v>2549115</v>
      </c>
      <c r="L30">
        <v>2904327</v>
      </c>
      <c r="M30">
        <v>2897665</v>
      </c>
      <c r="N30">
        <v>2795691</v>
      </c>
      <c r="O30">
        <v>2980241</v>
      </c>
      <c r="P30">
        <v>3791308</v>
      </c>
      <c r="Q30">
        <v>4040081</v>
      </c>
      <c r="R30">
        <v>4380948</v>
      </c>
      <c r="S30">
        <v>4752800</v>
      </c>
      <c r="T30">
        <v>3672406</v>
      </c>
      <c r="U30">
        <v>3931799</v>
      </c>
      <c r="V30">
        <v>3836589</v>
      </c>
      <c r="W30">
        <v>4231171</v>
      </c>
      <c r="X30">
        <v>4164254</v>
      </c>
      <c r="Y30">
        <v>4488481</v>
      </c>
      <c r="Z30">
        <v>4534431</v>
      </c>
      <c r="AA30">
        <v>3546037</v>
      </c>
      <c r="AB30">
        <v>3621583</v>
      </c>
      <c r="AC30">
        <v>3414183</v>
      </c>
      <c r="AD30">
        <v>3194339</v>
      </c>
      <c r="AE30">
        <v>3369592</v>
      </c>
      <c r="AF30">
        <v>3458268</v>
      </c>
    </row>
    <row r="31" spans="1:32" x14ac:dyDescent="0.3">
      <c r="A31" t="s">
        <v>14</v>
      </c>
      <c r="B31" t="s">
        <v>144</v>
      </c>
      <c r="C31" t="s">
        <v>86</v>
      </c>
      <c r="D31" t="s">
        <v>145</v>
      </c>
      <c r="E31" t="s">
        <v>87</v>
      </c>
      <c r="F31">
        <v>1757742</v>
      </c>
      <c r="G31">
        <v>1826492</v>
      </c>
      <c r="H31">
        <v>1913416</v>
      </c>
      <c r="I31">
        <v>2075625</v>
      </c>
      <c r="J31">
        <v>2075648</v>
      </c>
      <c r="K31">
        <v>1969820</v>
      </c>
      <c r="L31">
        <v>2044116</v>
      </c>
      <c r="M31">
        <v>2177138</v>
      </c>
      <c r="N31">
        <v>2243606</v>
      </c>
      <c r="O31">
        <v>2290355</v>
      </c>
      <c r="P31">
        <v>2305786</v>
      </c>
      <c r="Q31">
        <v>2324084</v>
      </c>
      <c r="R31">
        <v>2532636</v>
      </c>
      <c r="S31">
        <v>2544727</v>
      </c>
      <c r="T31">
        <v>2824053</v>
      </c>
      <c r="U31">
        <v>1880420</v>
      </c>
      <c r="V31">
        <v>1769730</v>
      </c>
      <c r="W31">
        <v>1857202</v>
      </c>
      <c r="X31">
        <v>1798857</v>
      </c>
      <c r="Y31">
        <v>2132055</v>
      </c>
      <c r="Z31">
        <v>2586431</v>
      </c>
      <c r="AA31">
        <v>2581947</v>
      </c>
      <c r="AB31">
        <v>2358637</v>
      </c>
      <c r="AC31">
        <v>2556953</v>
      </c>
      <c r="AD31">
        <v>2701066</v>
      </c>
      <c r="AE31">
        <v>835656</v>
      </c>
      <c r="AF31">
        <v>723357</v>
      </c>
    </row>
    <row r="32" spans="1:32" x14ac:dyDescent="0.3">
      <c r="A32" t="s">
        <v>14</v>
      </c>
      <c r="B32" t="s">
        <v>146</v>
      </c>
      <c r="C32" t="s">
        <v>86</v>
      </c>
      <c r="D32" t="s">
        <v>147</v>
      </c>
      <c r="E32" t="s">
        <v>87</v>
      </c>
      <c r="F32">
        <v>3116543</v>
      </c>
      <c r="G32">
        <v>2816562</v>
      </c>
      <c r="H32">
        <v>2942561</v>
      </c>
      <c r="I32">
        <v>3106767</v>
      </c>
      <c r="J32">
        <v>3030463</v>
      </c>
      <c r="K32">
        <v>2758148</v>
      </c>
      <c r="L32">
        <v>2831359</v>
      </c>
      <c r="M32">
        <v>2923008</v>
      </c>
      <c r="N32">
        <v>2940857</v>
      </c>
      <c r="O32">
        <v>3026582</v>
      </c>
      <c r="P32">
        <v>3155584</v>
      </c>
      <c r="Q32">
        <v>3229408</v>
      </c>
      <c r="R32">
        <v>3325660</v>
      </c>
      <c r="S32">
        <v>3214726</v>
      </c>
      <c r="T32">
        <v>3370540</v>
      </c>
      <c r="U32">
        <v>3135803</v>
      </c>
      <c r="V32">
        <v>3198371</v>
      </c>
      <c r="W32">
        <v>3544848</v>
      </c>
      <c r="X32">
        <v>3483703</v>
      </c>
      <c r="Y32">
        <v>3699284</v>
      </c>
      <c r="Z32">
        <v>3995633</v>
      </c>
      <c r="AA32">
        <v>4156795</v>
      </c>
      <c r="AB32">
        <v>3973087</v>
      </c>
      <c r="AC32">
        <v>4092689</v>
      </c>
      <c r="AD32">
        <v>4118922</v>
      </c>
      <c r="AE32">
        <v>3356312</v>
      </c>
      <c r="AF32">
        <v>3034180</v>
      </c>
    </row>
    <row r="33" spans="1:32" x14ac:dyDescent="0.3">
      <c r="A33" t="s">
        <v>14</v>
      </c>
      <c r="B33" t="s">
        <v>148</v>
      </c>
      <c r="C33" t="s">
        <v>86</v>
      </c>
      <c r="D33" t="s">
        <v>149</v>
      </c>
      <c r="E33" t="s">
        <v>87</v>
      </c>
      <c r="F33">
        <v>472415</v>
      </c>
      <c r="G33">
        <v>519082</v>
      </c>
      <c r="H33">
        <v>525391</v>
      </c>
      <c r="I33">
        <v>529417</v>
      </c>
      <c r="J33">
        <v>524760</v>
      </c>
      <c r="K33">
        <v>505274</v>
      </c>
      <c r="L33">
        <v>484791</v>
      </c>
      <c r="M33">
        <v>468032</v>
      </c>
      <c r="N33">
        <v>443833</v>
      </c>
      <c r="O33">
        <v>384405</v>
      </c>
      <c r="P33">
        <v>380810</v>
      </c>
      <c r="Q33">
        <v>346425</v>
      </c>
      <c r="R33">
        <v>373921</v>
      </c>
      <c r="S33">
        <v>467044</v>
      </c>
      <c r="T33">
        <v>462268</v>
      </c>
      <c r="U33">
        <v>466918</v>
      </c>
      <c r="V33">
        <v>409173</v>
      </c>
      <c r="W33">
        <v>416369</v>
      </c>
      <c r="X33">
        <v>419316</v>
      </c>
      <c r="Y33">
        <v>423880</v>
      </c>
      <c r="Z33">
        <v>465927</v>
      </c>
      <c r="AA33">
        <v>467449</v>
      </c>
      <c r="AB33">
        <v>459226</v>
      </c>
      <c r="AC33">
        <v>477321</v>
      </c>
      <c r="AD33">
        <v>496593</v>
      </c>
      <c r="AE33">
        <v>459892</v>
      </c>
      <c r="AF33">
        <v>437221</v>
      </c>
    </row>
    <row r="34" spans="1:32" x14ac:dyDescent="0.3">
      <c r="A34" t="s">
        <v>14</v>
      </c>
      <c r="B34" t="s">
        <v>150</v>
      </c>
      <c r="C34" t="s">
        <v>86</v>
      </c>
      <c r="D34" t="s">
        <v>151</v>
      </c>
      <c r="E34" t="s">
        <v>87</v>
      </c>
      <c r="F34">
        <v>17646930</v>
      </c>
      <c r="G34">
        <v>18257215</v>
      </c>
      <c r="H34">
        <v>18138234</v>
      </c>
      <c r="I34">
        <v>18593043</v>
      </c>
      <c r="J34">
        <v>19016474</v>
      </c>
      <c r="K34">
        <v>19182532</v>
      </c>
      <c r="L34">
        <v>18896852</v>
      </c>
      <c r="M34">
        <v>18371122</v>
      </c>
      <c r="N34">
        <v>17627199</v>
      </c>
      <c r="O34">
        <v>17159870</v>
      </c>
      <c r="P34">
        <v>17565667</v>
      </c>
      <c r="Q34">
        <v>17414204</v>
      </c>
      <c r="R34">
        <v>17613371</v>
      </c>
      <c r="S34">
        <v>17736527</v>
      </c>
      <c r="T34">
        <v>17970323</v>
      </c>
      <c r="U34">
        <v>17430379</v>
      </c>
      <c r="V34">
        <v>16693264</v>
      </c>
      <c r="W34">
        <v>17760053</v>
      </c>
      <c r="X34">
        <v>17014463</v>
      </c>
      <c r="Y34">
        <v>17098106</v>
      </c>
      <c r="Z34">
        <v>18693317</v>
      </c>
      <c r="AA34">
        <v>18487596</v>
      </c>
      <c r="AB34">
        <v>17886148</v>
      </c>
      <c r="AC34">
        <v>17453539</v>
      </c>
      <c r="AD34">
        <v>17996592</v>
      </c>
      <c r="AE34">
        <v>14115636</v>
      </c>
      <c r="AF34">
        <v>12327627</v>
      </c>
    </row>
    <row r="35" spans="1:32" x14ac:dyDescent="0.3">
      <c r="A35" t="s">
        <v>14</v>
      </c>
      <c r="B35" t="s">
        <v>152</v>
      </c>
      <c r="C35" t="s">
        <v>86</v>
      </c>
      <c r="D35" t="s">
        <v>153</v>
      </c>
      <c r="E35" t="s">
        <v>87</v>
      </c>
      <c r="F35">
        <v>10652399</v>
      </c>
      <c r="G35">
        <v>11911176</v>
      </c>
      <c r="H35">
        <v>13072947</v>
      </c>
      <c r="I35">
        <v>14489554</v>
      </c>
      <c r="J35">
        <v>16884336</v>
      </c>
      <c r="K35">
        <v>18962741</v>
      </c>
      <c r="L35">
        <v>20278560</v>
      </c>
      <c r="M35">
        <v>20717647</v>
      </c>
      <c r="N35">
        <v>20695311</v>
      </c>
      <c r="O35">
        <v>20771259</v>
      </c>
      <c r="P35">
        <v>20315818</v>
      </c>
      <c r="Q35">
        <v>20981884</v>
      </c>
      <c r="R35">
        <v>21561206</v>
      </c>
      <c r="S35">
        <v>21622326</v>
      </c>
      <c r="T35">
        <v>21430166</v>
      </c>
      <c r="U35">
        <v>21575906</v>
      </c>
      <c r="V35">
        <v>21566644</v>
      </c>
      <c r="W35">
        <v>22769097</v>
      </c>
      <c r="X35">
        <v>23508389</v>
      </c>
      <c r="Y35">
        <v>24404629</v>
      </c>
      <c r="Z35">
        <v>26064732</v>
      </c>
      <c r="AA35">
        <v>26794419</v>
      </c>
      <c r="AB35">
        <v>26995981</v>
      </c>
      <c r="AC35">
        <v>28160520</v>
      </c>
      <c r="AD35">
        <v>28883025</v>
      </c>
      <c r="AE35">
        <v>28540505</v>
      </c>
      <c r="AF35">
        <v>28602529</v>
      </c>
    </row>
    <row r="36" spans="1:32" x14ac:dyDescent="0.3">
      <c r="A36" t="s">
        <v>14</v>
      </c>
      <c r="B36" t="s">
        <v>154</v>
      </c>
      <c r="C36" t="s">
        <v>86</v>
      </c>
      <c r="D36" t="s">
        <v>155</v>
      </c>
      <c r="E36" t="s">
        <v>87</v>
      </c>
      <c r="F36">
        <v>5431004</v>
      </c>
      <c r="G36">
        <v>5650058</v>
      </c>
      <c r="H36">
        <v>5835974</v>
      </c>
      <c r="I36">
        <v>6093899</v>
      </c>
      <c r="J36">
        <v>6122699</v>
      </c>
      <c r="K36">
        <v>6377834</v>
      </c>
      <c r="L36">
        <v>6568794</v>
      </c>
      <c r="M36">
        <v>6678926</v>
      </c>
      <c r="N36">
        <v>6722727</v>
      </c>
      <c r="O36">
        <v>6942198</v>
      </c>
      <c r="P36">
        <v>6731654</v>
      </c>
      <c r="Q36">
        <v>6735518</v>
      </c>
      <c r="R36">
        <v>6705451</v>
      </c>
      <c r="S36">
        <v>6923082</v>
      </c>
      <c r="T36">
        <v>6898038</v>
      </c>
      <c r="U36">
        <v>6583218</v>
      </c>
      <c r="V36">
        <v>6510896</v>
      </c>
      <c r="W36">
        <v>6963173</v>
      </c>
      <c r="X36">
        <v>6922908</v>
      </c>
      <c r="Y36">
        <v>6896881</v>
      </c>
      <c r="Z36">
        <v>7222816</v>
      </c>
      <c r="AA36">
        <v>7235534</v>
      </c>
      <c r="AB36">
        <v>7180510</v>
      </c>
      <c r="AC36">
        <v>7314859</v>
      </c>
      <c r="AD36">
        <v>7467922</v>
      </c>
      <c r="AE36">
        <v>6791506</v>
      </c>
      <c r="AF36">
        <v>6561495</v>
      </c>
    </row>
    <row r="37" spans="1:32" x14ac:dyDescent="0.3">
      <c r="A37" t="s">
        <v>14</v>
      </c>
      <c r="B37" t="s">
        <v>156</v>
      </c>
      <c r="C37" t="s">
        <v>86</v>
      </c>
      <c r="D37" t="s">
        <v>157</v>
      </c>
      <c r="E37" t="s">
        <v>87</v>
      </c>
      <c r="F37">
        <v>2643634</v>
      </c>
      <c r="G37">
        <v>3180622</v>
      </c>
      <c r="H37">
        <v>3780335</v>
      </c>
      <c r="I37">
        <v>4115885</v>
      </c>
      <c r="J37">
        <v>6048138</v>
      </c>
      <c r="K37">
        <v>7375548</v>
      </c>
      <c r="L37">
        <v>7719132</v>
      </c>
      <c r="M37">
        <v>7652791</v>
      </c>
      <c r="N37">
        <v>7459477</v>
      </c>
      <c r="O37">
        <v>7143235</v>
      </c>
      <c r="P37">
        <v>6965809</v>
      </c>
      <c r="Q37">
        <v>7598853</v>
      </c>
      <c r="R37">
        <v>7944983</v>
      </c>
      <c r="S37">
        <v>7405803</v>
      </c>
      <c r="T37">
        <v>7404189</v>
      </c>
      <c r="U37">
        <v>7787031</v>
      </c>
      <c r="V37">
        <v>8259678</v>
      </c>
      <c r="W37">
        <v>8660947</v>
      </c>
      <c r="X37">
        <v>9177966</v>
      </c>
      <c r="Y37">
        <v>9592541</v>
      </c>
      <c r="Z37">
        <v>10380695</v>
      </c>
      <c r="AA37">
        <v>10800494</v>
      </c>
      <c r="AB37">
        <v>10911374</v>
      </c>
      <c r="AC37">
        <v>11987205</v>
      </c>
      <c r="AD37">
        <v>12361912</v>
      </c>
      <c r="AE37">
        <v>12367175</v>
      </c>
      <c r="AF37">
        <v>12697564</v>
      </c>
    </row>
    <row r="38" spans="1:32" x14ac:dyDescent="0.3">
      <c r="A38" t="s">
        <v>14</v>
      </c>
      <c r="B38" t="s">
        <v>158</v>
      </c>
      <c r="C38" t="s">
        <v>86</v>
      </c>
      <c r="D38" t="s">
        <v>159</v>
      </c>
      <c r="E38" t="s">
        <v>87</v>
      </c>
      <c r="F38">
        <v>2577761</v>
      </c>
      <c r="G38">
        <v>3080496</v>
      </c>
      <c r="H38">
        <v>3456638</v>
      </c>
      <c r="I38">
        <v>4279770</v>
      </c>
      <c r="J38">
        <v>4713499</v>
      </c>
      <c r="K38">
        <v>5209359</v>
      </c>
      <c r="L38">
        <v>5990634</v>
      </c>
      <c r="M38">
        <v>6385930</v>
      </c>
      <c r="N38">
        <v>6513107</v>
      </c>
      <c r="O38">
        <v>6685826</v>
      </c>
      <c r="P38">
        <v>6618355</v>
      </c>
      <c r="Q38">
        <v>6647513</v>
      </c>
      <c r="R38">
        <v>6910772</v>
      </c>
      <c r="S38">
        <v>7293441</v>
      </c>
      <c r="T38">
        <v>7127939</v>
      </c>
      <c r="U38">
        <v>7205657</v>
      </c>
      <c r="V38">
        <v>6796070</v>
      </c>
      <c r="W38">
        <v>7144977</v>
      </c>
      <c r="X38">
        <v>7407515</v>
      </c>
      <c r="Y38">
        <v>7915207</v>
      </c>
      <c r="Z38">
        <v>8461221</v>
      </c>
      <c r="AA38">
        <v>8758391</v>
      </c>
      <c r="AB38">
        <v>8904097</v>
      </c>
      <c r="AC38">
        <v>8858456</v>
      </c>
      <c r="AD38">
        <v>9053191</v>
      </c>
      <c r="AE38">
        <v>9381824</v>
      </c>
      <c r="AF38">
        <v>9343470</v>
      </c>
    </row>
    <row r="39" spans="1:32" x14ac:dyDescent="0.3">
      <c r="A39" t="s">
        <v>14</v>
      </c>
      <c r="B39" t="s">
        <v>160</v>
      </c>
      <c r="C39" t="s">
        <v>86</v>
      </c>
      <c r="D39" t="s">
        <v>161</v>
      </c>
      <c r="E39" t="s">
        <v>87</v>
      </c>
      <c r="F39">
        <v>11323181</v>
      </c>
      <c r="G39">
        <v>12153574</v>
      </c>
      <c r="H39">
        <v>12121005</v>
      </c>
      <c r="I39">
        <v>12627037</v>
      </c>
      <c r="J39">
        <v>12558745</v>
      </c>
      <c r="K39">
        <v>12271116</v>
      </c>
      <c r="L39">
        <v>11889742</v>
      </c>
      <c r="M39">
        <v>11991270</v>
      </c>
      <c r="N39">
        <v>11433904</v>
      </c>
      <c r="O39">
        <v>11399854</v>
      </c>
      <c r="P39">
        <v>12202339</v>
      </c>
      <c r="Q39">
        <v>13111665</v>
      </c>
      <c r="R39">
        <v>13784194</v>
      </c>
      <c r="S39">
        <v>13463306</v>
      </c>
      <c r="T39">
        <v>12656302</v>
      </c>
      <c r="U39">
        <v>11882974</v>
      </c>
      <c r="V39">
        <v>11463075</v>
      </c>
      <c r="W39">
        <v>11332262</v>
      </c>
      <c r="X39">
        <v>11708421</v>
      </c>
      <c r="Y39">
        <v>11553068</v>
      </c>
      <c r="Z39">
        <v>12565116</v>
      </c>
      <c r="AA39">
        <v>12607305</v>
      </c>
      <c r="AB39">
        <v>12679956</v>
      </c>
      <c r="AC39">
        <v>13140296</v>
      </c>
      <c r="AD39">
        <v>13308928</v>
      </c>
      <c r="AE39">
        <v>13186823</v>
      </c>
      <c r="AF39">
        <v>12873545</v>
      </c>
    </row>
    <row r="40" spans="1:32" x14ac:dyDescent="0.3">
      <c r="A40" t="s">
        <v>14</v>
      </c>
      <c r="B40" t="s">
        <v>162</v>
      </c>
      <c r="C40" t="s">
        <v>86</v>
      </c>
      <c r="D40" t="s">
        <v>163</v>
      </c>
      <c r="E40" t="s">
        <v>87</v>
      </c>
      <c r="F40">
        <v>7247585</v>
      </c>
      <c r="G40">
        <v>7507431</v>
      </c>
      <c r="H40">
        <v>7926623</v>
      </c>
      <c r="I40">
        <v>8558506</v>
      </c>
      <c r="J40">
        <v>8525695</v>
      </c>
      <c r="K40">
        <v>8399750</v>
      </c>
      <c r="L40">
        <v>9127854</v>
      </c>
      <c r="M40">
        <v>10296927</v>
      </c>
      <c r="N40">
        <v>11022163</v>
      </c>
      <c r="O40">
        <v>11380028</v>
      </c>
      <c r="P40">
        <v>11178273</v>
      </c>
      <c r="Q40">
        <v>11552899</v>
      </c>
      <c r="R40">
        <v>12148625</v>
      </c>
      <c r="S40">
        <v>12737149</v>
      </c>
      <c r="T40">
        <v>13030887</v>
      </c>
      <c r="U40">
        <v>13391785</v>
      </c>
      <c r="V40">
        <v>13841759</v>
      </c>
      <c r="W40">
        <v>14339790</v>
      </c>
      <c r="X40">
        <v>14350689</v>
      </c>
      <c r="Y40">
        <v>14100593</v>
      </c>
      <c r="Z40">
        <v>14453816</v>
      </c>
      <c r="AA40">
        <v>14740125</v>
      </c>
      <c r="AB40">
        <v>13952854</v>
      </c>
      <c r="AC40">
        <v>13773976</v>
      </c>
      <c r="AD40">
        <v>14252789</v>
      </c>
      <c r="AE40">
        <v>14688665</v>
      </c>
      <c r="AF40">
        <v>14679177</v>
      </c>
    </row>
    <row r="41" spans="1:32" x14ac:dyDescent="0.3">
      <c r="A41" t="s">
        <v>14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14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14</v>
      </c>
      <c r="B43" t="s">
        <v>168</v>
      </c>
      <c r="C43" t="s">
        <v>86</v>
      </c>
      <c r="D43" t="s">
        <v>169</v>
      </c>
      <c r="E43" t="s">
        <v>87</v>
      </c>
      <c r="F43">
        <v>13915502</v>
      </c>
      <c r="G43">
        <v>14512379</v>
      </c>
      <c r="H43">
        <v>15025806</v>
      </c>
      <c r="I43">
        <v>15859668</v>
      </c>
      <c r="J43">
        <v>15712932</v>
      </c>
      <c r="K43">
        <v>17048836</v>
      </c>
      <c r="L43">
        <v>17150284</v>
      </c>
      <c r="M43">
        <v>16749722</v>
      </c>
      <c r="N43">
        <v>16437406</v>
      </c>
      <c r="O43">
        <v>16137628</v>
      </c>
      <c r="P43">
        <v>16626121</v>
      </c>
      <c r="Q43">
        <v>17322657</v>
      </c>
      <c r="R43">
        <v>17952874</v>
      </c>
      <c r="S43">
        <v>18985012</v>
      </c>
      <c r="T43">
        <v>18524715</v>
      </c>
      <c r="U43">
        <v>18203620</v>
      </c>
      <c r="V43">
        <v>18783823</v>
      </c>
      <c r="W43">
        <v>19087614</v>
      </c>
      <c r="X43">
        <v>19617420</v>
      </c>
      <c r="Y43">
        <v>20377246</v>
      </c>
      <c r="Z43">
        <v>21943859</v>
      </c>
      <c r="AA43">
        <v>22149238</v>
      </c>
      <c r="AB43">
        <v>22475032</v>
      </c>
      <c r="AC43">
        <v>22912102</v>
      </c>
      <c r="AD43">
        <v>23519298</v>
      </c>
      <c r="AE43">
        <v>21453421</v>
      </c>
      <c r="AF43">
        <v>21148970</v>
      </c>
    </row>
    <row r="44" spans="1:32" x14ac:dyDescent="0.3">
      <c r="A44" t="s">
        <v>14</v>
      </c>
      <c r="B44" t="s">
        <v>170</v>
      </c>
      <c r="C44" t="s">
        <v>86</v>
      </c>
      <c r="D44" t="s">
        <v>171</v>
      </c>
      <c r="E44" t="s">
        <v>87</v>
      </c>
      <c r="F44">
        <v>376821206</v>
      </c>
      <c r="G44">
        <v>386094447</v>
      </c>
      <c r="H44">
        <v>390446948</v>
      </c>
      <c r="I44">
        <v>385032190</v>
      </c>
      <c r="J44">
        <v>374759467</v>
      </c>
      <c r="K44">
        <v>377214173</v>
      </c>
      <c r="L44">
        <v>377279666</v>
      </c>
      <c r="M44">
        <v>367900906</v>
      </c>
      <c r="N44">
        <v>364710417</v>
      </c>
      <c r="O44">
        <v>368756789</v>
      </c>
      <c r="P44">
        <v>383165138</v>
      </c>
      <c r="Q44">
        <v>401089804</v>
      </c>
      <c r="R44">
        <v>424615749</v>
      </c>
      <c r="S44">
        <v>427884181</v>
      </c>
      <c r="T44">
        <v>403562181</v>
      </c>
      <c r="U44">
        <v>383750800</v>
      </c>
      <c r="V44">
        <v>383659004</v>
      </c>
      <c r="W44">
        <v>403582554</v>
      </c>
      <c r="X44">
        <v>399825911</v>
      </c>
      <c r="Y44">
        <v>410523567</v>
      </c>
      <c r="Z44">
        <v>433435096</v>
      </c>
      <c r="AA44">
        <v>421051606</v>
      </c>
      <c r="AB44">
        <v>405172097</v>
      </c>
      <c r="AC44">
        <v>424675323</v>
      </c>
      <c r="AD44">
        <v>434367404</v>
      </c>
      <c r="AE44">
        <v>402495872</v>
      </c>
      <c r="AF44">
        <v>394576905</v>
      </c>
    </row>
    <row r="45" spans="1:32" x14ac:dyDescent="0.3">
      <c r="A45" t="s">
        <v>14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14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14</v>
      </c>
      <c r="B47" t="s">
        <v>176</v>
      </c>
      <c r="C47" t="s">
        <v>86</v>
      </c>
      <c r="D47" t="s">
        <v>177</v>
      </c>
      <c r="E47" t="s">
        <v>87</v>
      </c>
      <c r="F47">
        <v>10268256</v>
      </c>
      <c r="G47">
        <v>9970701</v>
      </c>
      <c r="H47">
        <v>9883231</v>
      </c>
      <c r="I47">
        <v>10252119</v>
      </c>
      <c r="J47">
        <v>10748168</v>
      </c>
      <c r="K47">
        <v>10758364</v>
      </c>
      <c r="L47">
        <v>11384605</v>
      </c>
      <c r="M47">
        <v>11942884</v>
      </c>
      <c r="N47">
        <v>12425062</v>
      </c>
      <c r="O47">
        <v>12324440</v>
      </c>
      <c r="P47">
        <v>11860398</v>
      </c>
      <c r="Q47">
        <v>11260210</v>
      </c>
      <c r="R47">
        <v>11213470</v>
      </c>
      <c r="S47">
        <v>10534497</v>
      </c>
      <c r="T47">
        <v>11544369</v>
      </c>
      <c r="U47">
        <v>11908378</v>
      </c>
      <c r="V47">
        <v>11697058</v>
      </c>
      <c r="W47">
        <v>11654709</v>
      </c>
      <c r="X47">
        <v>12046304</v>
      </c>
      <c r="Y47">
        <v>11831892</v>
      </c>
      <c r="Z47">
        <v>12443513</v>
      </c>
      <c r="AA47">
        <v>12840467</v>
      </c>
      <c r="AB47">
        <v>11747487</v>
      </c>
      <c r="AC47">
        <v>11709442</v>
      </c>
      <c r="AD47">
        <v>12524445</v>
      </c>
      <c r="AE47">
        <v>14115353</v>
      </c>
      <c r="AF47">
        <v>14839560</v>
      </c>
    </row>
    <row r="48" spans="1:32" x14ac:dyDescent="0.3">
      <c r="A48" t="s">
        <v>14</v>
      </c>
      <c r="B48" t="s">
        <v>178</v>
      </c>
      <c r="C48" t="s">
        <v>86</v>
      </c>
      <c r="D48" t="s">
        <v>179</v>
      </c>
      <c r="E48" t="s">
        <v>87</v>
      </c>
      <c r="F48">
        <v>27928517</v>
      </c>
      <c r="G48">
        <v>28084516</v>
      </c>
      <c r="H48">
        <v>27885645</v>
      </c>
      <c r="I48">
        <v>28640401</v>
      </c>
      <c r="J48">
        <v>29821697</v>
      </c>
      <c r="K48">
        <v>28876052</v>
      </c>
      <c r="L48">
        <v>30627603</v>
      </c>
      <c r="M48">
        <v>31822795</v>
      </c>
      <c r="N48">
        <v>32202382</v>
      </c>
      <c r="O48">
        <v>32219480</v>
      </c>
      <c r="P48">
        <v>32123279</v>
      </c>
      <c r="Q48">
        <v>31679985</v>
      </c>
      <c r="R48">
        <v>31171051</v>
      </c>
      <c r="S48">
        <v>31106887</v>
      </c>
      <c r="T48">
        <v>32857409</v>
      </c>
      <c r="U48">
        <v>33338816</v>
      </c>
      <c r="V48">
        <v>34193806</v>
      </c>
      <c r="W48">
        <v>34634537</v>
      </c>
      <c r="X48">
        <v>34769440</v>
      </c>
      <c r="Y48">
        <v>35178364</v>
      </c>
      <c r="Z48">
        <v>36191735</v>
      </c>
      <c r="AA48">
        <v>37183456</v>
      </c>
      <c r="AB48">
        <v>36327202</v>
      </c>
      <c r="AC48">
        <v>36714147</v>
      </c>
      <c r="AD48">
        <v>38357320</v>
      </c>
      <c r="AE48">
        <v>40530090</v>
      </c>
      <c r="AF48">
        <v>42485453</v>
      </c>
    </row>
    <row r="49" spans="1:32" x14ac:dyDescent="0.3">
      <c r="A49" t="s">
        <v>14</v>
      </c>
      <c r="B49" t="s">
        <v>180</v>
      </c>
      <c r="C49" t="s">
        <v>86</v>
      </c>
      <c r="D49" t="s">
        <v>181</v>
      </c>
      <c r="E49" t="s">
        <v>87</v>
      </c>
      <c r="F49">
        <v>2910538</v>
      </c>
      <c r="G49">
        <v>2979124</v>
      </c>
      <c r="H49">
        <v>2976450</v>
      </c>
      <c r="I49">
        <v>3039862</v>
      </c>
      <c r="J49">
        <v>3085807</v>
      </c>
      <c r="K49">
        <v>3089671</v>
      </c>
      <c r="L49">
        <v>3268047</v>
      </c>
      <c r="M49">
        <v>3418428</v>
      </c>
      <c r="N49">
        <v>3559711</v>
      </c>
      <c r="O49">
        <v>3617099</v>
      </c>
      <c r="P49">
        <v>3680871</v>
      </c>
      <c r="Q49">
        <v>3627693</v>
      </c>
      <c r="R49">
        <v>3626491</v>
      </c>
      <c r="S49">
        <v>3571319</v>
      </c>
      <c r="T49">
        <v>3825770</v>
      </c>
      <c r="U49">
        <v>3633970</v>
      </c>
      <c r="V49">
        <v>3569434</v>
      </c>
      <c r="W49">
        <v>3628491</v>
      </c>
      <c r="X49">
        <v>3582123</v>
      </c>
      <c r="Y49">
        <v>3607152</v>
      </c>
      <c r="Z49">
        <v>3831409</v>
      </c>
      <c r="AA49">
        <v>3905498</v>
      </c>
      <c r="AB49">
        <v>3745896</v>
      </c>
      <c r="AC49">
        <v>3789758</v>
      </c>
      <c r="AD49">
        <v>3885608</v>
      </c>
      <c r="AE49">
        <v>4161746</v>
      </c>
      <c r="AF49">
        <v>4008861</v>
      </c>
    </row>
    <row r="50" spans="1:32" x14ac:dyDescent="0.3">
      <c r="A50" t="s">
        <v>14</v>
      </c>
      <c r="B50" t="s">
        <v>182</v>
      </c>
      <c r="C50" t="s">
        <v>86</v>
      </c>
      <c r="D50" t="s">
        <v>183</v>
      </c>
      <c r="E50" t="s">
        <v>87</v>
      </c>
      <c r="F50">
        <v>14749723</v>
      </c>
      <c r="G50">
        <v>15134691</v>
      </c>
      <c r="H50">
        <v>15025964</v>
      </c>
      <c r="I50">
        <v>15348420</v>
      </c>
      <c r="J50">
        <v>15987722</v>
      </c>
      <c r="K50">
        <v>15028017</v>
      </c>
      <c r="L50">
        <v>15974951</v>
      </c>
      <c r="M50">
        <v>16461483</v>
      </c>
      <c r="N50">
        <v>16217609</v>
      </c>
      <c r="O50">
        <v>16277941</v>
      </c>
      <c r="P50">
        <v>16582010</v>
      </c>
      <c r="Q50">
        <v>16792082</v>
      </c>
      <c r="R50">
        <v>16331090</v>
      </c>
      <c r="S50">
        <v>17001071</v>
      </c>
      <c r="T50">
        <v>17487270</v>
      </c>
      <c r="U50">
        <v>17796468</v>
      </c>
      <c r="V50">
        <v>18927314</v>
      </c>
      <c r="W50">
        <v>19351337</v>
      </c>
      <c r="X50">
        <v>19141013</v>
      </c>
      <c r="Y50">
        <v>19739320</v>
      </c>
      <c r="Z50">
        <v>19916813</v>
      </c>
      <c r="AA50">
        <v>20437491</v>
      </c>
      <c r="AB50">
        <v>20833819</v>
      </c>
      <c r="AC50">
        <v>21214947</v>
      </c>
      <c r="AD50">
        <v>21947267</v>
      </c>
      <c r="AE50">
        <v>22252991</v>
      </c>
      <c r="AF50">
        <v>23637032</v>
      </c>
    </row>
    <row r="51" spans="1:32" x14ac:dyDescent="0.3">
      <c r="A51" t="s">
        <v>14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14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14</v>
      </c>
      <c r="B53" t="s">
        <v>188</v>
      </c>
      <c r="C53" t="s">
        <v>86</v>
      </c>
      <c r="D53" t="s">
        <v>189</v>
      </c>
      <c r="E53" t="s">
        <v>87</v>
      </c>
      <c r="F53">
        <v>4206910</v>
      </c>
      <c r="G53">
        <v>4354509</v>
      </c>
      <c r="H53">
        <v>4187640</v>
      </c>
      <c r="I53">
        <v>3959007</v>
      </c>
      <c r="J53">
        <v>3953633</v>
      </c>
      <c r="K53">
        <v>4101138</v>
      </c>
      <c r="L53">
        <v>4385028</v>
      </c>
      <c r="M53">
        <v>4199238</v>
      </c>
      <c r="N53">
        <v>4050523</v>
      </c>
      <c r="O53">
        <v>4043294</v>
      </c>
      <c r="P53">
        <v>3696647</v>
      </c>
      <c r="Q53">
        <v>3665790</v>
      </c>
      <c r="R53">
        <v>3523328</v>
      </c>
      <c r="S53">
        <v>3327455</v>
      </c>
      <c r="T53">
        <v>3489146</v>
      </c>
      <c r="U53">
        <v>3207182</v>
      </c>
      <c r="V53">
        <v>3044548</v>
      </c>
      <c r="W53">
        <v>3256937</v>
      </c>
      <c r="X53">
        <v>3301779</v>
      </c>
      <c r="Y53">
        <v>3295191</v>
      </c>
      <c r="Z53">
        <v>3435240</v>
      </c>
      <c r="AA53">
        <v>3329242</v>
      </c>
      <c r="AB53">
        <v>3156416</v>
      </c>
      <c r="AC53">
        <v>3119278</v>
      </c>
      <c r="AD53">
        <v>3080748</v>
      </c>
      <c r="AE53">
        <v>2258565</v>
      </c>
      <c r="AF53">
        <v>2264854</v>
      </c>
    </row>
    <row r="54" spans="1:32" x14ac:dyDescent="0.3">
      <c r="A54" t="s">
        <v>14</v>
      </c>
      <c r="B54" t="s">
        <v>190</v>
      </c>
      <c r="C54" t="s">
        <v>86</v>
      </c>
      <c r="D54" t="s">
        <v>191</v>
      </c>
      <c r="E54" t="s">
        <v>87</v>
      </c>
      <c r="F54">
        <v>9267504</v>
      </c>
      <c r="G54">
        <v>9695286</v>
      </c>
      <c r="H54">
        <v>9444303</v>
      </c>
      <c r="I54">
        <v>9364569</v>
      </c>
      <c r="J54">
        <v>9445992</v>
      </c>
      <c r="K54">
        <v>9880236</v>
      </c>
      <c r="L54">
        <v>9869980</v>
      </c>
      <c r="M54">
        <v>9928534</v>
      </c>
      <c r="N54">
        <v>9844667</v>
      </c>
      <c r="O54">
        <v>10364786</v>
      </c>
      <c r="P54">
        <v>9585566</v>
      </c>
      <c r="Q54">
        <v>9537022</v>
      </c>
      <c r="R54">
        <v>9537355</v>
      </c>
      <c r="S54">
        <v>9540681</v>
      </c>
      <c r="T54">
        <v>9944506</v>
      </c>
      <c r="U54">
        <v>9532800</v>
      </c>
      <c r="V54">
        <v>9588170</v>
      </c>
      <c r="W54">
        <v>10046497</v>
      </c>
      <c r="X54">
        <v>10058875</v>
      </c>
      <c r="Y54">
        <v>9619782</v>
      </c>
      <c r="Z54">
        <v>9642596</v>
      </c>
      <c r="AA54">
        <v>9445825</v>
      </c>
      <c r="AB54">
        <v>9053344</v>
      </c>
      <c r="AC54">
        <v>9107002</v>
      </c>
      <c r="AD54">
        <v>9271847</v>
      </c>
      <c r="AE54">
        <v>7772929</v>
      </c>
      <c r="AF54">
        <v>7486245</v>
      </c>
    </row>
    <row r="55" spans="1:32" x14ac:dyDescent="0.3">
      <c r="A55" t="s">
        <v>14</v>
      </c>
      <c r="B55" t="s">
        <v>192</v>
      </c>
      <c r="C55" t="s">
        <v>86</v>
      </c>
      <c r="D55" t="s">
        <v>193</v>
      </c>
      <c r="E55" t="s">
        <v>87</v>
      </c>
      <c r="F55">
        <v>5060594</v>
      </c>
      <c r="G55">
        <v>5340777</v>
      </c>
      <c r="H55">
        <v>5256663</v>
      </c>
      <c r="I55">
        <v>5405562</v>
      </c>
      <c r="J55">
        <v>5492359</v>
      </c>
      <c r="K55">
        <v>5779098</v>
      </c>
      <c r="L55">
        <v>5484952</v>
      </c>
      <c r="M55">
        <v>5729296</v>
      </c>
      <c r="N55">
        <v>5794144</v>
      </c>
      <c r="O55">
        <v>6321492</v>
      </c>
      <c r="P55">
        <v>5888919</v>
      </c>
      <c r="Q55">
        <v>5871232</v>
      </c>
      <c r="R55">
        <v>6014027</v>
      </c>
      <c r="S55">
        <v>6213226</v>
      </c>
      <c r="T55">
        <v>6455360</v>
      </c>
      <c r="U55">
        <v>6325618</v>
      </c>
      <c r="V55">
        <v>6543622</v>
      </c>
      <c r="W55">
        <v>6789560</v>
      </c>
      <c r="X55">
        <v>6757096</v>
      </c>
      <c r="Y55">
        <v>6324591</v>
      </c>
      <c r="Z55">
        <v>6207356</v>
      </c>
      <c r="AA55">
        <v>6116583</v>
      </c>
      <c r="AB55">
        <v>5896928</v>
      </c>
      <c r="AC55">
        <v>5987724</v>
      </c>
      <c r="AD55">
        <v>6191099</v>
      </c>
      <c r="AE55">
        <v>5514364</v>
      </c>
      <c r="AF55">
        <v>5221391</v>
      </c>
    </row>
    <row r="56" spans="1:32" x14ac:dyDescent="0.3">
      <c r="A56" t="s">
        <v>14</v>
      </c>
      <c r="B56" t="s">
        <v>194</v>
      </c>
      <c r="C56" t="s">
        <v>86</v>
      </c>
      <c r="D56" t="s">
        <v>195</v>
      </c>
      <c r="E56" t="s">
        <v>87</v>
      </c>
      <c r="F56">
        <v>1674301</v>
      </c>
      <c r="G56">
        <v>1829574</v>
      </c>
      <c r="H56">
        <v>1914199</v>
      </c>
      <c r="I56">
        <v>1961022</v>
      </c>
      <c r="J56">
        <v>1972275</v>
      </c>
      <c r="K56">
        <v>1993814</v>
      </c>
      <c r="L56">
        <v>2066991</v>
      </c>
      <c r="M56">
        <v>2112702</v>
      </c>
      <c r="N56">
        <v>2199348</v>
      </c>
      <c r="O56">
        <v>2186080</v>
      </c>
      <c r="P56">
        <v>2399264</v>
      </c>
      <c r="Q56">
        <v>2565342</v>
      </c>
      <c r="R56">
        <v>2773863</v>
      </c>
      <c r="S56">
        <v>2868344</v>
      </c>
      <c r="T56">
        <v>2820736</v>
      </c>
      <c r="U56">
        <v>2878639</v>
      </c>
      <c r="V56">
        <v>2902589</v>
      </c>
      <c r="W56">
        <v>2910123</v>
      </c>
      <c r="X56">
        <v>2855622</v>
      </c>
      <c r="Y56">
        <v>2797491</v>
      </c>
      <c r="Z56">
        <v>2852968</v>
      </c>
      <c r="AA56">
        <v>2816472</v>
      </c>
      <c r="AB56">
        <v>2800890</v>
      </c>
      <c r="AC56">
        <v>2844387</v>
      </c>
      <c r="AD56">
        <v>2880636</v>
      </c>
      <c r="AE56">
        <v>2589351</v>
      </c>
      <c r="AF56">
        <v>2507753</v>
      </c>
    </row>
    <row r="57" spans="1:32" x14ac:dyDescent="0.3">
      <c r="A57" t="s">
        <v>14</v>
      </c>
      <c r="B57" t="s">
        <v>196</v>
      </c>
      <c r="C57" t="s">
        <v>86</v>
      </c>
      <c r="D57" t="s">
        <v>197</v>
      </c>
      <c r="E57" t="s">
        <v>87</v>
      </c>
      <c r="F57">
        <v>413671609</v>
      </c>
      <c r="G57">
        <v>423515968</v>
      </c>
      <c r="H57">
        <v>428173415</v>
      </c>
      <c r="I57">
        <v>424192119</v>
      </c>
      <c r="J57">
        <v>415079134</v>
      </c>
      <c r="K57">
        <v>416483789</v>
      </c>
      <c r="L57">
        <v>419102114</v>
      </c>
      <c r="M57">
        <v>412133330</v>
      </c>
      <c r="N57">
        <v>410134310</v>
      </c>
      <c r="O57">
        <v>414542377</v>
      </c>
      <c r="P57">
        <v>428865954</v>
      </c>
      <c r="Q57">
        <v>446888030</v>
      </c>
      <c r="R57">
        <v>470709288</v>
      </c>
      <c r="S57">
        <v>474596561</v>
      </c>
      <c r="T57">
        <v>452271213</v>
      </c>
      <c r="U57">
        <v>433360040</v>
      </c>
      <c r="V57">
        <v>434597158</v>
      </c>
      <c r="W57">
        <v>455467004</v>
      </c>
      <c r="X57">
        <v>451801662</v>
      </c>
      <c r="Y57">
        <v>462600015</v>
      </c>
      <c r="Z57">
        <v>486933615</v>
      </c>
      <c r="AA57">
        <v>475791659</v>
      </c>
      <c r="AB57">
        <v>458253043</v>
      </c>
      <c r="AC57">
        <v>478007833</v>
      </c>
      <c r="AD57">
        <v>489858149</v>
      </c>
      <c r="AE57">
        <v>460303978</v>
      </c>
      <c r="AF57">
        <v>454249288</v>
      </c>
    </row>
    <row r="58" spans="1:32" x14ac:dyDescent="0.3">
      <c r="A58" t="s">
        <v>14</v>
      </c>
      <c r="B58" t="s">
        <v>198</v>
      </c>
      <c r="C58" t="s">
        <v>86</v>
      </c>
      <c r="D58" t="s">
        <v>199</v>
      </c>
      <c r="E58" t="s">
        <v>87</v>
      </c>
      <c r="F58">
        <v>411997308</v>
      </c>
      <c r="G58">
        <v>421686394</v>
      </c>
      <c r="H58">
        <v>426259216</v>
      </c>
      <c r="I58">
        <v>422231097</v>
      </c>
      <c r="J58">
        <v>413106859</v>
      </c>
      <c r="K58">
        <v>414489975</v>
      </c>
      <c r="L58">
        <v>417035123</v>
      </c>
      <c r="M58">
        <v>410020628</v>
      </c>
      <c r="N58">
        <v>407934962</v>
      </c>
      <c r="O58">
        <v>412356297</v>
      </c>
      <c r="P58">
        <v>426466690</v>
      </c>
      <c r="Q58">
        <v>444322688</v>
      </c>
      <c r="R58">
        <v>467935425</v>
      </c>
      <c r="S58">
        <v>471728217</v>
      </c>
      <c r="T58">
        <v>449450477</v>
      </c>
      <c r="U58">
        <v>430481401</v>
      </c>
      <c r="V58">
        <v>431694569</v>
      </c>
      <c r="W58">
        <v>452556881</v>
      </c>
      <c r="X58">
        <v>448946040</v>
      </c>
      <c r="Y58">
        <v>459802524</v>
      </c>
      <c r="Z58">
        <v>484080647</v>
      </c>
      <c r="AA58">
        <v>472975187</v>
      </c>
      <c r="AB58">
        <v>455452153</v>
      </c>
      <c r="AC58">
        <v>475163446</v>
      </c>
      <c r="AD58">
        <v>486977513</v>
      </c>
      <c r="AE58">
        <v>457714627</v>
      </c>
      <c r="AF58">
        <v>451741535</v>
      </c>
    </row>
    <row r="59" spans="1:32" x14ac:dyDescent="0.3">
      <c r="A59" t="s">
        <v>14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16</v>
      </c>
      <c r="B2" t="s">
        <v>84</v>
      </c>
      <c r="C2" t="s">
        <v>86</v>
      </c>
      <c r="D2" t="s">
        <v>85</v>
      </c>
      <c r="E2" t="s">
        <v>87</v>
      </c>
      <c r="F2">
        <v>1526147.20071832</v>
      </c>
      <c r="G2">
        <v>1644529.8600297901</v>
      </c>
      <c r="H2">
        <v>1685449.7772290199</v>
      </c>
      <c r="I2">
        <v>1771859.28694915</v>
      </c>
      <c r="J2">
        <v>1767008.1139082999</v>
      </c>
      <c r="K2">
        <v>1929085.1045220301</v>
      </c>
      <c r="L2">
        <v>1835783.50296281</v>
      </c>
      <c r="M2">
        <v>1835613.0538736801</v>
      </c>
      <c r="N2">
        <v>1932922.80070259</v>
      </c>
      <c r="O2">
        <v>1947741.41305828</v>
      </c>
      <c r="P2">
        <v>2130638.3068756699</v>
      </c>
      <c r="Q2">
        <v>2283843.6454129</v>
      </c>
      <c r="R2">
        <v>2404576.6817716798</v>
      </c>
      <c r="S2">
        <v>2419471.95868003</v>
      </c>
      <c r="T2">
        <v>2399465.5826804801</v>
      </c>
      <c r="U2">
        <v>2427012.9437421001</v>
      </c>
      <c r="V2">
        <v>2511136.42394807</v>
      </c>
      <c r="W2">
        <v>2719023.8760837899</v>
      </c>
      <c r="X2">
        <v>2767614.0760593</v>
      </c>
      <c r="Y2">
        <v>2983218.0167241702</v>
      </c>
      <c r="Z2">
        <v>3261013.6462625102</v>
      </c>
      <c r="AA2">
        <v>3356553.2893049102</v>
      </c>
      <c r="AB2">
        <v>3522670.1897463701</v>
      </c>
      <c r="AC2">
        <v>3691400.4081778699</v>
      </c>
      <c r="AD2">
        <v>3670922.7648792202</v>
      </c>
      <c r="AE2">
        <v>3538216.3072584001</v>
      </c>
      <c r="AF2">
        <v>3499838.21030501</v>
      </c>
    </row>
    <row r="3" spans="1:32" x14ac:dyDescent="0.3">
      <c r="A3" t="s">
        <v>16</v>
      </c>
      <c r="B3" t="s">
        <v>88</v>
      </c>
      <c r="C3" t="s">
        <v>86</v>
      </c>
      <c r="D3" t="s">
        <v>89</v>
      </c>
      <c r="E3" t="s">
        <v>87</v>
      </c>
      <c r="F3">
        <v>421132.41537231999</v>
      </c>
      <c r="G3">
        <v>417829.46651769202</v>
      </c>
      <c r="H3">
        <v>465174.298307608</v>
      </c>
      <c r="I3">
        <v>412250.41526456398</v>
      </c>
      <c r="J3">
        <v>401927.91800338501</v>
      </c>
      <c r="K3">
        <v>413398.20747755701</v>
      </c>
      <c r="L3">
        <v>416074.76291092002</v>
      </c>
      <c r="M3">
        <v>328509.46760804398</v>
      </c>
      <c r="N3">
        <v>322895.30743264902</v>
      </c>
      <c r="O3">
        <v>261439.11149807001</v>
      </c>
      <c r="P3">
        <v>274387.21268298099</v>
      </c>
      <c r="Q3">
        <v>255573.756418053</v>
      </c>
      <c r="R3">
        <v>241632.20171796999</v>
      </c>
      <c r="S3">
        <v>185483.07226950099</v>
      </c>
      <c r="T3">
        <v>219936.49036883001</v>
      </c>
      <c r="U3">
        <v>223540.26415493901</v>
      </c>
      <c r="V3">
        <v>185365.65227555201</v>
      </c>
      <c r="W3">
        <v>186232.34407926199</v>
      </c>
      <c r="X3">
        <v>180437.77298950101</v>
      </c>
      <c r="Y3">
        <v>242127.80574019701</v>
      </c>
      <c r="Z3">
        <v>248065.28658513399</v>
      </c>
      <c r="AA3">
        <v>200315.29623874099</v>
      </c>
      <c r="AB3">
        <v>247130.405755613</v>
      </c>
      <c r="AC3">
        <v>209546.03984021401</v>
      </c>
      <c r="AD3">
        <v>216042.903230608</v>
      </c>
      <c r="AE3">
        <v>208160.58095996999</v>
      </c>
      <c r="AF3">
        <v>222576.998421514</v>
      </c>
    </row>
    <row r="4" spans="1:32" x14ac:dyDescent="0.3">
      <c r="A4" t="s">
        <v>16</v>
      </c>
      <c r="B4" t="s">
        <v>90</v>
      </c>
      <c r="C4" t="s">
        <v>86</v>
      </c>
      <c r="D4" t="s">
        <v>91</v>
      </c>
      <c r="E4" t="s">
        <v>87</v>
      </c>
      <c r="F4">
        <v>64920200.220721103</v>
      </c>
      <c r="G4">
        <v>65732783.354342297</v>
      </c>
      <c r="H4">
        <v>67826247.575695097</v>
      </c>
      <c r="I4">
        <v>65381237.509142503</v>
      </c>
      <c r="J4">
        <v>63972206.6185477</v>
      </c>
      <c r="K4">
        <v>65113423.880099103</v>
      </c>
      <c r="L4">
        <v>61531066.988148898</v>
      </c>
      <c r="M4">
        <v>57603881.619963102</v>
      </c>
      <c r="N4">
        <v>56750831.963624202</v>
      </c>
      <c r="O4">
        <v>57004555.917703599</v>
      </c>
      <c r="P4">
        <v>57620580.764903799</v>
      </c>
      <c r="Q4">
        <v>59239988.680697702</v>
      </c>
      <c r="R4">
        <v>59284078.262291498</v>
      </c>
      <c r="S4">
        <v>58173593.378020503</v>
      </c>
      <c r="T4">
        <v>49959351.529128402</v>
      </c>
      <c r="U4">
        <v>51211855.915853798</v>
      </c>
      <c r="V4">
        <v>51888492.7514107</v>
      </c>
      <c r="W4">
        <v>51039379.474041097</v>
      </c>
      <c r="X4">
        <v>48908298.367265202</v>
      </c>
      <c r="Y4">
        <v>49087756.002407603</v>
      </c>
      <c r="Z4">
        <v>49441018.349371299</v>
      </c>
      <c r="AA4">
        <v>49974324.658590503</v>
      </c>
      <c r="AB4">
        <v>51697301.636707298</v>
      </c>
      <c r="AC4">
        <v>51696038.542604797</v>
      </c>
      <c r="AD4">
        <v>51880455.068737499</v>
      </c>
      <c r="AE4">
        <v>48268844.191513397</v>
      </c>
      <c r="AF4">
        <v>49374662.594984598</v>
      </c>
    </row>
    <row r="5" spans="1:32" x14ac:dyDescent="0.3">
      <c r="A5" t="s">
        <v>16</v>
      </c>
      <c r="B5" t="s">
        <v>92</v>
      </c>
      <c r="C5" t="s">
        <v>86</v>
      </c>
      <c r="D5" t="s">
        <v>93</v>
      </c>
      <c r="E5" t="s">
        <v>87</v>
      </c>
      <c r="F5">
        <v>5798414.0856165299</v>
      </c>
      <c r="G5">
        <v>5892120.2261436097</v>
      </c>
      <c r="H5">
        <v>5928802.5367871299</v>
      </c>
      <c r="I5">
        <v>6024861.9287294997</v>
      </c>
      <c r="J5">
        <v>5988520.0481054997</v>
      </c>
      <c r="K5">
        <v>6185391.1548931804</v>
      </c>
      <c r="L5">
        <v>5843361.1475602202</v>
      </c>
      <c r="M5">
        <v>5575345.8255594596</v>
      </c>
      <c r="N5">
        <v>5477047.4586297404</v>
      </c>
      <c r="O5">
        <v>5391628.1728278799</v>
      </c>
      <c r="P5">
        <v>5272160.0695402799</v>
      </c>
      <c r="Q5">
        <v>5499801.0529105803</v>
      </c>
      <c r="R5">
        <v>5394577.1683713999</v>
      </c>
      <c r="S5">
        <v>5232720.9451862602</v>
      </c>
      <c r="T5">
        <v>4763264.5840678597</v>
      </c>
      <c r="U5">
        <v>5253716.8988312501</v>
      </c>
      <c r="V5">
        <v>5108059.1153587596</v>
      </c>
      <c r="W5">
        <v>5339690.1345349997</v>
      </c>
      <c r="X5">
        <v>5201490.9898051098</v>
      </c>
      <c r="Y5">
        <v>5362683.0248191198</v>
      </c>
      <c r="Z5">
        <v>5353934.9359232401</v>
      </c>
      <c r="AA5">
        <v>5440288.8863388197</v>
      </c>
      <c r="AB5">
        <v>5691567.2277890798</v>
      </c>
      <c r="AC5">
        <v>5640439.6203575702</v>
      </c>
      <c r="AD5">
        <v>5631581.5862711398</v>
      </c>
      <c r="AE5">
        <v>5297998.4542658804</v>
      </c>
      <c r="AF5">
        <v>5667228.60405338</v>
      </c>
    </row>
    <row r="6" spans="1:32" x14ac:dyDescent="0.3">
      <c r="A6" t="s">
        <v>16</v>
      </c>
      <c r="B6" t="s">
        <v>94</v>
      </c>
      <c r="C6" t="s">
        <v>86</v>
      </c>
      <c r="D6" t="s">
        <v>95</v>
      </c>
      <c r="E6" t="s">
        <v>87</v>
      </c>
      <c r="F6">
        <v>3499633.7878110302</v>
      </c>
      <c r="G6">
        <v>3431743.38023477</v>
      </c>
      <c r="H6">
        <v>3359301.9283581702</v>
      </c>
      <c r="I6">
        <v>3102468.0085928598</v>
      </c>
      <c r="J6">
        <v>2836668.1975953202</v>
      </c>
      <c r="K6">
        <v>2642027.8801201899</v>
      </c>
      <c r="L6">
        <v>2389486.3894345202</v>
      </c>
      <c r="M6">
        <v>2070512.8096371</v>
      </c>
      <c r="N6">
        <v>2019545.32014621</v>
      </c>
      <c r="O6">
        <v>1957777.10850253</v>
      </c>
      <c r="P6">
        <v>1894588.60701321</v>
      </c>
      <c r="Q6">
        <v>1891534.8977115301</v>
      </c>
      <c r="R6">
        <v>1859153.41252956</v>
      </c>
      <c r="S6">
        <v>1884886.8192587199</v>
      </c>
      <c r="T6">
        <v>1715531.1162745201</v>
      </c>
      <c r="U6">
        <v>1733617.1885830599</v>
      </c>
      <c r="V6">
        <v>1704471.33149553</v>
      </c>
      <c r="W6">
        <v>1616250.95367802</v>
      </c>
      <c r="X6">
        <v>1408702.38777685</v>
      </c>
      <c r="Y6">
        <v>1251817.97972919</v>
      </c>
      <c r="Z6">
        <v>1105617.2597220801</v>
      </c>
      <c r="AA6">
        <v>1101917.5828557999</v>
      </c>
      <c r="AB6">
        <v>1091918.27265979</v>
      </c>
      <c r="AC6">
        <v>1062182.49652512</v>
      </c>
      <c r="AD6">
        <v>1033022.37749396</v>
      </c>
      <c r="AE6">
        <v>895418.10910901497</v>
      </c>
      <c r="AF6">
        <v>826462.09874771698</v>
      </c>
    </row>
    <row r="7" spans="1:32" x14ac:dyDescent="0.3">
      <c r="A7" t="s">
        <v>16</v>
      </c>
      <c r="B7" t="s">
        <v>96</v>
      </c>
      <c r="C7" t="s">
        <v>86</v>
      </c>
      <c r="D7" t="s">
        <v>97</v>
      </c>
      <c r="E7" t="s">
        <v>87</v>
      </c>
      <c r="F7">
        <v>5758079.6873900704</v>
      </c>
      <c r="G7">
        <v>5849933.1566624902</v>
      </c>
      <c r="H7">
        <v>5869926.1036210004</v>
      </c>
      <c r="I7">
        <v>5744467.3779291604</v>
      </c>
      <c r="J7">
        <v>5607481.7337405803</v>
      </c>
      <c r="K7">
        <v>5510775.5824284004</v>
      </c>
      <c r="L7">
        <v>5170024.4196616001</v>
      </c>
      <c r="M7">
        <v>4885814.6648887899</v>
      </c>
      <c r="N7">
        <v>4779815.1666682102</v>
      </c>
      <c r="O7">
        <v>4892634.1097739302</v>
      </c>
      <c r="P7">
        <v>4636108.5067274002</v>
      </c>
      <c r="Q7">
        <v>4497862.6183373202</v>
      </c>
      <c r="R7">
        <v>4461920.5225922102</v>
      </c>
      <c r="S7">
        <v>4051953.487801</v>
      </c>
      <c r="T7">
        <v>3493340.3642008398</v>
      </c>
      <c r="U7">
        <v>3380941.2700280598</v>
      </c>
      <c r="V7">
        <v>3391096.7341189799</v>
      </c>
      <c r="W7">
        <v>3304566.2542264601</v>
      </c>
      <c r="X7">
        <v>3081133.0902138902</v>
      </c>
      <c r="Y7">
        <v>3130312.5990154399</v>
      </c>
      <c r="Z7">
        <v>3210232.77078347</v>
      </c>
      <c r="AA7">
        <v>2922020.5050202501</v>
      </c>
      <c r="AB7">
        <v>3024125.8117484902</v>
      </c>
      <c r="AC7">
        <v>2961769.6538183698</v>
      </c>
      <c r="AD7">
        <v>2970776.2848079298</v>
      </c>
      <c r="AE7">
        <v>2779166.5176448999</v>
      </c>
      <c r="AF7">
        <v>2769260.7252843198</v>
      </c>
    </row>
    <row r="8" spans="1:32" x14ac:dyDescent="0.3">
      <c r="A8" t="s">
        <v>16</v>
      </c>
      <c r="B8" t="s">
        <v>98</v>
      </c>
      <c r="C8" t="s">
        <v>86</v>
      </c>
      <c r="D8" t="s">
        <v>99</v>
      </c>
      <c r="E8" t="s">
        <v>87</v>
      </c>
      <c r="F8">
        <v>425736.94829865103</v>
      </c>
      <c r="G8">
        <v>435675.77526551398</v>
      </c>
      <c r="H8">
        <v>429125.80431970197</v>
      </c>
      <c r="I8">
        <v>414702.68236316898</v>
      </c>
      <c r="J8">
        <v>394640.113575425</v>
      </c>
      <c r="K8">
        <v>383089.24186111399</v>
      </c>
      <c r="L8">
        <v>372046.04168409499</v>
      </c>
      <c r="M8">
        <v>358877.21915174701</v>
      </c>
      <c r="N8">
        <v>355022.013041417</v>
      </c>
      <c r="O8">
        <v>349503.11581005901</v>
      </c>
      <c r="P8">
        <v>339013.68867409602</v>
      </c>
      <c r="Q8">
        <v>350927.23519018898</v>
      </c>
      <c r="R8">
        <v>357508.51361710503</v>
      </c>
      <c r="S8">
        <v>318104.29401444702</v>
      </c>
      <c r="T8">
        <v>303306.81586774299</v>
      </c>
      <c r="U8">
        <v>316406.60307230701</v>
      </c>
      <c r="V8">
        <v>329107.845308783</v>
      </c>
      <c r="W8">
        <v>333009.929572055</v>
      </c>
      <c r="X8">
        <v>305671.902127982</v>
      </c>
      <c r="Y8">
        <v>311992.63411810203</v>
      </c>
      <c r="Z8">
        <v>316329.49458860501</v>
      </c>
      <c r="AA8">
        <v>327818.438634363</v>
      </c>
      <c r="AB8">
        <v>327853.98511969001</v>
      </c>
      <c r="AC8">
        <v>329249.80225784797</v>
      </c>
      <c r="AD8">
        <v>350102.81522460497</v>
      </c>
      <c r="AE8">
        <v>351292.21801468899</v>
      </c>
      <c r="AF8">
        <v>378550.07046503201</v>
      </c>
    </row>
    <row r="9" spans="1:32" x14ac:dyDescent="0.3">
      <c r="A9" t="s">
        <v>16</v>
      </c>
      <c r="B9" t="s">
        <v>100</v>
      </c>
      <c r="C9" t="s">
        <v>86</v>
      </c>
      <c r="D9" t="s">
        <v>101</v>
      </c>
      <c r="E9" t="s">
        <v>87</v>
      </c>
      <c r="F9">
        <v>2902226.9592280001</v>
      </c>
      <c r="G9">
        <v>2960630.5892525502</v>
      </c>
      <c r="H9">
        <v>3011725.1484765601</v>
      </c>
      <c r="I9">
        <v>2952423.8668697001</v>
      </c>
      <c r="J9">
        <v>2930379.1124730199</v>
      </c>
      <c r="K9">
        <v>2954690.2781129698</v>
      </c>
      <c r="L9">
        <v>2900444.8580146702</v>
      </c>
      <c r="M9">
        <v>2779929.0879685301</v>
      </c>
      <c r="N9">
        <v>2700631.81448936</v>
      </c>
      <c r="O9">
        <v>2745016.9056933699</v>
      </c>
      <c r="P9">
        <v>2851885.1276511</v>
      </c>
      <c r="Q9">
        <v>2895867.7648168001</v>
      </c>
      <c r="R9">
        <v>2965729.1463766601</v>
      </c>
      <c r="S9">
        <v>2702757.9275444299</v>
      </c>
      <c r="T9">
        <v>2433802.6491677999</v>
      </c>
      <c r="U9">
        <v>2408911.25075447</v>
      </c>
      <c r="V9">
        <v>2563414.769483</v>
      </c>
      <c r="W9">
        <v>2576779.1371957501</v>
      </c>
      <c r="X9">
        <v>2414797.5522106802</v>
      </c>
      <c r="Y9">
        <v>2389630.9152562902</v>
      </c>
      <c r="Z9">
        <v>2441078.44958551</v>
      </c>
      <c r="AA9">
        <v>2574859.53076021</v>
      </c>
      <c r="AB9">
        <v>2565139.6124245599</v>
      </c>
      <c r="AC9">
        <v>2638346.5849599401</v>
      </c>
      <c r="AD9">
        <v>2731583.4759248202</v>
      </c>
      <c r="AE9">
        <v>2624717.1045265198</v>
      </c>
      <c r="AF9">
        <v>2677533.6669562901</v>
      </c>
    </row>
    <row r="10" spans="1:32" x14ac:dyDescent="0.3">
      <c r="A10" t="s">
        <v>16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16</v>
      </c>
      <c r="B11" t="s">
        <v>104</v>
      </c>
      <c r="C11" t="s">
        <v>86</v>
      </c>
      <c r="D11" t="s">
        <v>105</v>
      </c>
      <c r="E11" t="s">
        <v>87</v>
      </c>
      <c r="F11">
        <v>975511.45497300604</v>
      </c>
      <c r="G11">
        <v>1031064.2298650499</v>
      </c>
      <c r="H11">
        <v>1055228.6557597599</v>
      </c>
      <c r="I11">
        <v>1043373.06287456</v>
      </c>
      <c r="J11">
        <v>1084192.00557771</v>
      </c>
      <c r="K11">
        <v>1122756.91497231</v>
      </c>
      <c r="L11">
        <v>1133822.4927972399</v>
      </c>
      <c r="M11">
        <v>1115955.8714678099</v>
      </c>
      <c r="N11">
        <v>1058313.7921559799</v>
      </c>
      <c r="O11">
        <v>1093111.1454175401</v>
      </c>
      <c r="P11">
        <v>1110904.18106426</v>
      </c>
      <c r="Q11">
        <v>1138197.6072211401</v>
      </c>
      <c r="R11">
        <v>1117524.78982651</v>
      </c>
      <c r="S11">
        <v>1011116.11127996</v>
      </c>
      <c r="T11">
        <v>935411.12690313195</v>
      </c>
      <c r="U11">
        <v>966423.55046208098</v>
      </c>
      <c r="V11">
        <v>1003493.99862189</v>
      </c>
      <c r="W11">
        <v>1044388.24447714</v>
      </c>
      <c r="X11">
        <v>968402.23622761003</v>
      </c>
      <c r="Y11">
        <v>965487.08182587696</v>
      </c>
      <c r="Z11">
        <v>937824.67646479805</v>
      </c>
      <c r="AA11">
        <v>990001.74315912102</v>
      </c>
      <c r="AB11">
        <v>951529.16330060805</v>
      </c>
      <c r="AC11">
        <v>955188.104043814</v>
      </c>
      <c r="AD11">
        <v>996222.14403838397</v>
      </c>
      <c r="AE11">
        <v>959668.61051549099</v>
      </c>
      <c r="AF11">
        <v>969650.70028197498</v>
      </c>
    </row>
    <row r="12" spans="1:32" x14ac:dyDescent="0.3">
      <c r="A12" t="s">
        <v>16</v>
      </c>
      <c r="B12" t="s">
        <v>106</v>
      </c>
      <c r="C12" t="s">
        <v>86</v>
      </c>
      <c r="D12" t="s">
        <v>107</v>
      </c>
      <c r="E12" t="s">
        <v>87</v>
      </c>
      <c r="F12">
        <v>6041197.0523588201</v>
      </c>
      <c r="G12">
        <v>6083863.9318612702</v>
      </c>
      <c r="H12">
        <v>6199633.0477737999</v>
      </c>
      <c r="I12">
        <v>5848229.20631932</v>
      </c>
      <c r="J12">
        <v>5707214.5981975999</v>
      </c>
      <c r="K12">
        <v>5804255.0780006396</v>
      </c>
      <c r="L12">
        <v>5484318.3684123103</v>
      </c>
      <c r="M12">
        <v>5057738.5438465402</v>
      </c>
      <c r="N12">
        <v>5053225.79858761</v>
      </c>
      <c r="O12">
        <v>4974443.6461669998</v>
      </c>
      <c r="P12">
        <v>4949209.4776574699</v>
      </c>
      <c r="Q12">
        <v>4993962.3927077996</v>
      </c>
      <c r="R12">
        <v>5096284.6630946202</v>
      </c>
      <c r="S12">
        <v>4896752.0740839299</v>
      </c>
      <c r="T12">
        <v>4172269.7514496702</v>
      </c>
      <c r="U12">
        <v>4337524.4007324697</v>
      </c>
      <c r="V12">
        <v>4534897.2704923898</v>
      </c>
      <c r="W12">
        <v>4503977.4415378002</v>
      </c>
      <c r="X12">
        <v>4348696.5444266601</v>
      </c>
      <c r="Y12">
        <v>4440144.1386445602</v>
      </c>
      <c r="Z12">
        <v>4487060.1978384797</v>
      </c>
      <c r="AA12">
        <v>4529741.7884687399</v>
      </c>
      <c r="AB12">
        <v>4795805.0010695998</v>
      </c>
      <c r="AC12">
        <v>4765778.9397583501</v>
      </c>
      <c r="AD12">
        <v>4817509.46509887</v>
      </c>
      <c r="AE12">
        <v>4547704.7618577899</v>
      </c>
      <c r="AF12">
        <v>4713417.2591822799</v>
      </c>
    </row>
    <row r="13" spans="1:32" x14ac:dyDescent="0.3">
      <c r="A13" t="s">
        <v>16</v>
      </c>
      <c r="B13" t="s">
        <v>108</v>
      </c>
      <c r="C13" t="s">
        <v>86</v>
      </c>
      <c r="D13" t="s">
        <v>109</v>
      </c>
      <c r="E13" t="s">
        <v>87</v>
      </c>
      <c r="F13">
        <v>9300467.8291212395</v>
      </c>
      <c r="G13">
        <v>9137902.2146171406</v>
      </c>
      <c r="H13">
        <v>9392732.4101125598</v>
      </c>
      <c r="I13">
        <v>8732841.0352710392</v>
      </c>
      <c r="J13">
        <v>8363665.9456450697</v>
      </c>
      <c r="K13">
        <v>8518654.9384992197</v>
      </c>
      <c r="L13">
        <v>7850430.8300967803</v>
      </c>
      <c r="M13">
        <v>7443630.8006254397</v>
      </c>
      <c r="N13">
        <v>7264878.4805934001</v>
      </c>
      <c r="O13">
        <v>7230945.40047877</v>
      </c>
      <c r="P13">
        <v>7445296.4194793897</v>
      </c>
      <c r="Q13">
        <v>7496935.6807382796</v>
      </c>
      <c r="R13">
        <v>7547069.2894888502</v>
      </c>
      <c r="S13">
        <v>7440657.5389881702</v>
      </c>
      <c r="T13">
        <v>6183718.90200222</v>
      </c>
      <c r="U13">
        <v>6420666.3903038297</v>
      </c>
      <c r="V13">
        <v>6350724.64877446</v>
      </c>
      <c r="W13">
        <v>6380715.4198106797</v>
      </c>
      <c r="X13">
        <v>6294822.7796171</v>
      </c>
      <c r="Y13">
        <v>6272856.7105011502</v>
      </c>
      <c r="Z13">
        <v>6180149.4800420096</v>
      </c>
      <c r="AA13">
        <v>6377653.9315181803</v>
      </c>
      <c r="AB13">
        <v>6578160.6865091203</v>
      </c>
      <c r="AC13">
        <v>6522218.5671198703</v>
      </c>
      <c r="AD13">
        <v>6731285.5899007702</v>
      </c>
      <c r="AE13">
        <v>6202853.8277249103</v>
      </c>
      <c r="AF13">
        <v>6396611.1052964702</v>
      </c>
    </row>
    <row r="14" spans="1:32" x14ac:dyDescent="0.3">
      <c r="A14" t="s">
        <v>16</v>
      </c>
      <c r="B14" t="s">
        <v>110</v>
      </c>
      <c r="C14" t="s">
        <v>86</v>
      </c>
      <c r="D14" t="s">
        <v>111</v>
      </c>
      <c r="E14" t="s">
        <v>87</v>
      </c>
      <c r="F14">
        <v>7919349.4621459199</v>
      </c>
      <c r="G14">
        <v>8174714.3325286601</v>
      </c>
      <c r="H14">
        <v>8788279.5380288996</v>
      </c>
      <c r="I14">
        <v>8790535.9509150703</v>
      </c>
      <c r="J14">
        <v>8911320.0448544696</v>
      </c>
      <c r="K14">
        <v>9240533.2015861999</v>
      </c>
      <c r="L14">
        <v>8595174.8601191696</v>
      </c>
      <c r="M14">
        <v>7820769.0960058495</v>
      </c>
      <c r="N14">
        <v>7728119.1507752603</v>
      </c>
      <c r="O14">
        <v>7728714.7227827199</v>
      </c>
      <c r="P14">
        <v>7602441.3417460397</v>
      </c>
      <c r="Q14">
        <v>7695336.6924266499</v>
      </c>
      <c r="R14">
        <v>7897543.1802059701</v>
      </c>
      <c r="S14">
        <v>7775949.8885168498</v>
      </c>
      <c r="T14">
        <v>6449441.4310235102</v>
      </c>
      <c r="U14">
        <v>6461478.3354697004</v>
      </c>
      <c r="V14">
        <v>6490882.7340806304</v>
      </c>
      <c r="W14">
        <v>5858009.3031075699</v>
      </c>
      <c r="X14">
        <v>5520976.0796654299</v>
      </c>
      <c r="Y14">
        <v>5565400.0617703199</v>
      </c>
      <c r="Z14">
        <v>5596630.84462108</v>
      </c>
      <c r="AA14">
        <v>5608341.1398931602</v>
      </c>
      <c r="AB14">
        <v>5716982.7473128596</v>
      </c>
      <c r="AC14">
        <v>5809745.88550922</v>
      </c>
      <c r="AD14">
        <v>5810059.7631289801</v>
      </c>
      <c r="AE14">
        <v>5490017.4881752804</v>
      </c>
      <c r="AF14">
        <v>5500988.5135547305</v>
      </c>
    </row>
    <row r="15" spans="1:32" x14ac:dyDescent="0.3">
      <c r="A15" t="s">
        <v>16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16</v>
      </c>
      <c r="B16" t="s">
        <v>114</v>
      </c>
      <c r="C16" t="s">
        <v>86</v>
      </c>
      <c r="D16" t="s">
        <v>115</v>
      </c>
      <c r="E16" t="s">
        <v>87</v>
      </c>
      <c r="F16">
        <v>4360912.5820920197</v>
      </c>
      <c r="G16">
        <v>4416825.8041203003</v>
      </c>
      <c r="H16">
        <v>4649981.2168923896</v>
      </c>
      <c r="I16">
        <v>4324248.8961076504</v>
      </c>
      <c r="J16">
        <v>4369399.1172144702</v>
      </c>
      <c r="K16">
        <v>4464595.16961456</v>
      </c>
      <c r="L16">
        <v>4244664.5743588796</v>
      </c>
      <c r="M16">
        <v>3979901.4008390098</v>
      </c>
      <c r="N16">
        <v>3722898.3193953098</v>
      </c>
      <c r="O16">
        <v>3867888.9944408601</v>
      </c>
      <c r="P16">
        <v>4084094.7406175002</v>
      </c>
      <c r="Q16">
        <v>4650902.3960067602</v>
      </c>
      <c r="R16">
        <v>4243250.5849700002</v>
      </c>
      <c r="S16">
        <v>4197105.6516364003</v>
      </c>
      <c r="T16">
        <v>3635853.4398971298</v>
      </c>
      <c r="U16">
        <v>3585516.0380024598</v>
      </c>
      <c r="V16">
        <v>3719807.2743405602</v>
      </c>
      <c r="W16">
        <v>3521702.5453897198</v>
      </c>
      <c r="X16">
        <v>3391176.75088919</v>
      </c>
      <c r="Y16">
        <v>3364428.71789503</v>
      </c>
      <c r="Z16">
        <v>3407655.1899877298</v>
      </c>
      <c r="AA16">
        <v>3378105.2658998002</v>
      </c>
      <c r="AB16">
        <v>3439940.9361936999</v>
      </c>
      <c r="AC16">
        <v>3611569.1167286602</v>
      </c>
      <c r="AD16">
        <v>3552937.57074551</v>
      </c>
      <c r="AE16">
        <v>3404796.6105025001</v>
      </c>
      <c r="AF16">
        <v>3407643.7757826098</v>
      </c>
    </row>
    <row r="17" spans="1:32" x14ac:dyDescent="0.3">
      <c r="A17" t="s">
        <v>16</v>
      </c>
      <c r="B17" t="s">
        <v>116</v>
      </c>
      <c r="C17" t="s">
        <v>86</v>
      </c>
      <c r="D17" t="s">
        <v>117</v>
      </c>
      <c r="E17" t="s">
        <v>87</v>
      </c>
      <c r="F17">
        <v>7947603.6759133199</v>
      </c>
      <c r="G17">
        <v>8115127.2829294102</v>
      </c>
      <c r="H17">
        <v>8498746.2459133901</v>
      </c>
      <c r="I17">
        <v>8172467.9870297797</v>
      </c>
      <c r="J17">
        <v>7802313.2074707998</v>
      </c>
      <c r="K17">
        <v>8044642.9297949905</v>
      </c>
      <c r="L17">
        <v>7706614.4537825203</v>
      </c>
      <c r="M17">
        <v>6975393.1268323297</v>
      </c>
      <c r="N17">
        <v>6941016.3899781602</v>
      </c>
      <c r="O17">
        <v>7115914.74028691</v>
      </c>
      <c r="P17">
        <v>7533162.5283114603</v>
      </c>
      <c r="Q17">
        <v>7754604.6461265301</v>
      </c>
      <c r="R17">
        <v>7973543.0886739502</v>
      </c>
      <c r="S17">
        <v>8394838.5709909499</v>
      </c>
      <c r="T17">
        <v>6997582.1515627597</v>
      </c>
      <c r="U17">
        <v>7221323.3377042599</v>
      </c>
      <c r="V17">
        <v>7454481.4497209704</v>
      </c>
      <c r="W17">
        <v>7356735.9922351902</v>
      </c>
      <c r="X17">
        <v>7033765.2182573099</v>
      </c>
      <c r="Y17">
        <v>6913818.6685060896</v>
      </c>
      <c r="Z17">
        <v>6826339.6984920101</v>
      </c>
      <c r="AA17">
        <v>6849906.3274023999</v>
      </c>
      <c r="AB17">
        <v>7268680.21748685</v>
      </c>
      <c r="AC17">
        <v>7270625.4100837205</v>
      </c>
      <c r="AD17">
        <v>7403862.8046502303</v>
      </c>
      <c r="AE17">
        <v>6802037.3184093302</v>
      </c>
      <c r="AF17">
        <v>6999750.2367971903</v>
      </c>
    </row>
    <row r="18" spans="1:32" x14ac:dyDescent="0.3">
      <c r="A18" t="s">
        <v>16</v>
      </c>
      <c r="B18" t="s">
        <v>118</v>
      </c>
      <c r="C18" t="s">
        <v>86</v>
      </c>
      <c r="D18" t="s">
        <v>119</v>
      </c>
      <c r="E18" t="s">
        <v>87</v>
      </c>
      <c r="F18">
        <v>7491054.5782386903</v>
      </c>
      <c r="G18">
        <v>7723120.6265532104</v>
      </c>
      <c r="H18">
        <v>8105658.01087669</v>
      </c>
      <c r="I18">
        <v>7760525.8208481204</v>
      </c>
      <c r="J18">
        <v>7673148.6572861401</v>
      </c>
      <c r="K18">
        <v>7927503.4835523702</v>
      </c>
      <c r="L18">
        <v>7680519.08355329</v>
      </c>
      <c r="M18">
        <v>7588469.6084169699</v>
      </c>
      <c r="N18">
        <v>7755686.9322995897</v>
      </c>
      <c r="O18">
        <v>7881307.5965503501</v>
      </c>
      <c r="P18">
        <v>8078487.1329328697</v>
      </c>
      <c r="Q18">
        <v>8490461.9427877292</v>
      </c>
      <c r="R18">
        <v>8565974.9106884692</v>
      </c>
      <c r="S18">
        <v>8524879.9200461898</v>
      </c>
      <c r="T18">
        <v>7280671.6655139998</v>
      </c>
      <c r="U18">
        <v>7566679.9305729698</v>
      </c>
      <c r="V18">
        <v>7728886.7463176101</v>
      </c>
      <c r="W18">
        <v>7687231.7249477999</v>
      </c>
      <c r="X18">
        <v>7523420.6089820303</v>
      </c>
      <c r="Y18">
        <v>7672741.3662475096</v>
      </c>
      <c r="Z18">
        <v>8189620.5194429997</v>
      </c>
      <c r="AA18">
        <v>8465062.7974270303</v>
      </c>
      <c r="AB18">
        <v>8779180.7849474791</v>
      </c>
      <c r="AC18">
        <v>8714270.5052654091</v>
      </c>
      <c r="AD18">
        <v>8474678.7241058201</v>
      </c>
      <c r="AE18">
        <v>7711514.1302771699</v>
      </c>
      <c r="AF18">
        <v>7874523.12794438</v>
      </c>
    </row>
    <row r="19" spans="1:32" x14ac:dyDescent="0.3">
      <c r="A19" t="s">
        <v>16</v>
      </c>
      <c r="B19" t="s">
        <v>120</v>
      </c>
      <c r="C19" t="s">
        <v>86</v>
      </c>
      <c r="D19" t="s">
        <v>121</v>
      </c>
      <c r="E19" t="s">
        <v>87</v>
      </c>
      <c r="F19">
        <v>2500012.1175337899</v>
      </c>
      <c r="G19">
        <v>2480061.8043083702</v>
      </c>
      <c r="H19">
        <v>2537106.92877504</v>
      </c>
      <c r="I19">
        <v>2470091.6852925899</v>
      </c>
      <c r="J19">
        <v>2303263.83681155</v>
      </c>
      <c r="K19">
        <v>2314508.02666299</v>
      </c>
      <c r="L19">
        <v>2160159.4686736101</v>
      </c>
      <c r="M19">
        <v>1951543.5647235899</v>
      </c>
      <c r="N19">
        <v>1894631.3268639301</v>
      </c>
      <c r="O19">
        <v>1775670.2589716499</v>
      </c>
      <c r="P19">
        <v>1823228.9434887201</v>
      </c>
      <c r="Q19">
        <v>1883593.75371645</v>
      </c>
      <c r="R19">
        <v>1803998.9918561401</v>
      </c>
      <c r="S19">
        <v>1741870.1486732501</v>
      </c>
      <c r="T19">
        <v>1595157.5311972101</v>
      </c>
      <c r="U19">
        <v>1558650.7213368299</v>
      </c>
      <c r="V19">
        <v>1509168.8332970999</v>
      </c>
      <c r="W19">
        <v>1516322.39332793</v>
      </c>
      <c r="X19">
        <v>1415242.22706541</v>
      </c>
      <c r="Y19">
        <v>1446442.1040789599</v>
      </c>
      <c r="Z19">
        <v>1388544.83187927</v>
      </c>
      <c r="AA19">
        <v>1408606.7212126299</v>
      </c>
      <c r="AB19">
        <v>1466417.19014546</v>
      </c>
      <c r="AC19">
        <v>1414653.8561769</v>
      </c>
      <c r="AD19">
        <v>1376832.4673465299</v>
      </c>
      <c r="AE19">
        <v>1201659.04048995</v>
      </c>
      <c r="AF19">
        <v>1193042.71063825</v>
      </c>
    </row>
    <row r="20" spans="1:32" x14ac:dyDescent="0.3">
      <c r="A20" t="s">
        <v>16</v>
      </c>
      <c r="B20" t="s">
        <v>122</v>
      </c>
      <c r="C20" t="s">
        <v>86</v>
      </c>
      <c r="D20" t="s">
        <v>123</v>
      </c>
      <c r="E20" t="s">
        <v>87</v>
      </c>
      <c r="F20">
        <v>2479166.1891635102</v>
      </c>
      <c r="G20">
        <v>2228242.6891564899</v>
      </c>
      <c r="H20">
        <v>2100275.1817621002</v>
      </c>
      <c r="I20">
        <v>2153110.1673742002</v>
      </c>
      <c r="J20">
        <v>2109189.9299921198</v>
      </c>
      <c r="K20">
        <v>1926032.1210727701</v>
      </c>
      <c r="L20">
        <v>1946592.0688269399</v>
      </c>
      <c r="M20">
        <v>1929627.8845786499</v>
      </c>
      <c r="N20">
        <v>1828608.36111322</v>
      </c>
      <c r="O20">
        <v>1803841.2069905</v>
      </c>
      <c r="P20">
        <v>2068839.56456731</v>
      </c>
      <c r="Q20">
        <v>2111813.2713754601</v>
      </c>
      <c r="R20">
        <v>1909094.9629943499</v>
      </c>
      <c r="S20">
        <v>1860535.90129301</v>
      </c>
      <c r="T20">
        <v>1950875.7264573299</v>
      </c>
      <c r="U20">
        <v>1895647.1822231801</v>
      </c>
      <c r="V20">
        <v>1794777.5595028901</v>
      </c>
      <c r="W20">
        <v>1783292.7899490299</v>
      </c>
      <c r="X20">
        <v>1621804.21687766</v>
      </c>
      <c r="Y20">
        <v>1598387.84473595</v>
      </c>
      <c r="Z20">
        <v>1576870.2317371101</v>
      </c>
      <c r="AA20">
        <v>1658818.71354488</v>
      </c>
      <c r="AB20">
        <v>1573966.6782146899</v>
      </c>
      <c r="AC20">
        <v>1582903.44715267</v>
      </c>
      <c r="AD20">
        <v>1556335.24074894</v>
      </c>
      <c r="AE20">
        <v>1776642.51011525</v>
      </c>
      <c r="AF20">
        <v>1892245.5153812999</v>
      </c>
    </row>
    <row r="21" spans="1:32" x14ac:dyDescent="0.3">
      <c r="A21" t="s">
        <v>16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16</v>
      </c>
      <c r="B22" t="s">
        <v>126</v>
      </c>
      <c r="C22" t="s">
        <v>86</v>
      </c>
      <c r="D22" t="s">
        <v>127</v>
      </c>
      <c r="E22" t="s">
        <v>87</v>
      </c>
      <c r="F22">
        <v>2447727.8585351999</v>
      </c>
      <c r="G22">
        <v>2360070.0120441802</v>
      </c>
      <c r="H22">
        <v>2460376.4510140498</v>
      </c>
      <c r="I22">
        <v>2581772.6817909102</v>
      </c>
      <c r="J22">
        <v>2717267.07487264</v>
      </c>
      <c r="K22">
        <v>2753298.4047384998</v>
      </c>
      <c r="L22">
        <v>2811704.3811939401</v>
      </c>
      <c r="M22">
        <v>2695459.2138825599</v>
      </c>
      <c r="N22">
        <v>2680759.14237897</v>
      </c>
      <c r="O22">
        <v>2799121.8751683598</v>
      </c>
      <c r="P22">
        <v>2911006.7494182698</v>
      </c>
      <c r="Q22">
        <v>3011433.7814734499</v>
      </c>
      <c r="R22">
        <v>2859517.5489767902</v>
      </c>
      <c r="S22">
        <v>2837824.9708997998</v>
      </c>
      <c r="T22">
        <v>2930282.0358027099</v>
      </c>
      <c r="U22">
        <v>2892627.8485579202</v>
      </c>
      <c r="V22">
        <v>2746525.51626562</v>
      </c>
      <c r="W22">
        <v>2601525.9451932199</v>
      </c>
      <c r="X22">
        <v>2479473.6861711899</v>
      </c>
      <c r="Y22">
        <v>2519356.14702135</v>
      </c>
      <c r="Z22">
        <v>2472691.1893767202</v>
      </c>
      <c r="AA22">
        <v>2556596.2897774102</v>
      </c>
      <c r="AB22">
        <v>2496272.3144926801</v>
      </c>
      <c r="AC22">
        <v>2550202.3817039998</v>
      </c>
      <c r="AD22">
        <v>2594487.8456390998</v>
      </c>
      <c r="AE22">
        <v>2712640.9247221001</v>
      </c>
      <c r="AF22">
        <v>2803402.3694781</v>
      </c>
    </row>
    <row r="23" spans="1:32" x14ac:dyDescent="0.3">
      <c r="A23" t="s">
        <v>16</v>
      </c>
      <c r="B23" t="s">
        <v>128</v>
      </c>
      <c r="C23" t="s">
        <v>86</v>
      </c>
      <c r="D23" t="s">
        <v>129</v>
      </c>
      <c r="E23" t="s">
        <v>87</v>
      </c>
      <c r="F23">
        <v>32859105.511269201</v>
      </c>
      <c r="G23">
        <v>33353969.038527399</v>
      </c>
      <c r="H23">
        <v>33980422.8599445</v>
      </c>
      <c r="I23">
        <v>31934736.225743201</v>
      </c>
      <c r="J23">
        <v>30749529.439332001</v>
      </c>
      <c r="K23">
        <v>31180317.8507163</v>
      </c>
      <c r="L23">
        <v>29068209.063770901</v>
      </c>
      <c r="M23">
        <v>28056920.769468099</v>
      </c>
      <c r="N23">
        <v>27724769.315235302</v>
      </c>
      <c r="O23">
        <v>27758723.396233398</v>
      </c>
      <c r="P23">
        <v>27057707.479732901</v>
      </c>
      <c r="Q23">
        <v>25813911.843212001</v>
      </c>
      <c r="R23">
        <v>24237110.482414201</v>
      </c>
      <c r="S23">
        <v>22342962.6649772</v>
      </c>
      <c r="T23">
        <v>19854579.770785801</v>
      </c>
      <c r="U23">
        <v>17770542.952526499</v>
      </c>
      <c r="V23">
        <v>16386495.5754489</v>
      </c>
      <c r="W23">
        <v>17947123.176013</v>
      </c>
      <c r="X23">
        <v>19331285.085054401</v>
      </c>
      <c r="Y23">
        <v>21484416.532666702</v>
      </c>
      <c r="Z23">
        <v>23316476.222463802</v>
      </c>
      <c r="AA23">
        <v>23089665.228633799</v>
      </c>
      <c r="AB23">
        <v>24069217.213781599</v>
      </c>
      <c r="AC23">
        <v>24678768.527282499</v>
      </c>
      <c r="AD23">
        <v>24786313.1781293</v>
      </c>
      <c r="AE23">
        <v>23947202.976691499</v>
      </c>
      <c r="AF23">
        <v>23575760.274854001</v>
      </c>
    </row>
    <row r="24" spans="1:32" x14ac:dyDescent="0.3">
      <c r="A24" t="s">
        <v>16</v>
      </c>
      <c r="B24" t="s">
        <v>130</v>
      </c>
      <c r="C24" t="s">
        <v>86</v>
      </c>
      <c r="D24" t="s">
        <v>131</v>
      </c>
      <c r="E24" t="s">
        <v>87</v>
      </c>
      <c r="F24">
        <v>45116665.554854698</v>
      </c>
      <c r="G24">
        <v>44987798.320188098</v>
      </c>
      <c r="H24">
        <v>45305299.818405598</v>
      </c>
      <c r="I24">
        <v>44076258.704078697</v>
      </c>
      <c r="J24">
        <v>44036173.7114278</v>
      </c>
      <c r="K24">
        <v>42078983.119448803</v>
      </c>
      <c r="L24">
        <v>40747904.969086103</v>
      </c>
      <c r="M24">
        <v>38479099.600177601</v>
      </c>
      <c r="N24">
        <v>38815328.319394298</v>
      </c>
      <c r="O24">
        <v>39941182.533373401</v>
      </c>
      <c r="P24">
        <v>40352252.208944798</v>
      </c>
      <c r="Q24">
        <v>40463453.707660802</v>
      </c>
      <c r="R24">
        <v>40039403.416992903</v>
      </c>
      <c r="S24">
        <v>38689338.352745399</v>
      </c>
      <c r="T24">
        <v>36760990.882618599</v>
      </c>
      <c r="U24">
        <v>37794650.100302704</v>
      </c>
      <c r="V24">
        <v>37579460.495519802</v>
      </c>
      <c r="W24">
        <v>38121394.310661197</v>
      </c>
      <c r="X24">
        <v>38113679.728468597</v>
      </c>
      <c r="Y24">
        <v>38296931.575681299</v>
      </c>
      <c r="Z24">
        <v>40004515.657072797</v>
      </c>
      <c r="AA24">
        <v>41054397.161210902</v>
      </c>
      <c r="AB24">
        <v>42662728.7259956</v>
      </c>
      <c r="AC24">
        <v>42806407.858288303</v>
      </c>
      <c r="AD24">
        <v>41715032.876347803</v>
      </c>
      <c r="AE24">
        <v>39894467.405878402</v>
      </c>
      <c r="AF24">
        <v>40754515.770215303</v>
      </c>
    </row>
    <row r="25" spans="1:32" x14ac:dyDescent="0.3">
      <c r="A25" t="s">
        <v>16</v>
      </c>
      <c r="B25" t="s">
        <v>132</v>
      </c>
      <c r="C25" t="s">
        <v>86</v>
      </c>
      <c r="D25" t="s">
        <v>133</v>
      </c>
      <c r="E25" t="s">
        <v>87</v>
      </c>
      <c r="F25">
        <v>2508013.9473283198</v>
      </c>
      <c r="G25">
        <v>2600547.5376124699</v>
      </c>
      <c r="H25">
        <v>2699891.3044245602</v>
      </c>
      <c r="I25">
        <v>2788866.43336325</v>
      </c>
      <c r="J25">
        <v>2748723.1127027902</v>
      </c>
      <c r="K25">
        <v>2657869.0544454898</v>
      </c>
      <c r="L25">
        <v>2626572.8634300702</v>
      </c>
      <c r="M25">
        <v>2696315.5431370898</v>
      </c>
      <c r="N25">
        <v>2771201.20109013</v>
      </c>
      <c r="O25">
        <v>2911957.7917138902</v>
      </c>
      <c r="P25">
        <v>2747405.7390292301</v>
      </c>
      <c r="Q25">
        <v>2833122.9550835001</v>
      </c>
      <c r="R25">
        <v>2703853.19514259</v>
      </c>
      <c r="S25">
        <v>2535145.9916625801</v>
      </c>
      <c r="T25">
        <v>2358743.14739392</v>
      </c>
      <c r="U25">
        <v>2260247.7927582702</v>
      </c>
      <c r="V25">
        <v>2132959.2219336</v>
      </c>
      <c r="W25">
        <v>2085331.14573736</v>
      </c>
      <c r="X25">
        <v>2249320.6332857399</v>
      </c>
      <c r="Y25">
        <v>2254991.9576677699</v>
      </c>
      <c r="Z25">
        <v>2191810.4390304498</v>
      </c>
      <c r="AA25">
        <v>2241216.5728399502</v>
      </c>
      <c r="AB25">
        <v>2206001.0988755198</v>
      </c>
      <c r="AC25">
        <v>2210128.4814355499</v>
      </c>
      <c r="AD25">
        <v>2298956.2372175399</v>
      </c>
      <c r="AE25">
        <v>2267233.18601469</v>
      </c>
      <c r="AF25">
        <v>2224087.6677253898</v>
      </c>
    </row>
    <row r="26" spans="1:32" x14ac:dyDescent="0.3">
      <c r="A26" t="s">
        <v>16</v>
      </c>
      <c r="B26" t="s">
        <v>134</v>
      </c>
      <c r="C26" t="s">
        <v>86</v>
      </c>
      <c r="D26" t="s">
        <v>135</v>
      </c>
      <c r="E26" t="s">
        <v>87</v>
      </c>
      <c r="F26">
        <v>25072702.086071201</v>
      </c>
      <c r="G26">
        <v>24939266.631259501</v>
      </c>
      <c r="H26">
        <v>24960385.3202761</v>
      </c>
      <c r="I26">
        <v>24323143.468349598</v>
      </c>
      <c r="J26">
        <v>23806027.076502498</v>
      </c>
      <c r="K26">
        <v>22319776.804166701</v>
      </c>
      <c r="L26">
        <v>21252998.835354201</v>
      </c>
      <c r="M26">
        <v>19443044.790821001</v>
      </c>
      <c r="N26">
        <v>18963485.174902201</v>
      </c>
      <c r="O26">
        <v>19548294.409088101</v>
      </c>
      <c r="P26">
        <v>20469901.6157398</v>
      </c>
      <c r="Q26">
        <v>19745544.219918299</v>
      </c>
      <c r="R26">
        <v>19440692.219868802</v>
      </c>
      <c r="S26">
        <v>18985444.8973075</v>
      </c>
      <c r="T26">
        <v>17623208.671163902</v>
      </c>
      <c r="U26">
        <v>17596966.340665098</v>
      </c>
      <c r="V26">
        <v>17358654.727433901</v>
      </c>
      <c r="W26">
        <v>17678153.620667499</v>
      </c>
      <c r="X26">
        <v>17739951.595742699</v>
      </c>
      <c r="Y26">
        <v>18633754.418268599</v>
      </c>
      <c r="Z26">
        <v>19661601.541417401</v>
      </c>
      <c r="AA26">
        <v>20336474.372429602</v>
      </c>
      <c r="AB26">
        <v>20775524.029072098</v>
      </c>
      <c r="AC26">
        <v>21463784.568891</v>
      </c>
      <c r="AD26">
        <v>20778563.434177902</v>
      </c>
      <c r="AE26">
        <v>20176777.517961301</v>
      </c>
      <c r="AF26">
        <v>20145491.9067587</v>
      </c>
    </row>
    <row r="27" spans="1:32" x14ac:dyDescent="0.3">
      <c r="A27" t="s">
        <v>16</v>
      </c>
      <c r="B27" t="s">
        <v>136</v>
      </c>
      <c r="C27" t="s">
        <v>86</v>
      </c>
      <c r="D27" t="s">
        <v>137</v>
      </c>
      <c r="E27" t="s">
        <v>87</v>
      </c>
      <c r="F27">
        <v>17535949.521455199</v>
      </c>
      <c r="G27">
        <v>17447984.151316099</v>
      </c>
      <c r="H27">
        <v>17645023.193704899</v>
      </c>
      <c r="I27">
        <v>16964248.802365899</v>
      </c>
      <c r="J27">
        <v>17481423.5222225</v>
      </c>
      <c r="K27">
        <v>17101337.260836601</v>
      </c>
      <c r="L27">
        <v>16868333.2703018</v>
      </c>
      <c r="M27">
        <v>16339739.2662195</v>
      </c>
      <c r="N27">
        <v>17080641.943402</v>
      </c>
      <c r="O27">
        <v>17480930.332571398</v>
      </c>
      <c r="P27">
        <v>17134944.854175799</v>
      </c>
      <c r="Q27">
        <v>17884786.532659002</v>
      </c>
      <c r="R27">
        <v>17894858.001981501</v>
      </c>
      <c r="S27">
        <v>17168747.463775299</v>
      </c>
      <c r="T27">
        <v>16779039.0640608</v>
      </c>
      <c r="U27">
        <v>17937435.966879301</v>
      </c>
      <c r="V27">
        <v>18087846.546152301</v>
      </c>
      <c r="W27">
        <v>18357909.5442563</v>
      </c>
      <c r="X27">
        <v>18124407.499440201</v>
      </c>
      <c r="Y27">
        <v>17408185.199744899</v>
      </c>
      <c r="Z27">
        <v>18151103.676624998</v>
      </c>
      <c r="AA27">
        <v>18476706.215941399</v>
      </c>
      <c r="AB27">
        <v>19681203.598048002</v>
      </c>
      <c r="AC27">
        <v>19132494.807961799</v>
      </c>
      <c r="AD27">
        <v>18637513.2049524</v>
      </c>
      <c r="AE27">
        <v>17450456.701902401</v>
      </c>
      <c r="AF27">
        <v>18384936.1957312</v>
      </c>
    </row>
    <row r="28" spans="1:32" x14ac:dyDescent="0.3">
      <c r="A28" t="s">
        <v>16</v>
      </c>
      <c r="B28" t="s">
        <v>138</v>
      </c>
      <c r="C28" t="s">
        <v>86</v>
      </c>
      <c r="D28" t="s">
        <v>139</v>
      </c>
      <c r="E28" t="s">
        <v>87</v>
      </c>
      <c r="F28">
        <v>21144933.9421684</v>
      </c>
      <c r="G28">
        <v>21182913.051175501</v>
      </c>
      <c r="H28">
        <v>20919632.741653401</v>
      </c>
      <c r="I28">
        <v>20049010.419939399</v>
      </c>
      <c r="J28">
        <v>19367798.073138501</v>
      </c>
      <c r="K28">
        <v>19531544.1415052</v>
      </c>
      <c r="L28">
        <v>18618895.0446789</v>
      </c>
      <c r="M28">
        <v>17904748.365573399</v>
      </c>
      <c r="N28">
        <v>17577565.091440301</v>
      </c>
      <c r="O28">
        <v>17643436.943232499</v>
      </c>
      <c r="P28">
        <v>17115429.581260499</v>
      </c>
      <c r="Q28">
        <v>17884178.8031152</v>
      </c>
      <c r="R28">
        <v>17407387.2767893</v>
      </c>
      <c r="S28">
        <v>17318383.051932499</v>
      </c>
      <c r="T28">
        <v>16929239.9094739</v>
      </c>
      <c r="U28">
        <v>17121090.3345819</v>
      </c>
      <c r="V28">
        <v>16110806.5761525</v>
      </c>
      <c r="W28">
        <v>16442305.529695099</v>
      </c>
      <c r="X28">
        <v>16991346.264026701</v>
      </c>
      <c r="Y28">
        <v>16971681.6243723</v>
      </c>
      <c r="Z28">
        <v>17167158.855087899</v>
      </c>
      <c r="AA28">
        <v>17183188.033545401</v>
      </c>
      <c r="AB28">
        <v>17331181.094010901</v>
      </c>
      <c r="AC28">
        <v>17718010.248811301</v>
      </c>
      <c r="AD28">
        <v>17914509.6080212</v>
      </c>
      <c r="AE28">
        <v>16833481.034734301</v>
      </c>
      <c r="AF28">
        <v>16907997.050143</v>
      </c>
    </row>
    <row r="29" spans="1:32" x14ac:dyDescent="0.3">
      <c r="A29" t="s">
        <v>16</v>
      </c>
      <c r="B29" t="s">
        <v>140</v>
      </c>
      <c r="C29" t="s">
        <v>86</v>
      </c>
      <c r="D29" t="s">
        <v>141</v>
      </c>
      <c r="E29" t="s">
        <v>87</v>
      </c>
      <c r="F29">
        <v>14486841.3488701</v>
      </c>
      <c r="G29">
        <v>14661670.0280656</v>
      </c>
      <c r="H29">
        <v>14703033.9052967</v>
      </c>
      <c r="I29">
        <v>14197380.5359917</v>
      </c>
      <c r="J29">
        <v>13749344.755769899</v>
      </c>
      <c r="K29">
        <v>13853918.3050848</v>
      </c>
      <c r="L29">
        <v>13131304.5474308</v>
      </c>
      <c r="M29">
        <v>12567472.244531199</v>
      </c>
      <c r="N29">
        <v>12422855.898995301</v>
      </c>
      <c r="O29">
        <v>12516225.571544999</v>
      </c>
      <c r="P29">
        <v>12132400.8699103</v>
      </c>
      <c r="Q29">
        <v>12643053.0414163</v>
      </c>
      <c r="R29">
        <v>12250588.622059699</v>
      </c>
      <c r="S29">
        <v>12291976.3228989</v>
      </c>
      <c r="T29">
        <v>11660906.5366151</v>
      </c>
      <c r="U29">
        <v>11724110.8133641</v>
      </c>
      <c r="V29">
        <v>11244071.029260401</v>
      </c>
      <c r="W29">
        <v>11452493.530401001</v>
      </c>
      <c r="X29">
        <v>12100468.604871299</v>
      </c>
      <c r="Y29">
        <v>11898951.0847748</v>
      </c>
      <c r="Z29">
        <v>12186829.325192099</v>
      </c>
      <c r="AA29">
        <v>12209777.6593825</v>
      </c>
      <c r="AB29">
        <v>12280219.0896053</v>
      </c>
      <c r="AC29">
        <v>12509904.8491452</v>
      </c>
      <c r="AD29">
        <v>12615073.417814801</v>
      </c>
      <c r="AE29">
        <v>11902850.6395944</v>
      </c>
      <c r="AF29">
        <v>12261201.4715514</v>
      </c>
    </row>
    <row r="30" spans="1:32" x14ac:dyDescent="0.3">
      <c r="A30" t="s">
        <v>16</v>
      </c>
      <c r="B30" t="s">
        <v>142</v>
      </c>
      <c r="C30" t="s">
        <v>86</v>
      </c>
      <c r="D30" t="s">
        <v>143</v>
      </c>
      <c r="E30" t="s">
        <v>87</v>
      </c>
      <c r="F30">
        <v>1252674.2530711801</v>
      </c>
      <c r="G30">
        <v>1251449.0792648799</v>
      </c>
      <c r="H30">
        <v>1177186.9277212401</v>
      </c>
      <c r="I30">
        <v>1065310.5060735601</v>
      </c>
      <c r="J30">
        <v>991625.928752298</v>
      </c>
      <c r="K30">
        <v>994605.37845099298</v>
      </c>
      <c r="L30">
        <v>942372.51472430397</v>
      </c>
      <c r="M30">
        <v>899615.28175283805</v>
      </c>
      <c r="N30">
        <v>843779.88133633696</v>
      </c>
      <c r="O30">
        <v>846154.74212841701</v>
      </c>
      <c r="P30">
        <v>858861.26450939302</v>
      </c>
      <c r="Q30">
        <v>932028.60887645604</v>
      </c>
      <c r="R30">
        <v>995234.38024338696</v>
      </c>
      <c r="S30">
        <v>913410.24931889004</v>
      </c>
      <c r="T30">
        <v>1056280.39671573</v>
      </c>
      <c r="U30">
        <v>1069165.58123206</v>
      </c>
      <c r="V30">
        <v>836105.28201746906</v>
      </c>
      <c r="W30">
        <v>1016480.20841865</v>
      </c>
      <c r="X30">
        <v>888376.81412777305</v>
      </c>
      <c r="Y30">
        <v>964294.24391567602</v>
      </c>
      <c r="Z30">
        <v>881044.48642111302</v>
      </c>
      <c r="AA30">
        <v>835633.34555339406</v>
      </c>
      <c r="AB30">
        <v>912672.39076701901</v>
      </c>
      <c r="AC30">
        <v>971269.40008789999</v>
      </c>
      <c r="AD30">
        <v>855274.52431752905</v>
      </c>
      <c r="AE30">
        <v>744027.89262013999</v>
      </c>
      <c r="AF30">
        <v>830451.92669746198</v>
      </c>
    </row>
    <row r="31" spans="1:32" x14ac:dyDescent="0.3">
      <c r="A31" t="s">
        <v>16</v>
      </c>
      <c r="B31" t="s">
        <v>144</v>
      </c>
      <c r="C31" t="s">
        <v>86</v>
      </c>
      <c r="D31" t="s">
        <v>145</v>
      </c>
      <c r="E31" t="s">
        <v>87</v>
      </c>
      <c r="F31">
        <v>996108.91839195101</v>
      </c>
      <c r="G31">
        <v>996418.49086194998</v>
      </c>
      <c r="H31">
        <v>937161.57127257402</v>
      </c>
      <c r="I31">
        <v>877768.563070048</v>
      </c>
      <c r="J31">
        <v>824890.94087740395</v>
      </c>
      <c r="K31">
        <v>867413.31974809803</v>
      </c>
      <c r="L31">
        <v>805021.79335674003</v>
      </c>
      <c r="M31">
        <v>746474.06665618496</v>
      </c>
      <c r="N31">
        <v>692247.02036739001</v>
      </c>
      <c r="O31">
        <v>661625.86885835498</v>
      </c>
      <c r="P31">
        <v>623516.92594442703</v>
      </c>
      <c r="Q31">
        <v>638304.388849827</v>
      </c>
      <c r="R31">
        <v>708658.44584436796</v>
      </c>
      <c r="S31">
        <v>691101.27596680599</v>
      </c>
      <c r="T31">
        <v>760716.38414606301</v>
      </c>
      <c r="U31">
        <v>810751.98483312503</v>
      </c>
      <c r="V31">
        <v>731887.39944344503</v>
      </c>
      <c r="W31">
        <v>823304.54953886603</v>
      </c>
      <c r="X31">
        <v>747342.74504453898</v>
      </c>
      <c r="Y31">
        <v>851365.688266212</v>
      </c>
      <c r="Z31">
        <v>708358.57045963302</v>
      </c>
      <c r="AA31">
        <v>785599.80125759996</v>
      </c>
      <c r="AB31">
        <v>641257.12999329099</v>
      </c>
      <c r="AC31">
        <v>762247.27576415194</v>
      </c>
      <c r="AD31">
        <v>809290.80407300103</v>
      </c>
      <c r="AE31">
        <v>702021.46005105099</v>
      </c>
      <c r="AF31">
        <v>553681.05379887403</v>
      </c>
    </row>
    <row r="32" spans="1:32" x14ac:dyDescent="0.3">
      <c r="A32" t="s">
        <v>16</v>
      </c>
      <c r="B32" t="s">
        <v>146</v>
      </c>
      <c r="C32" t="s">
        <v>86</v>
      </c>
      <c r="D32" t="s">
        <v>147</v>
      </c>
      <c r="E32" t="s">
        <v>87</v>
      </c>
      <c r="F32">
        <v>1911569.1995006499</v>
      </c>
      <c r="G32">
        <v>1887479.64494834</v>
      </c>
      <c r="H32">
        <v>1805573.5314916801</v>
      </c>
      <c r="I32">
        <v>1717528.70841064</v>
      </c>
      <c r="J32">
        <v>1673177.8445925501</v>
      </c>
      <c r="K32">
        <v>1708954.3272907599</v>
      </c>
      <c r="L32">
        <v>1687694.6833360801</v>
      </c>
      <c r="M32">
        <v>1689717.1165153901</v>
      </c>
      <c r="N32">
        <v>1662122.9831878501</v>
      </c>
      <c r="O32">
        <v>1711979.5670227101</v>
      </c>
      <c r="P32">
        <v>1632237.6647168</v>
      </c>
      <c r="Q32">
        <v>1781076.2648382499</v>
      </c>
      <c r="R32">
        <v>1747869.0675254399</v>
      </c>
      <c r="S32">
        <v>1738626.5827055301</v>
      </c>
      <c r="T32">
        <v>1781683.20265011</v>
      </c>
      <c r="U32">
        <v>1822728.7010468801</v>
      </c>
      <c r="V32">
        <v>1682557.28845389</v>
      </c>
      <c r="W32">
        <v>1689026.01542791</v>
      </c>
      <c r="X32">
        <v>1768887.8341773101</v>
      </c>
      <c r="Y32">
        <v>1784008.9786348401</v>
      </c>
      <c r="Z32">
        <v>1871322.09776057</v>
      </c>
      <c r="AA32">
        <v>1817992.20477719</v>
      </c>
      <c r="AB32">
        <v>1923766.84310009</v>
      </c>
      <c r="AC32">
        <v>1931843.05347164</v>
      </c>
      <c r="AD32">
        <v>2085164.6093159399</v>
      </c>
      <c r="AE32">
        <v>2069199.0530115</v>
      </c>
      <c r="AF32">
        <v>1914847.31987577</v>
      </c>
    </row>
    <row r="33" spans="1:32" x14ac:dyDescent="0.3">
      <c r="A33" t="s">
        <v>16</v>
      </c>
      <c r="B33" t="s">
        <v>148</v>
      </c>
      <c r="C33" t="s">
        <v>86</v>
      </c>
      <c r="D33" t="s">
        <v>149</v>
      </c>
      <c r="E33" t="s">
        <v>87</v>
      </c>
      <c r="F33">
        <v>2497740.2223344599</v>
      </c>
      <c r="G33">
        <v>2385895.8080347702</v>
      </c>
      <c r="H33">
        <v>2296676.80587117</v>
      </c>
      <c r="I33">
        <v>2191022.1063934099</v>
      </c>
      <c r="J33">
        <v>2128758.6031463798</v>
      </c>
      <c r="K33">
        <v>2106652.8109305399</v>
      </c>
      <c r="L33">
        <v>2052501.5058309201</v>
      </c>
      <c r="M33">
        <v>2001469.65611787</v>
      </c>
      <c r="N33">
        <v>1956559.3075534301</v>
      </c>
      <c r="O33">
        <v>1907451.193678</v>
      </c>
      <c r="P33">
        <v>1868412.8561796199</v>
      </c>
      <c r="Q33">
        <v>1889716.49913445</v>
      </c>
      <c r="R33">
        <v>1705036.7611164099</v>
      </c>
      <c r="S33">
        <v>1683268.6210423899</v>
      </c>
      <c r="T33">
        <v>1669653.38934693</v>
      </c>
      <c r="U33">
        <v>1694333.25410572</v>
      </c>
      <c r="V33">
        <v>1616185.57697734</v>
      </c>
      <c r="W33">
        <v>1461001.2259087099</v>
      </c>
      <c r="X33">
        <v>1486270.2658057499</v>
      </c>
      <c r="Y33">
        <v>1473061.6287808099</v>
      </c>
      <c r="Z33">
        <v>1519604.3752544899</v>
      </c>
      <c r="AA33">
        <v>1534185.02257474</v>
      </c>
      <c r="AB33">
        <v>1573265.6405452299</v>
      </c>
      <c r="AC33">
        <v>1542745.6703423399</v>
      </c>
      <c r="AD33">
        <v>1549706.2524999401</v>
      </c>
      <c r="AE33">
        <v>1415381.9894572699</v>
      </c>
      <c r="AF33">
        <v>1347815.2782195399</v>
      </c>
    </row>
    <row r="34" spans="1:32" x14ac:dyDescent="0.3">
      <c r="A34" t="s">
        <v>16</v>
      </c>
      <c r="B34" t="s">
        <v>150</v>
      </c>
      <c r="C34" t="s">
        <v>86</v>
      </c>
      <c r="D34" t="s">
        <v>151</v>
      </c>
      <c r="E34" t="s">
        <v>87</v>
      </c>
      <c r="F34">
        <v>10881014.284677301</v>
      </c>
      <c r="G34">
        <v>11020473.380573399</v>
      </c>
      <c r="H34">
        <v>11058354.013580199</v>
      </c>
      <c r="I34">
        <v>10416230.590889299</v>
      </c>
      <c r="J34">
        <v>10427279.0985198</v>
      </c>
      <c r="K34">
        <v>10234334.967331801</v>
      </c>
      <c r="L34">
        <v>9823574.2645461299</v>
      </c>
      <c r="M34">
        <v>9142135.3207113203</v>
      </c>
      <c r="N34">
        <v>8809551.5126939304</v>
      </c>
      <c r="O34">
        <v>8851959.6676228493</v>
      </c>
      <c r="P34">
        <v>8619915.0436674096</v>
      </c>
      <c r="Q34">
        <v>9010028.3570474796</v>
      </c>
      <c r="R34">
        <v>8887284.5030986909</v>
      </c>
      <c r="S34">
        <v>8608312.9765249193</v>
      </c>
      <c r="T34">
        <v>8464022.8937461898</v>
      </c>
      <c r="U34">
        <v>8657534.8253383506</v>
      </c>
      <c r="V34">
        <v>8441033.2616249509</v>
      </c>
      <c r="W34">
        <v>8378134.8646421097</v>
      </c>
      <c r="X34">
        <v>8367377.9374234201</v>
      </c>
      <c r="Y34">
        <v>8482733.4206300303</v>
      </c>
      <c r="Z34">
        <v>8333477.9875801802</v>
      </c>
      <c r="AA34">
        <v>8593605.6808045898</v>
      </c>
      <c r="AB34">
        <v>8524047.1321673691</v>
      </c>
      <c r="AC34">
        <v>8741428.9837696292</v>
      </c>
      <c r="AD34">
        <v>8935890.8279847708</v>
      </c>
      <c r="AE34">
        <v>7988603.8084795196</v>
      </c>
      <c r="AF34">
        <v>7545920.4996729996</v>
      </c>
    </row>
    <row r="35" spans="1:32" x14ac:dyDescent="0.3">
      <c r="A35" t="s">
        <v>16</v>
      </c>
      <c r="B35" t="s">
        <v>152</v>
      </c>
      <c r="C35" t="s">
        <v>86</v>
      </c>
      <c r="D35" t="s">
        <v>153</v>
      </c>
      <c r="E35" t="s">
        <v>87</v>
      </c>
      <c r="F35">
        <v>8036659.1850981601</v>
      </c>
      <c r="G35">
        <v>8647176.8465742208</v>
      </c>
      <c r="H35">
        <v>9038852.8387715407</v>
      </c>
      <c r="I35">
        <v>9904994.3513856605</v>
      </c>
      <c r="J35">
        <v>9757415.0621011499</v>
      </c>
      <c r="K35">
        <v>10639253.21429</v>
      </c>
      <c r="L35">
        <v>10693968.5528576</v>
      </c>
      <c r="M35">
        <v>10425335.6219585</v>
      </c>
      <c r="N35">
        <v>10621251.224199699</v>
      </c>
      <c r="O35">
        <v>10717202.41327</v>
      </c>
      <c r="P35">
        <v>11149078.234342599</v>
      </c>
      <c r="Q35">
        <v>12028332.1028738</v>
      </c>
      <c r="R35">
        <v>11871249.8872924</v>
      </c>
      <c r="S35">
        <v>11406230.565194</v>
      </c>
      <c r="T35">
        <v>11819476.789261101</v>
      </c>
      <c r="U35">
        <v>11275943.283961801</v>
      </c>
      <c r="V35">
        <v>11304659.332022799</v>
      </c>
      <c r="W35">
        <v>10354488.291133201</v>
      </c>
      <c r="X35">
        <v>10498085.694083299</v>
      </c>
      <c r="Y35">
        <v>10315438.0031844</v>
      </c>
      <c r="Z35">
        <v>10830793.999161599</v>
      </c>
      <c r="AA35">
        <v>10926186.6963214</v>
      </c>
      <c r="AB35">
        <v>11307505.456831099</v>
      </c>
      <c r="AC35">
        <v>11553168.683967501</v>
      </c>
      <c r="AD35">
        <v>11514349.650441101</v>
      </c>
      <c r="AE35">
        <v>12018024.8449612</v>
      </c>
      <c r="AF35">
        <v>12223102.707622601</v>
      </c>
    </row>
    <row r="36" spans="1:32" x14ac:dyDescent="0.3">
      <c r="A36" t="s">
        <v>16</v>
      </c>
      <c r="B36" t="s">
        <v>154</v>
      </c>
      <c r="C36" t="s">
        <v>86</v>
      </c>
      <c r="D36" t="s">
        <v>155</v>
      </c>
      <c r="E36" t="s">
        <v>87</v>
      </c>
      <c r="F36">
        <v>2384136.4510598299</v>
      </c>
      <c r="G36">
        <v>2415049.62807727</v>
      </c>
      <c r="H36">
        <v>2503773.74572076</v>
      </c>
      <c r="I36">
        <v>2809101.2452074401</v>
      </c>
      <c r="J36">
        <v>2594261.3173352601</v>
      </c>
      <c r="K36">
        <v>2608978.2216118602</v>
      </c>
      <c r="L36">
        <v>2490612.0177856102</v>
      </c>
      <c r="M36">
        <v>2508689.7201254698</v>
      </c>
      <c r="N36">
        <v>2445577.7824726701</v>
      </c>
      <c r="O36">
        <v>2691947.6318628201</v>
      </c>
      <c r="P36">
        <v>2435365.1452975399</v>
      </c>
      <c r="Q36">
        <v>2728939.4526590402</v>
      </c>
      <c r="R36">
        <v>2758361.0172475898</v>
      </c>
      <c r="S36">
        <v>2836174.7232902702</v>
      </c>
      <c r="T36">
        <v>2759309.4237171002</v>
      </c>
      <c r="U36">
        <v>2815225.7484945301</v>
      </c>
      <c r="V36">
        <v>2693275.1358462102</v>
      </c>
      <c r="W36">
        <v>2015403.70833574</v>
      </c>
      <c r="X36">
        <v>2083811.6598270501</v>
      </c>
      <c r="Y36">
        <v>2113459.3272799798</v>
      </c>
      <c r="Z36">
        <v>2115790.2542339601</v>
      </c>
      <c r="AA36">
        <v>1902343.8733902799</v>
      </c>
      <c r="AB36">
        <v>2097707.62684017</v>
      </c>
      <c r="AC36">
        <v>2045251.47643792</v>
      </c>
      <c r="AD36">
        <v>2069396.9814135199</v>
      </c>
      <c r="AE36">
        <v>2051126.9541080699</v>
      </c>
      <c r="AF36">
        <v>2202937.4654485099</v>
      </c>
    </row>
    <row r="37" spans="1:32" x14ac:dyDescent="0.3">
      <c r="A37" t="s">
        <v>16</v>
      </c>
      <c r="B37" t="s">
        <v>156</v>
      </c>
      <c r="C37" t="s">
        <v>86</v>
      </c>
      <c r="D37" t="s">
        <v>157</v>
      </c>
      <c r="E37" t="s">
        <v>87</v>
      </c>
      <c r="F37">
        <v>1679397.62877149</v>
      </c>
      <c r="G37">
        <v>2027004.9724379501</v>
      </c>
      <c r="H37">
        <v>1936378.51641642</v>
      </c>
      <c r="I37">
        <v>1916011.7202496999</v>
      </c>
      <c r="J37">
        <v>1934618.52746319</v>
      </c>
      <c r="K37">
        <v>2393740.8525419398</v>
      </c>
      <c r="L37">
        <v>2341639.0339892101</v>
      </c>
      <c r="M37">
        <v>2006343.3216212301</v>
      </c>
      <c r="N37">
        <v>1827676.40806317</v>
      </c>
      <c r="O37">
        <v>1620391.22968847</v>
      </c>
      <c r="P37">
        <v>1818068.9677959599</v>
      </c>
      <c r="Q37">
        <v>2073654.66149545</v>
      </c>
      <c r="R37">
        <v>1991153.8471753399</v>
      </c>
      <c r="S37">
        <v>1607324.0611147601</v>
      </c>
      <c r="T37">
        <v>1684675.7580466899</v>
      </c>
      <c r="U37">
        <v>1701710.10669752</v>
      </c>
      <c r="V37">
        <v>1576111.58948054</v>
      </c>
      <c r="W37">
        <v>1461193.9452677199</v>
      </c>
      <c r="X37">
        <v>1624733.04032544</v>
      </c>
      <c r="Y37">
        <v>1531165.1299237099</v>
      </c>
      <c r="Z37">
        <v>1486841.78993997</v>
      </c>
      <c r="AA37">
        <v>1682289.6126162801</v>
      </c>
      <c r="AB37">
        <v>1721304.88868469</v>
      </c>
      <c r="AC37">
        <v>2023614.9085676901</v>
      </c>
      <c r="AD37">
        <v>2004861.74697641</v>
      </c>
      <c r="AE37">
        <v>2189859.2198323901</v>
      </c>
      <c r="AF37">
        <v>2164986.7775718402</v>
      </c>
    </row>
    <row r="38" spans="1:32" x14ac:dyDescent="0.3">
      <c r="A38" t="s">
        <v>16</v>
      </c>
      <c r="B38" t="s">
        <v>158</v>
      </c>
      <c r="C38" t="s">
        <v>86</v>
      </c>
      <c r="D38" t="s">
        <v>159</v>
      </c>
      <c r="E38" t="s">
        <v>87</v>
      </c>
      <c r="F38">
        <v>3973125.1052668402</v>
      </c>
      <c r="G38">
        <v>4205122.2460589996</v>
      </c>
      <c r="H38">
        <v>4598700.5766343595</v>
      </c>
      <c r="I38">
        <v>5179881.38592852</v>
      </c>
      <c r="J38">
        <v>5228535.2173026996</v>
      </c>
      <c r="K38">
        <v>5636534.1401362196</v>
      </c>
      <c r="L38">
        <v>5861717.50108275</v>
      </c>
      <c r="M38">
        <v>5910302.5802118098</v>
      </c>
      <c r="N38">
        <v>6347997.03366384</v>
      </c>
      <c r="O38">
        <v>6404863.5517187202</v>
      </c>
      <c r="P38">
        <v>6895644.1212491104</v>
      </c>
      <c r="Q38">
        <v>7225737.9887193004</v>
      </c>
      <c r="R38">
        <v>7121735.0228694398</v>
      </c>
      <c r="S38">
        <v>6962731.7807889804</v>
      </c>
      <c r="T38">
        <v>7375491.6074972702</v>
      </c>
      <c r="U38">
        <v>6759007.4287697198</v>
      </c>
      <c r="V38">
        <v>7035272.6066960497</v>
      </c>
      <c r="W38">
        <v>6877890.6375297401</v>
      </c>
      <c r="X38">
        <v>6789540.9939307701</v>
      </c>
      <c r="Y38">
        <v>6670813.5459807301</v>
      </c>
      <c r="Z38">
        <v>7228161.9549876899</v>
      </c>
      <c r="AA38">
        <v>7341553.2103148401</v>
      </c>
      <c r="AB38">
        <v>7488492.94130628</v>
      </c>
      <c r="AC38">
        <v>7484302.2989618601</v>
      </c>
      <c r="AD38">
        <v>7440090.9220511299</v>
      </c>
      <c r="AE38">
        <v>7777038.6710207798</v>
      </c>
      <c r="AF38">
        <v>7855178.4646023</v>
      </c>
    </row>
    <row r="39" spans="1:32" x14ac:dyDescent="0.3">
      <c r="A39" t="s">
        <v>16</v>
      </c>
      <c r="B39" t="s">
        <v>160</v>
      </c>
      <c r="C39" t="s">
        <v>86</v>
      </c>
      <c r="D39" t="s">
        <v>161</v>
      </c>
      <c r="E39" t="s">
        <v>87</v>
      </c>
      <c r="F39">
        <v>13656045.9899501</v>
      </c>
      <c r="G39">
        <v>13562564.7327094</v>
      </c>
      <c r="H39">
        <v>13309182.057852199</v>
      </c>
      <c r="I39">
        <v>13051570.466452099</v>
      </c>
      <c r="J39">
        <v>12378411.2483445</v>
      </c>
      <c r="K39">
        <v>12576047.818578901</v>
      </c>
      <c r="L39">
        <v>11429619.8826579</v>
      </c>
      <c r="M39">
        <v>11532732.8539457</v>
      </c>
      <c r="N39">
        <v>11171482.7746283</v>
      </c>
      <c r="O39">
        <v>11201121.2337566</v>
      </c>
      <c r="P39">
        <v>11556781.1624444</v>
      </c>
      <c r="Q39">
        <v>11914508.4486594</v>
      </c>
      <c r="R39">
        <v>11554988.940550899</v>
      </c>
      <c r="S39">
        <v>11411479.340642801</v>
      </c>
      <c r="T39">
        <v>10919555.185291501</v>
      </c>
      <c r="U39">
        <v>10889084.9735217</v>
      </c>
      <c r="V39">
        <v>9988650.8079980295</v>
      </c>
      <c r="W39">
        <v>10228735.735127199</v>
      </c>
      <c r="X39">
        <v>9786337.9512556307</v>
      </c>
      <c r="Y39">
        <v>9358305.0839154907</v>
      </c>
      <c r="Z39">
        <v>9521589.61392528</v>
      </c>
      <c r="AA39">
        <v>9703838.1945486497</v>
      </c>
      <c r="AB39">
        <v>10178307.542158499</v>
      </c>
      <c r="AC39">
        <v>9820217.2274033297</v>
      </c>
      <c r="AD39">
        <v>9765165.2567580901</v>
      </c>
      <c r="AE39">
        <v>9680326.0722769294</v>
      </c>
      <c r="AF39">
        <v>9732620.6768973898</v>
      </c>
    </row>
    <row r="40" spans="1:32" x14ac:dyDescent="0.3">
      <c r="A40" t="s">
        <v>16</v>
      </c>
      <c r="B40" t="s">
        <v>162</v>
      </c>
      <c r="C40" t="s">
        <v>86</v>
      </c>
      <c r="D40" t="s">
        <v>163</v>
      </c>
      <c r="E40" t="s">
        <v>87</v>
      </c>
      <c r="F40">
        <v>4527473.2264613602</v>
      </c>
      <c r="G40">
        <v>4688152.0203871401</v>
      </c>
      <c r="H40">
        <v>4677308.7923838999</v>
      </c>
      <c r="I40">
        <v>4852845.3876354704</v>
      </c>
      <c r="J40">
        <v>4720313.5852252701</v>
      </c>
      <c r="K40">
        <v>5113940.8486414198</v>
      </c>
      <c r="L40">
        <v>4763192.3761079898</v>
      </c>
      <c r="M40">
        <v>5036310.3498832704</v>
      </c>
      <c r="N40">
        <v>5284465.18046223</v>
      </c>
      <c r="O40">
        <v>5564841.1595115196</v>
      </c>
      <c r="P40">
        <v>5511919.9006518796</v>
      </c>
      <c r="Q40">
        <v>6032018.9220785098</v>
      </c>
      <c r="R40">
        <v>6327629.4811130604</v>
      </c>
      <c r="S40">
        <v>6449666.8086133599</v>
      </c>
      <c r="T40">
        <v>6583335.3396089599</v>
      </c>
      <c r="U40">
        <v>6687362.7292670803</v>
      </c>
      <c r="V40">
        <v>6338750.3953936696</v>
      </c>
      <c r="W40">
        <v>6645845.3848090796</v>
      </c>
      <c r="X40">
        <v>6504618.8847551402</v>
      </c>
      <c r="Y40">
        <v>5868024.3682263996</v>
      </c>
      <c r="Z40">
        <v>5949781.7610171204</v>
      </c>
      <c r="AA40">
        <v>6320826.7504918296</v>
      </c>
      <c r="AB40">
        <v>7049545.56390181</v>
      </c>
      <c r="AC40">
        <v>7378419.6080506202</v>
      </c>
      <c r="AD40">
        <v>7166147.4427266801</v>
      </c>
      <c r="AE40">
        <v>7630438.4330784399</v>
      </c>
      <c r="AF40">
        <v>7635195.1096136598</v>
      </c>
    </row>
    <row r="41" spans="1:32" x14ac:dyDescent="0.3">
      <c r="A41" t="s">
        <v>16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16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16</v>
      </c>
      <c r="B43" t="s">
        <v>168</v>
      </c>
      <c r="C43" t="s">
        <v>86</v>
      </c>
      <c r="D43" t="s">
        <v>169</v>
      </c>
      <c r="E43" t="s">
        <v>87</v>
      </c>
      <c r="F43">
        <v>17037977.8763052</v>
      </c>
      <c r="G43">
        <v>17189537.636778701</v>
      </c>
      <c r="H43">
        <v>17696846.9782435</v>
      </c>
      <c r="I43">
        <v>18083355.947238401</v>
      </c>
      <c r="J43">
        <v>17547080.078954801</v>
      </c>
      <c r="K43">
        <v>17526948.3693901</v>
      </c>
      <c r="L43">
        <v>17750637.281055</v>
      </c>
      <c r="M43">
        <v>17176084.907841999</v>
      </c>
      <c r="N43">
        <v>17757541.902002901</v>
      </c>
      <c r="O43">
        <v>19041569.391571701</v>
      </c>
      <c r="P43">
        <v>19127005.161649901</v>
      </c>
      <c r="Q43">
        <v>21210104.897574998</v>
      </c>
      <c r="R43">
        <v>21686361.510857299</v>
      </c>
      <c r="S43">
        <v>21863027.409589302</v>
      </c>
      <c r="T43">
        <v>21274651.573633298</v>
      </c>
      <c r="U43">
        <v>20847974.4703869</v>
      </c>
      <c r="V43">
        <v>22066361.415513702</v>
      </c>
      <c r="W43">
        <v>22671722.397600301</v>
      </c>
      <c r="X43">
        <v>23300861.1756487</v>
      </c>
      <c r="Y43">
        <v>23793418.0606605</v>
      </c>
      <c r="Z43">
        <v>24657585.961270701</v>
      </c>
      <c r="AA43">
        <v>26281508.062576901</v>
      </c>
      <c r="AB43">
        <v>27082300.519469</v>
      </c>
      <c r="AC43">
        <v>27311139.755137399</v>
      </c>
      <c r="AD43">
        <v>28479706.3681954</v>
      </c>
      <c r="AE43">
        <v>27752257.543428998</v>
      </c>
      <c r="AF43">
        <v>28776622.8749277</v>
      </c>
    </row>
    <row r="44" spans="1:32" x14ac:dyDescent="0.3">
      <c r="A44" t="s">
        <v>16</v>
      </c>
      <c r="B44" t="s">
        <v>170</v>
      </c>
      <c r="C44" t="s">
        <v>86</v>
      </c>
      <c r="D44" t="s">
        <v>171</v>
      </c>
      <c r="E44" t="s">
        <v>87</v>
      </c>
      <c r="F44">
        <v>235117236.89072701</v>
      </c>
      <c r="G44">
        <v>236692838.46312699</v>
      </c>
      <c r="H44">
        <v>240022780.98831099</v>
      </c>
      <c r="I44">
        <v>233801041.42507201</v>
      </c>
      <c r="J44">
        <v>228677728.98493201</v>
      </c>
      <c r="K44">
        <v>229484600.60733601</v>
      </c>
      <c r="L44">
        <v>220391226.27451801</v>
      </c>
      <c r="M44">
        <v>210749683.45518401</v>
      </c>
      <c r="N44">
        <v>209441094.48269099</v>
      </c>
      <c r="O44">
        <v>213135207.43729901</v>
      </c>
      <c r="P44">
        <v>213693364.9316</v>
      </c>
      <c r="Q44">
        <v>219864677.41679099</v>
      </c>
      <c r="R44">
        <v>216938620.175468</v>
      </c>
      <c r="S44">
        <v>211710021.21397999</v>
      </c>
      <c r="T44">
        <v>198506628.89687601</v>
      </c>
      <c r="U44">
        <v>198017780.08072901</v>
      </c>
      <c r="V44">
        <v>195430295.76159</v>
      </c>
      <c r="W44">
        <v>196151739.535166</v>
      </c>
      <c r="X44">
        <v>195133913.59396201</v>
      </c>
      <c r="Y44">
        <v>197151455.116873</v>
      </c>
      <c r="Z44">
        <v>202297288.88079301</v>
      </c>
      <c r="AA44">
        <v>206279618.24342999</v>
      </c>
      <c r="AB44">
        <v>212952672.158748</v>
      </c>
      <c r="AC44">
        <v>214658074.707201</v>
      </c>
      <c r="AD44">
        <v>215598531.23280999</v>
      </c>
      <c r="AE44">
        <v>206952380.99598801</v>
      </c>
      <c r="AF44">
        <v>209502798.749201</v>
      </c>
    </row>
    <row r="45" spans="1:32" x14ac:dyDescent="0.3">
      <c r="A45" t="s">
        <v>16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16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16</v>
      </c>
      <c r="B47" t="s">
        <v>176</v>
      </c>
      <c r="C47" t="s">
        <v>86</v>
      </c>
      <c r="D47" t="s">
        <v>177</v>
      </c>
      <c r="E47" t="s">
        <v>87</v>
      </c>
      <c r="F47">
        <v>16566662.1112308</v>
      </c>
      <c r="G47">
        <v>16016741.997449201</v>
      </c>
      <c r="H47">
        <v>16231187.126865299</v>
      </c>
      <c r="I47">
        <v>16822375.074618801</v>
      </c>
      <c r="J47">
        <v>17174252.268890101</v>
      </c>
      <c r="K47">
        <v>16908957.622121099</v>
      </c>
      <c r="L47">
        <v>16696245.118991099</v>
      </c>
      <c r="M47">
        <v>17634530.489954099</v>
      </c>
      <c r="N47">
        <v>18406783.851038098</v>
      </c>
      <c r="O47">
        <v>19026897.4030248</v>
      </c>
      <c r="P47">
        <v>19104786.3679116</v>
      </c>
      <c r="Q47">
        <v>19061440.455428399</v>
      </c>
      <c r="R47">
        <v>18900688.672476199</v>
      </c>
      <c r="S47">
        <v>18019539.199772399</v>
      </c>
      <c r="T47">
        <v>18331520.347811501</v>
      </c>
      <c r="U47">
        <v>17710230.050434399</v>
      </c>
      <c r="V47">
        <v>17543648.028462399</v>
      </c>
      <c r="W47">
        <v>17222646.041161899</v>
      </c>
      <c r="X47">
        <v>16732062.850526599</v>
      </c>
      <c r="Y47">
        <v>16539756.943416201</v>
      </c>
      <c r="Z47">
        <v>16726930.616452901</v>
      </c>
      <c r="AA47">
        <v>16666402.301626099</v>
      </c>
      <c r="AB47">
        <v>17037987.218041599</v>
      </c>
      <c r="AC47">
        <v>16616374.3939298</v>
      </c>
      <c r="AD47">
        <v>17709395.033964999</v>
      </c>
      <c r="AE47">
        <v>17586217.8349136</v>
      </c>
      <c r="AF47">
        <v>17569790.920818899</v>
      </c>
    </row>
    <row r="48" spans="1:32" x14ac:dyDescent="0.3">
      <c r="A48" t="s">
        <v>16</v>
      </c>
      <c r="B48" t="s">
        <v>178</v>
      </c>
      <c r="C48" t="s">
        <v>86</v>
      </c>
      <c r="D48" t="s">
        <v>179</v>
      </c>
      <c r="E48" t="s">
        <v>87</v>
      </c>
      <c r="F48">
        <v>49136579.092497699</v>
      </c>
      <c r="G48">
        <v>49598408.947830603</v>
      </c>
      <c r="H48">
        <v>52411090.113595903</v>
      </c>
      <c r="I48">
        <v>55124554.3862653</v>
      </c>
      <c r="J48">
        <v>56750773.803925</v>
      </c>
      <c r="K48">
        <v>56558186.138264403</v>
      </c>
      <c r="L48">
        <v>55054973.487437598</v>
      </c>
      <c r="M48">
        <v>56157019.605292901</v>
      </c>
      <c r="N48">
        <v>58006535.231920898</v>
      </c>
      <c r="O48">
        <v>61069108.458183803</v>
      </c>
      <c r="P48">
        <v>61543033.267159797</v>
      </c>
      <c r="Q48">
        <v>63290639.7036696</v>
      </c>
      <c r="R48">
        <v>63442551.7373868</v>
      </c>
      <c r="S48">
        <v>64695030.189463198</v>
      </c>
      <c r="T48">
        <v>67111151.637570396</v>
      </c>
      <c r="U48">
        <v>67942140.597139403</v>
      </c>
      <c r="V48">
        <v>69195168.757104695</v>
      </c>
      <c r="W48">
        <v>67843807.624110103</v>
      </c>
      <c r="X48">
        <v>68220069.017867699</v>
      </c>
      <c r="Y48">
        <v>67896814.986885801</v>
      </c>
      <c r="Z48">
        <v>69390841.488006204</v>
      </c>
      <c r="AA48">
        <v>70827216.970272303</v>
      </c>
      <c r="AB48">
        <v>73951347.3489988</v>
      </c>
      <c r="AC48">
        <v>73152109.175407007</v>
      </c>
      <c r="AD48">
        <v>75344666.618361905</v>
      </c>
      <c r="AE48">
        <v>73914282.692948103</v>
      </c>
      <c r="AF48">
        <v>74548242.5653148</v>
      </c>
    </row>
    <row r="49" spans="1:32" x14ac:dyDescent="0.3">
      <c r="A49" t="s">
        <v>16</v>
      </c>
      <c r="B49" t="s">
        <v>180</v>
      </c>
      <c r="C49" t="s">
        <v>86</v>
      </c>
      <c r="D49" t="s">
        <v>181</v>
      </c>
      <c r="E49" t="s">
        <v>87</v>
      </c>
      <c r="F49">
        <v>14053139.7803124</v>
      </c>
      <c r="G49">
        <v>14455138.3879536</v>
      </c>
      <c r="H49">
        <v>15493263.3053586</v>
      </c>
      <c r="I49">
        <v>16665685.4151948</v>
      </c>
      <c r="J49">
        <v>17216313.816207699</v>
      </c>
      <c r="K49">
        <v>17024197.517032102</v>
      </c>
      <c r="L49">
        <v>16047895.8752467</v>
      </c>
      <c r="M49">
        <v>16130610.607701899</v>
      </c>
      <c r="N49">
        <v>16288433.7400475</v>
      </c>
      <c r="O49">
        <v>17378343.006778002</v>
      </c>
      <c r="P49">
        <v>17221767.921217699</v>
      </c>
      <c r="Q49">
        <v>17189126.472096398</v>
      </c>
      <c r="R49">
        <v>17332846.505624801</v>
      </c>
      <c r="S49">
        <v>17583772.7232145</v>
      </c>
      <c r="T49">
        <v>18458041.945504598</v>
      </c>
      <c r="U49">
        <v>18503742.340099499</v>
      </c>
      <c r="V49">
        <v>18516356.275959801</v>
      </c>
      <c r="W49">
        <v>17231211.465169702</v>
      </c>
      <c r="X49">
        <v>16606847.2687451</v>
      </c>
      <c r="Y49">
        <v>16089333.780891599</v>
      </c>
      <c r="Z49">
        <v>15961027.5599952</v>
      </c>
      <c r="AA49">
        <v>15830465.352006599</v>
      </c>
      <c r="AB49">
        <v>16523735.9779562</v>
      </c>
      <c r="AC49">
        <v>16360950.1772267</v>
      </c>
      <c r="AD49">
        <v>16476768.834866</v>
      </c>
      <c r="AE49">
        <v>13984676.421210701</v>
      </c>
      <c r="AF49">
        <v>14269122.124280799</v>
      </c>
    </row>
    <row r="50" spans="1:32" x14ac:dyDescent="0.3">
      <c r="A50" t="s">
        <v>16</v>
      </c>
      <c r="B50" t="s">
        <v>182</v>
      </c>
      <c r="C50" t="s">
        <v>86</v>
      </c>
      <c r="D50" t="s">
        <v>183</v>
      </c>
      <c r="E50" t="s">
        <v>87</v>
      </c>
      <c r="F50">
        <v>18516777.200954501</v>
      </c>
      <c r="G50">
        <v>19126528.5624278</v>
      </c>
      <c r="H50">
        <v>20686639.681372002</v>
      </c>
      <c r="I50">
        <v>21636493.8964517</v>
      </c>
      <c r="J50">
        <v>22360207.718827199</v>
      </c>
      <c r="K50">
        <v>22625030.999111202</v>
      </c>
      <c r="L50">
        <v>22310832.493199799</v>
      </c>
      <c r="M50">
        <v>22391878.507636901</v>
      </c>
      <c r="N50">
        <v>23311317.6408353</v>
      </c>
      <c r="O50">
        <v>24663868.048381001</v>
      </c>
      <c r="P50">
        <v>25216478.978030499</v>
      </c>
      <c r="Q50">
        <v>27040072.776144799</v>
      </c>
      <c r="R50">
        <v>27209016.559285801</v>
      </c>
      <c r="S50">
        <v>29091718.2664763</v>
      </c>
      <c r="T50">
        <v>30321589.3442543</v>
      </c>
      <c r="U50">
        <v>31728168.206605501</v>
      </c>
      <c r="V50">
        <v>33135164.452682499</v>
      </c>
      <c r="W50">
        <v>33389950.117778599</v>
      </c>
      <c r="X50">
        <v>34881158.898596004</v>
      </c>
      <c r="Y50">
        <v>35267724.262578003</v>
      </c>
      <c r="Z50">
        <v>36702883.311558098</v>
      </c>
      <c r="AA50">
        <v>38330349.316639602</v>
      </c>
      <c r="AB50">
        <v>40389624.153001003</v>
      </c>
      <c r="AC50">
        <v>40174784.604250498</v>
      </c>
      <c r="AD50">
        <v>41158502.749530897</v>
      </c>
      <c r="AE50">
        <v>42343388.4368238</v>
      </c>
      <c r="AF50">
        <v>42709329.520215102</v>
      </c>
    </row>
    <row r="51" spans="1:32" x14ac:dyDescent="0.3">
      <c r="A51" t="s">
        <v>16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16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16</v>
      </c>
      <c r="B53" t="s">
        <v>188</v>
      </c>
      <c r="C53" t="s">
        <v>86</v>
      </c>
      <c r="D53" t="s">
        <v>189</v>
      </c>
      <c r="E53" t="s">
        <v>87</v>
      </c>
      <c r="F53">
        <v>3581162.8209075099</v>
      </c>
      <c r="G53">
        <v>3576523.9264697498</v>
      </c>
      <c r="H53">
        <v>3472441.32051613</v>
      </c>
      <c r="I53">
        <v>3329997.3770723301</v>
      </c>
      <c r="J53">
        <v>3196931.16398264</v>
      </c>
      <c r="K53">
        <v>3123718.09372096</v>
      </c>
      <c r="L53">
        <v>3023968.79045422</v>
      </c>
      <c r="M53">
        <v>2944848.02797919</v>
      </c>
      <c r="N53">
        <v>2941863.2762778299</v>
      </c>
      <c r="O53">
        <v>3019056.8058653902</v>
      </c>
      <c r="P53">
        <v>2738284.8925042502</v>
      </c>
      <c r="Q53">
        <v>2849314.1841760301</v>
      </c>
      <c r="R53">
        <v>2793144.61629675</v>
      </c>
      <c r="S53">
        <v>2814389.9957756698</v>
      </c>
      <c r="T53">
        <v>3107102.9123272598</v>
      </c>
      <c r="U53">
        <v>3052362.7214955101</v>
      </c>
      <c r="V53">
        <v>2962048.7689288198</v>
      </c>
      <c r="W53">
        <v>2888272.7568701198</v>
      </c>
      <c r="X53">
        <v>2800157.65106236</v>
      </c>
      <c r="Y53">
        <v>2767272.9055132298</v>
      </c>
      <c r="Z53">
        <v>2795092.44632868</v>
      </c>
      <c r="AA53">
        <v>2933992.9505951698</v>
      </c>
      <c r="AB53">
        <v>3152067.20475255</v>
      </c>
      <c r="AC53">
        <v>3181710.83041897</v>
      </c>
      <c r="AD53">
        <v>3183365.2120415699</v>
      </c>
      <c r="AE53">
        <v>3156072.58604598</v>
      </c>
      <c r="AF53">
        <v>3041707.7497181199</v>
      </c>
    </row>
    <row r="54" spans="1:32" x14ac:dyDescent="0.3">
      <c r="A54" t="s">
        <v>16</v>
      </c>
      <c r="B54" t="s">
        <v>190</v>
      </c>
      <c r="C54" t="s">
        <v>86</v>
      </c>
      <c r="D54" t="s">
        <v>191</v>
      </c>
      <c r="E54" t="s">
        <v>87</v>
      </c>
      <c r="F54">
        <v>14590460.6618942</v>
      </c>
      <c r="G54">
        <v>14364950.074509401</v>
      </c>
      <c r="H54">
        <v>14176666.395852201</v>
      </c>
      <c r="I54">
        <v>13984654.6588239</v>
      </c>
      <c r="J54">
        <v>13446442.6177896</v>
      </c>
      <c r="K54">
        <v>13581933.4081646</v>
      </c>
      <c r="L54">
        <v>13717195.511822</v>
      </c>
      <c r="M54">
        <v>13639534.775601599</v>
      </c>
      <c r="N54">
        <v>13447586.7678445</v>
      </c>
      <c r="O54">
        <v>14163312.33382</v>
      </c>
      <c r="P54">
        <v>13709743.4611095</v>
      </c>
      <c r="Q54">
        <v>14637506.121269301</v>
      </c>
      <c r="R54">
        <v>14555934.49972</v>
      </c>
      <c r="S54">
        <v>14593377.5712115</v>
      </c>
      <c r="T54">
        <v>15024200.5276275</v>
      </c>
      <c r="U54">
        <v>15010274.985577701</v>
      </c>
      <c r="V54">
        <v>14426530.3939064</v>
      </c>
      <c r="W54">
        <v>13678380.8009478</v>
      </c>
      <c r="X54">
        <v>12787311.638638601</v>
      </c>
      <c r="Y54">
        <v>12017684.9991326</v>
      </c>
      <c r="Z54">
        <v>11466031.8808978</v>
      </c>
      <c r="AA54">
        <v>11700620.938332001</v>
      </c>
      <c r="AB54">
        <v>12260043.2494171</v>
      </c>
      <c r="AC54">
        <v>12298842.6030614</v>
      </c>
      <c r="AD54">
        <v>12569319.643696699</v>
      </c>
      <c r="AE54">
        <v>12333512.7949678</v>
      </c>
      <c r="AF54">
        <v>12193533.2062978</v>
      </c>
    </row>
    <row r="55" spans="1:32" x14ac:dyDescent="0.3">
      <c r="A55" t="s">
        <v>16</v>
      </c>
      <c r="B55" t="s">
        <v>192</v>
      </c>
      <c r="C55" t="s">
        <v>86</v>
      </c>
      <c r="D55" t="s">
        <v>193</v>
      </c>
      <c r="E55" t="s">
        <v>87</v>
      </c>
      <c r="F55">
        <v>11009297.840986701</v>
      </c>
      <c r="G55">
        <v>10788426.1480397</v>
      </c>
      <c r="H55">
        <v>10704225.075336101</v>
      </c>
      <c r="I55">
        <v>10654657.281751599</v>
      </c>
      <c r="J55">
        <v>10249511.453807</v>
      </c>
      <c r="K55">
        <v>10458215.314443599</v>
      </c>
      <c r="L55">
        <v>10693226.721367801</v>
      </c>
      <c r="M55">
        <v>10694686.747622401</v>
      </c>
      <c r="N55">
        <v>10505723.491566701</v>
      </c>
      <c r="O55">
        <v>11144255.527954601</v>
      </c>
      <c r="P55">
        <v>10971458.5686053</v>
      </c>
      <c r="Q55">
        <v>11788191.937093301</v>
      </c>
      <c r="R55">
        <v>11762789.8834232</v>
      </c>
      <c r="S55">
        <v>11778987.5754358</v>
      </c>
      <c r="T55">
        <v>11917097.615300201</v>
      </c>
      <c r="U55">
        <v>11957912.264082201</v>
      </c>
      <c r="V55">
        <v>11464481.6249776</v>
      </c>
      <c r="W55">
        <v>10790108.0440777</v>
      </c>
      <c r="X55">
        <v>9987153.9875762705</v>
      </c>
      <c r="Y55">
        <v>9250412.0936193597</v>
      </c>
      <c r="Z55">
        <v>8670939.4345690906</v>
      </c>
      <c r="AA55">
        <v>8766627.98773681</v>
      </c>
      <c r="AB55">
        <v>9107976.0446645599</v>
      </c>
      <c r="AC55">
        <v>9117131.7726424504</v>
      </c>
      <c r="AD55">
        <v>9385954.4316551704</v>
      </c>
      <c r="AE55">
        <v>9177440.2089218609</v>
      </c>
      <c r="AF55">
        <v>9151825.4565797094</v>
      </c>
    </row>
    <row r="56" spans="1:32" x14ac:dyDescent="0.3">
      <c r="A56" t="s">
        <v>16</v>
      </c>
      <c r="B56" t="s">
        <v>194</v>
      </c>
      <c r="C56" t="s">
        <v>86</v>
      </c>
      <c r="D56" t="s">
        <v>195</v>
      </c>
      <c r="E56" t="s">
        <v>87</v>
      </c>
      <c r="F56">
        <v>57130.060701513998</v>
      </c>
      <c r="G56">
        <v>55206.698828482498</v>
      </c>
      <c r="H56">
        <v>54467.952578502998</v>
      </c>
      <c r="I56">
        <v>52942.235406931402</v>
      </c>
      <c r="J56">
        <v>50356.719824060499</v>
      </c>
      <c r="K56">
        <v>46773.1205351526</v>
      </c>
      <c r="L56">
        <v>45673.166601546603</v>
      </c>
      <c r="M56">
        <v>41267.203071392098</v>
      </c>
      <c r="N56">
        <v>38295.311787744402</v>
      </c>
      <c r="O56">
        <v>36579.5976579868</v>
      </c>
      <c r="P56">
        <v>36864.388798289903</v>
      </c>
      <c r="Q56">
        <v>39455.187055219802</v>
      </c>
      <c r="R56">
        <v>39678.027457738601</v>
      </c>
      <c r="S56">
        <v>40080.068013820201</v>
      </c>
      <c r="T56">
        <v>41436.773785570498</v>
      </c>
      <c r="U56">
        <v>42574.050543584402</v>
      </c>
      <c r="V56">
        <v>44685.538362647101</v>
      </c>
      <c r="W56">
        <v>47926.0827145492</v>
      </c>
      <c r="X56">
        <v>54078.616169044501</v>
      </c>
      <c r="Y56">
        <v>60681.821414684702</v>
      </c>
      <c r="Z56">
        <v>62300.876969039396</v>
      </c>
      <c r="AA56">
        <v>58667.722969850503</v>
      </c>
      <c r="AB56">
        <v>59513.146313675803</v>
      </c>
      <c r="AC56">
        <v>58631.107438578503</v>
      </c>
      <c r="AD56">
        <v>58379.819403867201</v>
      </c>
      <c r="AE56">
        <v>55513.3496547022</v>
      </c>
      <c r="AF56">
        <v>56041.0599837798</v>
      </c>
    </row>
    <row r="57" spans="1:32" x14ac:dyDescent="0.3">
      <c r="A57" t="s">
        <v>16</v>
      </c>
      <c r="B57" t="s">
        <v>196</v>
      </c>
      <c r="C57" t="s">
        <v>86</v>
      </c>
      <c r="D57" t="s">
        <v>197</v>
      </c>
      <c r="E57" t="s">
        <v>87</v>
      </c>
      <c r="F57">
        <v>288838419.27038801</v>
      </c>
      <c r="G57">
        <v>291034606.13017303</v>
      </c>
      <c r="H57">
        <v>297165647.84686899</v>
      </c>
      <c r="I57">
        <v>293831383.43437999</v>
      </c>
      <c r="J57">
        <v>290199173.093907</v>
      </c>
      <c r="K57">
        <v>291203500.71477699</v>
      </c>
      <c r="L57">
        <v>280255065.30466503</v>
      </c>
      <c r="M57">
        <v>271984280.61343199</v>
      </c>
      <c r="N57">
        <v>272770390.20686197</v>
      </c>
      <c r="O57">
        <v>279805736.65265298</v>
      </c>
      <c r="P57">
        <v>280785182.48821002</v>
      </c>
      <c r="Q57">
        <v>289226791.22959399</v>
      </c>
      <c r="R57">
        <v>286748479.421426</v>
      </c>
      <c r="S57">
        <v>282894798.28007102</v>
      </c>
      <c r="T57">
        <v>272242552.64784098</v>
      </c>
      <c r="U57">
        <v>272689857.45767999</v>
      </c>
      <c r="V57">
        <v>271008900.45245099</v>
      </c>
      <c r="W57">
        <v>270689318.6268</v>
      </c>
      <c r="X57">
        <v>269912680.11275399</v>
      </c>
      <c r="Y57">
        <v>270976976.29339999</v>
      </c>
      <c r="Z57">
        <v>277700213.00678498</v>
      </c>
      <c r="AA57">
        <v>283486329.68716401</v>
      </c>
      <c r="AB57">
        <v>294013078.21796203</v>
      </c>
      <c r="AC57">
        <v>295247234.59809703</v>
      </c>
      <c r="AD57">
        <v>298167725.11330199</v>
      </c>
      <c r="AE57">
        <v>288552615.47166902</v>
      </c>
      <c r="AF57">
        <v>291742277.48411399</v>
      </c>
    </row>
    <row r="58" spans="1:32" x14ac:dyDescent="0.3">
      <c r="A58" t="s">
        <v>16</v>
      </c>
      <c r="B58" t="s">
        <v>198</v>
      </c>
      <c r="C58" t="s">
        <v>86</v>
      </c>
      <c r="D58" t="s">
        <v>199</v>
      </c>
      <c r="E58" t="s">
        <v>87</v>
      </c>
      <c r="F58">
        <v>288781289.20968699</v>
      </c>
      <c r="G58">
        <v>290979399.43134397</v>
      </c>
      <c r="H58">
        <v>297111179.89429098</v>
      </c>
      <c r="I58">
        <v>293778441.198973</v>
      </c>
      <c r="J58">
        <v>290148816.37408298</v>
      </c>
      <c r="K58">
        <v>291156727.59424102</v>
      </c>
      <c r="L58">
        <v>280209392.13806301</v>
      </c>
      <c r="M58">
        <v>271943013.41035998</v>
      </c>
      <c r="N58">
        <v>272732094.89507401</v>
      </c>
      <c r="O58">
        <v>279769157.054995</v>
      </c>
      <c r="P58">
        <v>280748318.09941202</v>
      </c>
      <c r="Q58">
        <v>289187336.042539</v>
      </c>
      <c r="R58">
        <v>286708801.39396799</v>
      </c>
      <c r="S58">
        <v>282854718.21205699</v>
      </c>
      <c r="T58">
        <v>272201115.87405503</v>
      </c>
      <c r="U58">
        <v>272647283.40713602</v>
      </c>
      <c r="V58">
        <v>270964214.91408801</v>
      </c>
      <c r="W58">
        <v>270641392.54408598</v>
      </c>
      <c r="X58">
        <v>269858601.49658501</v>
      </c>
      <c r="Y58">
        <v>270916294.47198498</v>
      </c>
      <c r="Z58">
        <v>277637912.129816</v>
      </c>
      <c r="AA58">
        <v>283427661.964194</v>
      </c>
      <c r="AB58">
        <v>293953565.071648</v>
      </c>
      <c r="AC58">
        <v>295188603.490659</v>
      </c>
      <c r="AD58">
        <v>298109345.29389799</v>
      </c>
      <c r="AE58">
        <v>288497102.122015</v>
      </c>
      <c r="AF58">
        <v>291686236.42413002</v>
      </c>
    </row>
    <row r="59" spans="1:32" x14ac:dyDescent="0.3">
      <c r="A59" t="s">
        <v>16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18</v>
      </c>
      <c r="B2" t="s">
        <v>84</v>
      </c>
      <c r="C2" t="s">
        <v>86</v>
      </c>
      <c r="D2" t="s">
        <v>85</v>
      </c>
      <c r="E2" t="s">
        <v>87</v>
      </c>
      <c r="F2">
        <v>4912242.265625</v>
      </c>
      <c r="G2">
        <v>4760100.6328125</v>
      </c>
      <c r="H2">
        <v>4633931.3359375</v>
      </c>
      <c r="I2">
        <v>4524881.96875</v>
      </c>
      <c r="J2">
        <v>4391760.015625</v>
      </c>
      <c r="K2">
        <v>4230667.1796875</v>
      </c>
      <c r="L2">
        <v>4038039.328125</v>
      </c>
      <c r="M2">
        <v>3790572.6171875</v>
      </c>
      <c r="N2">
        <v>3759095.4765625</v>
      </c>
      <c r="O2">
        <v>3672858.546875</v>
      </c>
      <c r="P2">
        <v>3613360.41796875</v>
      </c>
      <c r="Q2">
        <v>3481301.5625</v>
      </c>
      <c r="R2">
        <v>3476467.2578125</v>
      </c>
      <c r="S2">
        <v>3397914.15625</v>
      </c>
      <c r="T2">
        <v>3296066.2109375</v>
      </c>
      <c r="U2">
        <v>3149787.4296875</v>
      </c>
      <c r="V2">
        <v>3025020.015625</v>
      </c>
      <c r="W2">
        <v>2936252.890625</v>
      </c>
      <c r="X2">
        <v>2858371.4140625</v>
      </c>
      <c r="Y2">
        <v>2817051.1015625</v>
      </c>
      <c r="Z2">
        <v>2782150.0625</v>
      </c>
      <c r="AA2">
        <v>2708457.9765625</v>
      </c>
      <c r="AB2">
        <v>2694078.859375</v>
      </c>
      <c r="AC2">
        <v>2784709.2578125</v>
      </c>
      <c r="AD2">
        <v>2753941.0546875</v>
      </c>
      <c r="AE2">
        <v>2626704.6171875</v>
      </c>
      <c r="AF2">
        <v>2558249.5</v>
      </c>
    </row>
    <row r="3" spans="1:32" x14ac:dyDescent="0.3">
      <c r="A3" t="s">
        <v>18</v>
      </c>
      <c r="B3" t="s">
        <v>88</v>
      </c>
      <c r="C3" t="s">
        <v>86</v>
      </c>
      <c r="D3" t="s">
        <v>89</v>
      </c>
      <c r="E3" t="s">
        <v>87</v>
      </c>
      <c r="F3">
        <v>77721.3984375</v>
      </c>
      <c r="G3">
        <v>77816.234375</v>
      </c>
      <c r="H3">
        <v>87997.4453125</v>
      </c>
      <c r="I3">
        <v>79203.203125</v>
      </c>
      <c r="J3">
        <v>78440.4140625</v>
      </c>
      <c r="K3">
        <v>77413.71875</v>
      </c>
      <c r="L3">
        <v>75707.6640625</v>
      </c>
      <c r="M3">
        <v>64527.921875</v>
      </c>
      <c r="N3">
        <v>63014.0390625</v>
      </c>
      <c r="O3">
        <v>51428.203125</v>
      </c>
      <c r="P3">
        <v>50457.91796875</v>
      </c>
      <c r="Q3">
        <v>50593.1796875</v>
      </c>
      <c r="R3">
        <v>50907.08203125</v>
      </c>
      <c r="S3">
        <v>40276.984375</v>
      </c>
      <c r="T3">
        <v>49432.61328125</v>
      </c>
      <c r="U3">
        <v>48283.78125</v>
      </c>
      <c r="V3">
        <v>40867.02734375</v>
      </c>
      <c r="W3">
        <v>40988.16015625</v>
      </c>
      <c r="X3">
        <v>41241.99609375</v>
      </c>
      <c r="Y3">
        <v>52758.65234375</v>
      </c>
      <c r="Z3">
        <v>53763.02734375</v>
      </c>
      <c r="AA3">
        <v>43479.51953125</v>
      </c>
      <c r="AB3">
        <v>53185.265625</v>
      </c>
      <c r="AC3">
        <v>42964.4140625</v>
      </c>
      <c r="AD3">
        <v>42788.37890625</v>
      </c>
      <c r="AE3">
        <v>42877.6484375</v>
      </c>
      <c r="AF3">
        <v>43462.48046875</v>
      </c>
    </row>
    <row r="4" spans="1:32" x14ac:dyDescent="0.3">
      <c r="A4" t="s">
        <v>18</v>
      </c>
      <c r="B4" t="s">
        <v>90</v>
      </c>
      <c r="C4" t="s">
        <v>86</v>
      </c>
      <c r="D4" t="s">
        <v>91</v>
      </c>
      <c r="E4" t="s">
        <v>87</v>
      </c>
      <c r="F4">
        <v>14776748.1367188</v>
      </c>
      <c r="G4">
        <v>14663364.318115201</v>
      </c>
      <c r="H4">
        <v>14627023.322998</v>
      </c>
      <c r="I4">
        <v>14005209.256347699</v>
      </c>
      <c r="J4">
        <v>13614774.880371099</v>
      </c>
      <c r="K4">
        <v>13372770.966308599</v>
      </c>
      <c r="L4">
        <v>12991820.4145508</v>
      </c>
      <c r="M4">
        <v>12367735.142578101</v>
      </c>
      <c r="N4">
        <v>11950529.502685601</v>
      </c>
      <c r="O4">
        <v>11661732.902832</v>
      </c>
      <c r="P4">
        <v>11591177.645996099</v>
      </c>
      <c r="Q4">
        <v>11783667.0114746</v>
      </c>
      <c r="R4">
        <v>11862465.212158199</v>
      </c>
      <c r="S4">
        <v>11661375.5476074</v>
      </c>
      <c r="T4">
        <v>10915756.5812988</v>
      </c>
      <c r="U4">
        <v>10689963.825927701</v>
      </c>
      <c r="V4">
        <v>10616553.630615201</v>
      </c>
      <c r="W4">
        <v>10486593.8525391</v>
      </c>
      <c r="X4">
        <v>10254812.513916001</v>
      </c>
      <c r="Y4">
        <v>10274508.9953613</v>
      </c>
      <c r="Z4">
        <v>10212398.1765137</v>
      </c>
      <c r="AA4">
        <v>10255587.943725601</v>
      </c>
      <c r="AB4">
        <v>10325206.6207275</v>
      </c>
      <c r="AC4">
        <v>10474768.588867201</v>
      </c>
      <c r="AD4">
        <v>10499839.256225601</v>
      </c>
      <c r="AE4">
        <v>10321584.584472699</v>
      </c>
      <c r="AF4">
        <v>10217844.873413101</v>
      </c>
    </row>
    <row r="5" spans="1:32" x14ac:dyDescent="0.3">
      <c r="A5" t="s">
        <v>18</v>
      </c>
      <c r="B5" t="s">
        <v>92</v>
      </c>
      <c r="C5" t="s">
        <v>86</v>
      </c>
      <c r="D5" t="s">
        <v>93</v>
      </c>
      <c r="E5" t="s">
        <v>87</v>
      </c>
      <c r="F5">
        <v>1898192.2197265599</v>
      </c>
      <c r="G5">
        <v>1906434.0927734401</v>
      </c>
      <c r="H5">
        <v>1890553.8984375</v>
      </c>
      <c r="I5">
        <v>1867536.3779296901</v>
      </c>
      <c r="J5">
        <v>1843454.0595703099</v>
      </c>
      <c r="K5">
        <v>1817277.3496093799</v>
      </c>
      <c r="L5">
        <v>1844802.296875</v>
      </c>
      <c r="M5">
        <v>1824999.7402343799</v>
      </c>
      <c r="N5">
        <v>1778025.0107421901</v>
      </c>
      <c r="O5">
        <v>1738984.3525390599</v>
      </c>
      <c r="P5">
        <v>1723553.5253906201</v>
      </c>
      <c r="Q5">
        <v>1725788.8984375</v>
      </c>
      <c r="R5">
        <v>1719464.6513671901</v>
      </c>
      <c r="S5">
        <v>1713600.83203125</v>
      </c>
      <c r="T5">
        <v>1679672.8886718799</v>
      </c>
      <c r="U5">
        <v>1663338.0856933601</v>
      </c>
      <c r="V5">
        <v>1598307.47973633</v>
      </c>
      <c r="W5">
        <v>1657087.2880859401</v>
      </c>
      <c r="X5">
        <v>1655286.5510253899</v>
      </c>
      <c r="Y5">
        <v>1678688.98217773</v>
      </c>
      <c r="Z5">
        <v>1665387.76733398</v>
      </c>
      <c r="AA5">
        <v>1674547.59265137</v>
      </c>
      <c r="AB5">
        <v>1682941.9298095701</v>
      </c>
      <c r="AC5">
        <v>1698932.56494141</v>
      </c>
      <c r="AD5">
        <v>1701541.69177246</v>
      </c>
      <c r="AE5">
        <v>1679359.3481445301</v>
      </c>
      <c r="AF5">
        <v>1667852.8812255899</v>
      </c>
    </row>
    <row r="6" spans="1:32" x14ac:dyDescent="0.3">
      <c r="A6" t="s">
        <v>18</v>
      </c>
      <c r="B6" t="s">
        <v>94</v>
      </c>
      <c r="C6" t="s">
        <v>86</v>
      </c>
      <c r="D6" t="s">
        <v>95</v>
      </c>
      <c r="E6" t="s">
        <v>87</v>
      </c>
      <c r="F6">
        <v>1486614.390625</v>
      </c>
      <c r="G6">
        <v>1418921.625</v>
      </c>
      <c r="H6">
        <v>1356768.4375</v>
      </c>
      <c r="I6">
        <v>1239098.6171875</v>
      </c>
      <c r="J6">
        <v>1142796.9140625</v>
      </c>
      <c r="K6">
        <v>1031385.8359375</v>
      </c>
      <c r="L6">
        <v>940433.796875</v>
      </c>
      <c r="M6">
        <v>846137.3984375</v>
      </c>
      <c r="N6">
        <v>789378.66796875</v>
      </c>
      <c r="O6">
        <v>736032.29296875</v>
      </c>
      <c r="P6">
        <v>694384.2421875</v>
      </c>
      <c r="Q6">
        <v>678082.76953125</v>
      </c>
      <c r="R6">
        <v>650797.46875</v>
      </c>
      <c r="S6">
        <v>617788.12109375</v>
      </c>
      <c r="T6">
        <v>576570.27734375</v>
      </c>
      <c r="U6">
        <v>539916.47265625</v>
      </c>
      <c r="V6">
        <v>527551.13671875</v>
      </c>
      <c r="W6">
        <v>516800.78125</v>
      </c>
      <c r="X6">
        <v>488543.10546875</v>
      </c>
      <c r="Y6">
        <v>471176.55859375</v>
      </c>
      <c r="Z6">
        <v>453447.7421875</v>
      </c>
      <c r="AA6">
        <v>444203.08203125</v>
      </c>
      <c r="AB6">
        <v>432385.57421875</v>
      </c>
      <c r="AC6">
        <v>422127.23828125</v>
      </c>
      <c r="AD6">
        <v>410237.578125</v>
      </c>
      <c r="AE6">
        <v>370093.859375</v>
      </c>
      <c r="AF6">
        <v>338238.158203125</v>
      </c>
    </row>
    <row r="7" spans="1:32" x14ac:dyDescent="0.3">
      <c r="A7" t="s">
        <v>18</v>
      </c>
      <c r="B7" t="s">
        <v>96</v>
      </c>
      <c r="C7" t="s">
        <v>86</v>
      </c>
      <c r="D7" t="s">
        <v>97</v>
      </c>
      <c r="E7" t="s">
        <v>87</v>
      </c>
      <c r="F7">
        <v>1378018.5</v>
      </c>
      <c r="G7">
        <v>1370584.859375</v>
      </c>
      <c r="H7">
        <v>1354919.578125</v>
      </c>
      <c r="I7">
        <v>1304381.1171875</v>
      </c>
      <c r="J7">
        <v>1263154.6171875</v>
      </c>
      <c r="K7">
        <v>1225028.296875</v>
      </c>
      <c r="L7">
        <v>1191678.3203125</v>
      </c>
      <c r="M7">
        <v>1144359.03125</v>
      </c>
      <c r="N7">
        <v>1103354.9453125</v>
      </c>
      <c r="O7">
        <v>1060779.609375</v>
      </c>
      <c r="P7">
        <v>1039525.5546875</v>
      </c>
      <c r="Q7">
        <v>1035632.171875</v>
      </c>
      <c r="R7">
        <v>1007740.0390625</v>
      </c>
      <c r="S7">
        <v>966834.0703125</v>
      </c>
      <c r="T7">
        <v>915682.390625</v>
      </c>
      <c r="U7">
        <v>878933.109375</v>
      </c>
      <c r="V7">
        <v>869250</v>
      </c>
      <c r="W7">
        <v>856460.328125</v>
      </c>
      <c r="X7">
        <v>824625.515625</v>
      </c>
      <c r="Y7">
        <v>811685.13671875</v>
      </c>
      <c r="Z7">
        <v>795839.96875</v>
      </c>
      <c r="AA7">
        <v>788444.41015625</v>
      </c>
      <c r="AB7">
        <v>779852.22265625</v>
      </c>
      <c r="AC7">
        <v>774761.6171875</v>
      </c>
      <c r="AD7">
        <v>768365.00390625</v>
      </c>
      <c r="AE7">
        <v>741974.015625</v>
      </c>
      <c r="AF7">
        <v>720347.29296875</v>
      </c>
    </row>
    <row r="8" spans="1:32" x14ac:dyDescent="0.3">
      <c r="A8" t="s">
        <v>18</v>
      </c>
      <c r="B8" t="s">
        <v>98</v>
      </c>
      <c r="C8" t="s">
        <v>86</v>
      </c>
      <c r="D8" t="s">
        <v>99</v>
      </c>
      <c r="E8" t="s">
        <v>87</v>
      </c>
      <c r="F8">
        <v>51804.505859375</v>
      </c>
      <c r="G8">
        <v>51488.205078125</v>
      </c>
      <c r="H8">
        <v>51218.7666015625</v>
      </c>
      <c r="I8">
        <v>49852.34375</v>
      </c>
      <c r="J8">
        <v>46913.283203125</v>
      </c>
      <c r="K8">
        <v>44973.537109375</v>
      </c>
      <c r="L8">
        <v>44464.509765625</v>
      </c>
      <c r="M8">
        <v>42685.54296875</v>
      </c>
      <c r="N8">
        <v>41179.3603515625</v>
      </c>
      <c r="O8">
        <v>38983.484375</v>
      </c>
      <c r="P8">
        <v>38000.3212890625</v>
      </c>
      <c r="Q8">
        <v>38112.4091796875</v>
      </c>
      <c r="R8">
        <v>37879.4267578125</v>
      </c>
      <c r="S8">
        <v>37371.71484375</v>
      </c>
      <c r="T8">
        <v>37727.1044921875</v>
      </c>
      <c r="U8">
        <v>37611.5166015625</v>
      </c>
      <c r="V8">
        <v>39571.8095703125</v>
      </c>
      <c r="W8">
        <v>38259.8876953125</v>
      </c>
      <c r="X8">
        <v>37486.0634765625</v>
      </c>
      <c r="Y8">
        <v>38482.80078125</v>
      </c>
      <c r="Z8">
        <v>37767.615234375</v>
      </c>
      <c r="AA8">
        <v>38256.5</v>
      </c>
      <c r="AB8">
        <v>38833.9609375</v>
      </c>
      <c r="AC8">
        <v>39435.03125</v>
      </c>
      <c r="AD8">
        <v>40620.2998046875</v>
      </c>
      <c r="AE8">
        <v>42949.951171875</v>
      </c>
      <c r="AF8">
        <v>44814.3408203125</v>
      </c>
    </row>
    <row r="9" spans="1:32" x14ac:dyDescent="0.3">
      <c r="A9" t="s">
        <v>18</v>
      </c>
      <c r="B9" t="s">
        <v>100</v>
      </c>
      <c r="C9" t="s">
        <v>86</v>
      </c>
      <c r="D9" t="s">
        <v>101</v>
      </c>
      <c r="E9" t="s">
        <v>87</v>
      </c>
      <c r="F9">
        <v>437770.38354492199</v>
      </c>
      <c r="G9">
        <v>437789.19482421898</v>
      </c>
      <c r="H9">
        <v>440754.69970703102</v>
      </c>
      <c r="I9">
        <v>428953.55297851597</v>
      </c>
      <c r="J9">
        <v>423867.69433593802</v>
      </c>
      <c r="K9">
        <v>420956.029296875</v>
      </c>
      <c r="L9">
        <v>419619.07714843802</v>
      </c>
      <c r="M9">
        <v>410466.12988281198</v>
      </c>
      <c r="N9">
        <v>396109.48535156198</v>
      </c>
      <c r="O9">
        <v>389090.400390625</v>
      </c>
      <c r="P9">
        <v>394506.92529296898</v>
      </c>
      <c r="Q9">
        <v>401655.6640625</v>
      </c>
      <c r="R9">
        <v>401951.064453125</v>
      </c>
      <c r="S9">
        <v>401669.69042968802</v>
      </c>
      <c r="T9">
        <v>387231.88989257801</v>
      </c>
      <c r="U9">
        <v>376989.90917968802</v>
      </c>
      <c r="V9">
        <v>383267.05810546898</v>
      </c>
      <c r="W9">
        <v>374802.880859375</v>
      </c>
      <c r="X9">
        <v>367111.57470703102</v>
      </c>
      <c r="Y9">
        <v>366003.14794921898</v>
      </c>
      <c r="Z9">
        <v>370064.99365234398</v>
      </c>
      <c r="AA9">
        <v>375985.63671875</v>
      </c>
      <c r="AB9">
        <v>384616.15722656198</v>
      </c>
      <c r="AC9">
        <v>397856.60107421898</v>
      </c>
      <c r="AD9">
        <v>406389.26123046898</v>
      </c>
      <c r="AE9">
        <v>415667.43359375</v>
      </c>
      <c r="AF9">
        <v>424043.390625</v>
      </c>
    </row>
    <row r="10" spans="1:32" x14ac:dyDescent="0.3">
      <c r="A10" t="s">
        <v>18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18</v>
      </c>
      <c r="B11" t="s">
        <v>104</v>
      </c>
      <c r="C11" t="s">
        <v>86</v>
      </c>
      <c r="D11" t="s">
        <v>105</v>
      </c>
      <c r="E11" t="s">
        <v>87</v>
      </c>
      <c r="F11">
        <v>161309.921875</v>
      </c>
      <c r="G11">
        <v>163878.890625</v>
      </c>
      <c r="H11">
        <v>163713.84375</v>
      </c>
      <c r="I11">
        <v>157426.828125</v>
      </c>
      <c r="J11">
        <v>159494.828125</v>
      </c>
      <c r="K11">
        <v>159458</v>
      </c>
      <c r="L11">
        <v>164440.890625</v>
      </c>
      <c r="M11">
        <v>165100.9375</v>
      </c>
      <c r="N11">
        <v>157497.390625</v>
      </c>
      <c r="O11">
        <v>157899.921875</v>
      </c>
      <c r="P11">
        <v>157711.71875</v>
      </c>
      <c r="Q11">
        <v>160748.234375</v>
      </c>
      <c r="R11">
        <v>151927.671875</v>
      </c>
      <c r="S11">
        <v>149131.296875</v>
      </c>
      <c r="T11">
        <v>148284.890625</v>
      </c>
      <c r="U11">
        <v>147071.71875</v>
      </c>
      <c r="V11">
        <v>144255.078125</v>
      </c>
      <c r="W11">
        <v>148437.984375</v>
      </c>
      <c r="X11">
        <v>148018.3125</v>
      </c>
      <c r="Y11">
        <v>152550.765625</v>
      </c>
      <c r="Z11">
        <v>152364.84375</v>
      </c>
      <c r="AA11">
        <v>153253.078125</v>
      </c>
      <c r="AB11">
        <v>152161.921875</v>
      </c>
      <c r="AC11">
        <v>153413.125</v>
      </c>
      <c r="AD11">
        <v>157571.625</v>
      </c>
      <c r="AE11">
        <v>160956.234375</v>
      </c>
      <c r="AF11">
        <v>162930.875</v>
      </c>
    </row>
    <row r="12" spans="1:32" x14ac:dyDescent="0.3">
      <c r="A12" t="s">
        <v>18</v>
      </c>
      <c r="B12" t="s">
        <v>106</v>
      </c>
      <c r="C12" t="s">
        <v>86</v>
      </c>
      <c r="D12" t="s">
        <v>107</v>
      </c>
      <c r="E12" t="s">
        <v>87</v>
      </c>
      <c r="F12">
        <v>1377381.546875</v>
      </c>
      <c r="G12">
        <v>1365358</v>
      </c>
      <c r="H12">
        <v>1355702.03125</v>
      </c>
      <c r="I12">
        <v>1283005.71875</v>
      </c>
      <c r="J12">
        <v>1256346.703125</v>
      </c>
      <c r="K12">
        <v>1242435.703125</v>
      </c>
      <c r="L12">
        <v>1214342.0703125</v>
      </c>
      <c r="M12">
        <v>1153964.53125</v>
      </c>
      <c r="N12">
        <v>1124434.0234375</v>
      </c>
      <c r="O12">
        <v>1096190.484375</v>
      </c>
      <c r="P12">
        <v>1081342.375</v>
      </c>
      <c r="Q12">
        <v>1091490.421875</v>
      </c>
      <c r="R12">
        <v>1112714.140625</v>
      </c>
      <c r="S12">
        <v>1080463.3359375</v>
      </c>
      <c r="T12">
        <v>1010003.5234375</v>
      </c>
      <c r="U12">
        <v>1006372.84765625</v>
      </c>
      <c r="V12">
        <v>1010939.640625</v>
      </c>
      <c r="W12">
        <v>1012041.6875</v>
      </c>
      <c r="X12">
        <v>997860.02734375</v>
      </c>
      <c r="Y12">
        <v>1004857.28515625</v>
      </c>
      <c r="Z12">
        <v>1004100.53125</v>
      </c>
      <c r="AA12">
        <v>1008071.2265625</v>
      </c>
      <c r="AB12">
        <v>1016623.59375</v>
      </c>
      <c r="AC12">
        <v>1041626.12890625</v>
      </c>
      <c r="AD12">
        <v>1052516.30078125</v>
      </c>
      <c r="AE12">
        <v>1040976.53125</v>
      </c>
      <c r="AF12">
        <v>1034846.62890625</v>
      </c>
    </row>
    <row r="13" spans="1:32" x14ac:dyDescent="0.3">
      <c r="A13" t="s">
        <v>18</v>
      </c>
      <c r="B13" t="s">
        <v>108</v>
      </c>
      <c r="C13" t="s">
        <v>86</v>
      </c>
      <c r="D13" t="s">
        <v>109</v>
      </c>
      <c r="E13" t="s">
        <v>87</v>
      </c>
      <c r="F13">
        <v>1793299.0705566399</v>
      </c>
      <c r="G13">
        <v>1769305.2434082001</v>
      </c>
      <c r="H13">
        <v>1768942.2160644501</v>
      </c>
      <c r="I13">
        <v>1661236.7551269501</v>
      </c>
      <c r="J13">
        <v>1594999.4057617199</v>
      </c>
      <c r="K13">
        <v>1591512.8784179699</v>
      </c>
      <c r="L13">
        <v>1538823.3510742199</v>
      </c>
      <c r="M13">
        <v>1477294.0634765599</v>
      </c>
      <c r="N13">
        <v>1414014.4880371101</v>
      </c>
      <c r="O13">
        <v>1382921.57958984</v>
      </c>
      <c r="P13">
        <v>1391566.2333984401</v>
      </c>
      <c r="Q13">
        <v>1422512.05932617</v>
      </c>
      <c r="R13">
        <v>1426006.54223633</v>
      </c>
      <c r="S13">
        <v>1421602.0388183601</v>
      </c>
      <c r="T13">
        <v>1312554.1328125</v>
      </c>
      <c r="U13">
        <v>1292976.4550781201</v>
      </c>
      <c r="V13">
        <v>1296470.4736328099</v>
      </c>
      <c r="W13">
        <v>1305552.7519531201</v>
      </c>
      <c r="X13">
        <v>1275183.66162109</v>
      </c>
      <c r="Y13">
        <v>1285942.2431640599</v>
      </c>
      <c r="Z13">
        <v>1258569.5385742199</v>
      </c>
      <c r="AA13">
        <v>1265158.29833984</v>
      </c>
      <c r="AB13">
        <v>1287326.7885742199</v>
      </c>
      <c r="AC13">
        <v>1308402.0527343799</v>
      </c>
      <c r="AD13">
        <v>1315727.9106445301</v>
      </c>
      <c r="AE13">
        <v>1292645.1567382801</v>
      </c>
      <c r="AF13">
        <v>1272820.8515625</v>
      </c>
    </row>
    <row r="14" spans="1:32" x14ac:dyDescent="0.3">
      <c r="A14" t="s">
        <v>18</v>
      </c>
      <c r="B14" t="s">
        <v>110</v>
      </c>
      <c r="C14" t="s">
        <v>86</v>
      </c>
      <c r="D14" t="s">
        <v>111</v>
      </c>
      <c r="E14" t="s">
        <v>87</v>
      </c>
      <c r="F14">
        <v>1755504.69140625</v>
      </c>
      <c r="G14">
        <v>1731395.03515625</v>
      </c>
      <c r="H14">
        <v>1773526.3046875</v>
      </c>
      <c r="I14">
        <v>1740261.3671875</v>
      </c>
      <c r="J14">
        <v>1729897.625</v>
      </c>
      <c r="K14">
        <v>1717499.5078125</v>
      </c>
      <c r="L14">
        <v>1607622.6484375</v>
      </c>
      <c r="M14">
        <v>1465169.4707031201</v>
      </c>
      <c r="N14">
        <v>1426787.0996093799</v>
      </c>
      <c r="O14">
        <v>1379571.01171875</v>
      </c>
      <c r="P14">
        <v>1318481.796875</v>
      </c>
      <c r="Q14">
        <v>1351515.59375</v>
      </c>
      <c r="R14">
        <v>1399154.21484375</v>
      </c>
      <c r="S14">
        <v>1363013.8691406201</v>
      </c>
      <c r="T14">
        <v>1238927.8818359401</v>
      </c>
      <c r="U14">
        <v>1195725.2265625</v>
      </c>
      <c r="V14">
        <v>1170543.9931640599</v>
      </c>
      <c r="W14">
        <v>1049504.5986328099</v>
      </c>
      <c r="X14">
        <v>985753.53808593797</v>
      </c>
      <c r="Y14">
        <v>963396.62988281203</v>
      </c>
      <c r="Z14">
        <v>949540.23046875</v>
      </c>
      <c r="AA14">
        <v>946826.767578125</v>
      </c>
      <c r="AB14">
        <v>952339.64355468797</v>
      </c>
      <c r="AC14">
        <v>969034.65136718797</v>
      </c>
      <c r="AD14">
        <v>971992.00683593797</v>
      </c>
      <c r="AE14">
        <v>972893.81982421898</v>
      </c>
      <c r="AF14">
        <v>981370.32910156203</v>
      </c>
    </row>
    <row r="15" spans="1:32" x14ac:dyDescent="0.3">
      <c r="A15" t="s">
        <v>18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18</v>
      </c>
      <c r="B16" t="s">
        <v>114</v>
      </c>
      <c r="C16" t="s">
        <v>86</v>
      </c>
      <c r="D16" t="s">
        <v>115</v>
      </c>
      <c r="E16" t="s">
        <v>87</v>
      </c>
      <c r="F16">
        <v>940870.953125</v>
      </c>
      <c r="G16">
        <v>925627.90625</v>
      </c>
      <c r="H16">
        <v>936159.171875</v>
      </c>
      <c r="I16">
        <v>880140.46875</v>
      </c>
      <c r="J16">
        <v>862368.59375</v>
      </c>
      <c r="K16">
        <v>856506.46875</v>
      </c>
      <c r="L16">
        <v>825582.1640625</v>
      </c>
      <c r="M16">
        <v>765462.171875</v>
      </c>
      <c r="N16">
        <v>714295.921875</v>
      </c>
      <c r="O16">
        <v>699076.8359375</v>
      </c>
      <c r="P16">
        <v>718175.328125</v>
      </c>
      <c r="Q16">
        <v>745025.640625</v>
      </c>
      <c r="R16">
        <v>737435.1796875</v>
      </c>
      <c r="S16">
        <v>697130.4765625</v>
      </c>
      <c r="T16">
        <v>648219.6484375</v>
      </c>
      <c r="U16">
        <v>642867.09375</v>
      </c>
      <c r="V16">
        <v>638162.6640625</v>
      </c>
      <c r="W16">
        <v>616448.2109375</v>
      </c>
      <c r="X16">
        <v>602303.296875</v>
      </c>
      <c r="Y16">
        <v>608563.1484375</v>
      </c>
      <c r="Z16">
        <v>604220.5234375</v>
      </c>
      <c r="AA16">
        <v>599221.484375</v>
      </c>
      <c r="AB16">
        <v>597021.875</v>
      </c>
      <c r="AC16">
        <v>614675.65625</v>
      </c>
      <c r="AD16">
        <v>626596.0078125</v>
      </c>
      <c r="AE16">
        <v>620394.875</v>
      </c>
      <c r="AF16">
        <v>616380.109375</v>
      </c>
    </row>
    <row r="17" spans="1:32" x14ac:dyDescent="0.3">
      <c r="A17" t="s">
        <v>18</v>
      </c>
      <c r="B17" t="s">
        <v>116</v>
      </c>
      <c r="C17" t="s">
        <v>86</v>
      </c>
      <c r="D17" t="s">
        <v>117</v>
      </c>
      <c r="E17" t="s">
        <v>87</v>
      </c>
      <c r="F17">
        <v>1467684.328125</v>
      </c>
      <c r="G17">
        <v>1490447.734375</v>
      </c>
      <c r="H17">
        <v>1502699.671875</v>
      </c>
      <c r="I17">
        <v>1453771.6875</v>
      </c>
      <c r="J17">
        <v>1416346.15625</v>
      </c>
      <c r="K17">
        <v>1419818.828125</v>
      </c>
      <c r="L17">
        <v>1376289.7265625</v>
      </c>
      <c r="M17">
        <v>1305313.953125</v>
      </c>
      <c r="N17">
        <v>1264667.3125</v>
      </c>
      <c r="O17">
        <v>1272826.9140625</v>
      </c>
      <c r="P17">
        <v>1294640.6875</v>
      </c>
      <c r="Q17">
        <v>1343574.5234375</v>
      </c>
      <c r="R17">
        <v>1397132.8125</v>
      </c>
      <c r="S17">
        <v>1430042.4296875</v>
      </c>
      <c r="T17">
        <v>1297958.734375</v>
      </c>
      <c r="U17">
        <v>1283662.453125</v>
      </c>
      <c r="V17">
        <v>1284700.953125</v>
      </c>
      <c r="W17">
        <v>1275529.796875</v>
      </c>
      <c r="X17">
        <v>1243584.3828125</v>
      </c>
      <c r="Y17">
        <v>1243478.0625</v>
      </c>
      <c r="Z17">
        <v>1231685.9375</v>
      </c>
      <c r="AA17">
        <v>1250586.8984375</v>
      </c>
      <c r="AB17">
        <v>1281519.3125</v>
      </c>
      <c r="AC17">
        <v>1310980.71875</v>
      </c>
      <c r="AD17">
        <v>1319846.8203125</v>
      </c>
      <c r="AE17">
        <v>1308314.375</v>
      </c>
      <c r="AF17">
        <v>1304679.5625</v>
      </c>
    </row>
    <row r="18" spans="1:32" x14ac:dyDescent="0.3">
      <c r="A18" t="s">
        <v>18</v>
      </c>
      <c r="B18" t="s">
        <v>118</v>
      </c>
      <c r="C18" t="s">
        <v>86</v>
      </c>
      <c r="D18" t="s">
        <v>119</v>
      </c>
      <c r="E18" t="s">
        <v>87</v>
      </c>
      <c r="F18">
        <v>1283393.1875</v>
      </c>
      <c r="G18">
        <v>1293792.625</v>
      </c>
      <c r="H18">
        <v>1307252.578125</v>
      </c>
      <c r="I18">
        <v>1241877.078125</v>
      </c>
      <c r="J18">
        <v>1215282.5625</v>
      </c>
      <c r="K18">
        <v>1205442.59375</v>
      </c>
      <c r="L18">
        <v>1209708.1875</v>
      </c>
      <c r="M18">
        <v>1202546.296875</v>
      </c>
      <c r="N18">
        <v>1193475.375</v>
      </c>
      <c r="O18">
        <v>1190643.4375</v>
      </c>
      <c r="P18">
        <v>1222781.265625</v>
      </c>
      <c r="Q18">
        <v>1266716.046875</v>
      </c>
      <c r="R18">
        <v>1290369.859375</v>
      </c>
      <c r="S18">
        <v>1263907.359375</v>
      </c>
      <c r="T18">
        <v>1155380.859375</v>
      </c>
      <c r="U18">
        <v>1145952.765625</v>
      </c>
      <c r="V18">
        <v>1178338.234375</v>
      </c>
      <c r="W18">
        <v>1161434.09375</v>
      </c>
      <c r="X18">
        <v>1168481.203125</v>
      </c>
      <c r="Y18">
        <v>1191879.015625</v>
      </c>
      <c r="Z18">
        <v>1235578.5</v>
      </c>
      <c r="AA18">
        <v>1261555.46875</v>
      </c>
      <c r="AB18">
        <v>1276641.390625</v>
      </c>
      <c r="AC18">
        <v>1302467.484375</v>
      </c>
      <c r="AD18">
        <v>1294858.453125</v>
      </c>
      <c r="AE18">
        <v>1267446.109375</v>
      </c>
      <c r="AF18">
        <v>1260556.703125</v>
      </c>
    </row>
    <row r="19" spans="1:32" x14ac:dyDescent="0.3">
      <c r="A19" t="s">
        <v>18</v>
      </c>
      <c r="B19" t="s">
        <v>120</v>
      </c>
      <c r="C19" t="s">
        <v>86</v>
      </c>
      <c r="D19" t="s">
        <v>121</v>
      </c>
      <c r="E19" t="s">
        <v>87</v>
      </c>
      <c r="F19">
        <v>744904.4375</v>
      </c>
      <c r="G19">
        <v>738340.90625</v>
      </c>
      <c r="H19">
        <v>724812.125</v>
      </c>
      <c r="I19">
        <v>697667.34375</v>
      </c>
      <c r="J19">
        <v>659852.4375</v>
      </c>
      <c r="K19">
        <v>640475.9375</v>
      </c>
      <c r="L19">
        <v>614013.375</v>
      </c>
      <c r="M19">
        <v>564235.875</v>
      </c>
      <c r="N19">
        <v>547310.421875</v>
      </c>
      <c r="O19">
        <v>518732.578125</v>
      </c>
      <c r="P19">
        <v>516507.671875</v>
      </c>
      <c r="Q19">
        <v>522812.578125</v>
      </c>
      <c r="R19">
        <v>529892.140625</v>
      </c>
      <c r="S19">
        <v>518820.3125</v>
      </c>
      <c r="T19">
        <v>507542.359375</v>
      </c>
      <c r="U19">
        <v>478546.171875</v>
      </c>
      <c r="V19">
        <v>475195.109375</v>
      </c>
      <c r="W19">
        <v>474233.5625</v>
      </c>
      <c r="X19">
        <v>460575.28125</v>
      </c>
      <c r="Y19">
        <v>457805.21875</v>
      </c>
      <c r="Z19">
        <v>453829.984375</v>
      </c>
      <c r="AA19">
        <v>449477.5</v>
      </c>
      <c r="AB19">
        <v>442942.25</v>
      </c>
      <c r="AC19">
        <v>441055.71875</v>
      </c>
      <c r="AD19">
        <v>433576.296875</v>
      </c>
      <c r="AE19">
        <v>407912.875</v>
      </c>
      <c r="AF19">
        <v>388963.75</v>
      </c>
    </row>
    <row r="20" spans="1:32" x14ac:dyDescent="0.3">
      <c r="A20" t="s">
        <v>18</v>
      </c>
      <c r="B20" t="s">
        <v>122</v>
      </c>
      <c r="C20" t="s">
        <v>86</v>
      </c>
      <c r="D20" t="s">
        <v>123</v>
      </c>
      <c r="E20" t="s">
        <v>87</v>
      </c>
      <c r="F20">
        <v>264130.5703125</v>
      </c>
      <c r="G20">
        <v>238524.546875</v>
      </c>
      <c r="H20">
        <v>225009.6015625</v>
      </c>
      <c r="I20">
        <v>230533.75390625</v>
      </c>
      <c r="J20">
        <v>229929.3203125</v>
      </c>
      <c r="K20">
        <v>216796.109375</v>
      </c>
      <c r="L20">
        <v>209761.27734375</v>
      </c>
      <c r="M20">
        <v>209561.7421875</v>
      </c>
      <c r="N20">
        <v>196477.671875</v>
      </c>
      <c r="O20">
        <v>189189.8203125</v>
      </c>
      <c r="P20">
        <v>212584.87890625</v>
      </c>
      <c r="Q20">
        <v>218835.37109375</v>
      </c>
      <c r="R20">
        <v>194912.58203125</v>
      </c>
      <c r="S20">
        <v>195554.7109375</v>
      </c>
      <c r="T20">
        <v>207936.85546875</v>
      </c>
      <c r="U20">
        <v>208483.71875</v>
      </c>
      <c r="V20">
        <v>194048.30859375</v>
      </c>
      <c r="W20">
        <v>198253.9453125</v>
      </c>
      <c r="X20">
        <v>188287.921875</v>
      </c>
      <c r="Y20">
        <v>184166.1875</v>
      </c>
      <c r="Z20">
        <v>186087.50390625</v>
      </c>
      <c r="AA20">
        <v>193319.82421875</v>
      </c>
      <c r="AB20">
        <v>180283.83984375</v>
      </c>
      <c r="AC20">
        <v>181604.59765625</v>
      </c>
      <c r="AD20">
        <v>175200.83984375</v>
      </c>
      <c r="AE20">
        <v>200664.8046875</v>
      </c>
      <c r="AF20">
        <v>220413.8828125</v>
      </c>
    </row>
    <row r="21" spans="1:32" x14ac:dyDescent="0.3">
      <c r="A21" t="s">
        <v>18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18</v>
      </c>
      <c r="B22" t="s">
        <v>126</v>
      </c>
      <c r="C22" t="s">
        <v>86</v>
      </c>
      <c r="D22" t="s">
        <v>127</v>
      </c>
      <c r="E22" t="s">
        <v>87</v>
      </c>
      <c r="F22">
        <v>370903.7265625</v>
      </c>
      <c r="G22">
        <v>360039.87475585903</v>
      </c>
      <c r="H22">
        <v>368997.10058593802</v>
      </c>
      <c r="I22">
        <v>386804.93457031198</v>
      </c>
      <c r="J22">
        <v>397731.40869140602</v>
      </c>
      <c r="K22">
        <v>398601.19628906198</v>
      </c>
      <c r="L22">
        <v>401743.44750976597</v>
      </c>
      <c r="M22">
        <v>403421.53173828102</v>
      </c>
      <c r="N22">
        <v>401179.19824218802</v>
      </c>
      <c r="O22">
        <v>405268.22875976597</v>
      </c>
      <c r="P22">
        <v>440784.70068359398</v>
      </c>
      <c r="Q22">
        <v>452432.978515625</v>
      </c>
      <c r="R22">
        <v>441775.19067382801</v>
      </c>
      <c r="S22">
        <v>451638.83129882801</v>
      </c>
      <c r="T22">
        <v>475949.62573242199</v>
      </c>
      <c r="U22">
        <v>490388.759765625</v>
      </c>
      <c r="V22">
        <v>481285.337890625</v>
      </c>
      <c r="W22">
        <v>471963.07836914097</v>
      </c>
      <c r="X22">
        <v>467065.20751953102</v>
      </c>
      <c r="Y22">
        <v>463009.46191406198</v>
      </c>
      <c r="Z22">
        <v>470552.32397460903</v>
      </c>
      <c r="AA22">
        <v>476204.14160156198</v>
      </c>
      <c r="AB22">
        <v>469036.57714843802</v>
      </c>
      <c r="AC22">
        <v>478659.49682617199</v>
      </c>
      <c r="AD22">
        <v>484046.13000488299</v>
      </c>
      <c r="AE22">
        <v>504223.12255859398</v>
      </c>
      <c r="AF22">
        <v>521640.24633789097</v>
      </c>
    </row>
    <row r="23" spans="1:32" x14ac:dyDescent="0.3">
      <c r="A23" t="s">
        <v>18</v>
      </c>
      <c r="B23" t="s">
        <v>128</v>
      </c>
      <c r="C23" t="s">
        <v>86</v>
      </c>
      <c r="D23" t="s">
        <v>129</v>
      </c>
      <c r="E23" t="s">
        <v>87</v>
      </c>
      <c r="F23">
        <v>6704349.25</v>
      </c>
      <c r="G23">
        <v>6750676.75</v>
      </c>
      <c r="H23">
        <v>6688894</v>
      </c>
      <c r="I23">
        <v>6821993.75</v>
      </c>
      <c r="J23">
        <v>6761640.5</v>
      </c>
      <c r="K23">
        <v>6709682.5</v>
      </c>
      <c r="L23">
        <v>6485340</v>
      </c>
      <c r="M23">
        <v>6347392.5</v>
      </c>
      <c r="N23">
        <v>6208991</v>
      </c>
      <c r="O23">
        <v>6000669.5</v>
      </c>
      <c r="P23">
        <v>5840416.5</v>
      </c>
      <c r="Q23">
        <v>5760486.625</v>
      </c>
      <c r="R23">
        <v>5687640</v>
      </c>
      <c r="S23">
        <v>5541868.75</v>
      </c>
      <c r="T23">
        <v>5319416.375</v>
      </c>
      <c r="U23">
        <v>5138411.125</v>
      </c>
      <c r="V23">
        <v>5153147.625</v>
      </c>
      <c r="W23">
        <v>5159193.5</v>
      </c>
      <c r="X23">
        <v>5115242.75</v>
      </c>
      <c r="Y23">
        <v>5199933.75</v>
      </c>
      <c r="Z23">
        <v>5142840.125</v>
      </c>
      <c r="AA23">
        <v>5067523.375</v>
      </c>
      <c r="AB23">
        <v>5115400.125</v>
      </c>
      <c r="AC23">
        <v>5198895</v>
      </c>
      <c r="AD23">
        <v>5164918.625</v>
      </c>
      <c r="AE23">
        <v>5075807.125</v>
      </c>
      <c r="AF23">
        <v>4973282.25</v>
      </c>
    </row>
    <row r="24" spans="1:32" x14ac:dyDescent="0.3">
      <c r="A24" t="s">
        <v>18</v>
      </c>
      <c r="B24" t="s">
        <v>130</v>
      </c>
      <c r="C24" t="s">
        <v>86</v>
      </c>
      <c r="D24" t="s">
        <v>131</v>
      </c>
      <c r="E24" t="s">
        <v>87</v>
      </c>
      <c r="F24">
        <v>11974448.1875</v>
      </c>
      <c r="G24">
        <v>12053532.375</v>
      </c>
      <c r="H24">
        <v>12139438.125</v>
      </c>
      <c r="I24">
        <v>12147775.75</v>
      </c>
      <c r="J24">
        <v>12063472.6875</v>
      </c>
      <c r="K24">
        <v>11940863.4375</v>
      </c>
      <c r="L24">
        <v>11860613</v>
      </c>
      <c r="M24">
        <v>11546948.1875</v>
      </c>
      <c r="N24">
        <v>11484574.8125</v>
      </c>
      <c r="O24">
        <v>11440701.375</v>
      </c>
      <c r="P24">
        <v>11359806.3125</v>
      </c>
      <c r="Q24">
        <v>11238585.8125</v>
      </c>
      <c r="R24">
        <v>11234575.3125</v>
      </c>
      <c r="S24">
        <v>11136701.25</v>
      </c>
      <c r="T24">
        <v>11022944.8125</v>
      </c>
      <c r="U24">
        <v>11114750.75</v>
      </c>
      <c r="V24">
        <v>11086914.4375</v>
      </c>
      <c r="W24">
        <v>10890094.625</v>
      </c>
      <c r="X24">
        <v>10956384.9375</v>
      </c>
      <c r="Y24">
        <v>10900852.875</v>
      </c>
      <c r="Z24">
        <v>10971845.25</v>
      </c>
      <c r="AA24">
        <v>11055537.1875</v>
      </c>
      <c r="AB24">
        <v>11165214.4375</v>
      </c>
      <c r="AC24">
        <v>11240167.5625</v>
      </c>
      <c r="AD24">
        <v>11172496.9375</v>
      </c>
      <c r="AE24">
        <v>11160164.875</v>
      </c>
      <c r="AF24">
        <v>11271833.1875</v>
      </c>
    </row>
    <row r="25" spans="1:32" x14ac:dyDescent="0.3">
      <c r="A25" t="s">
        <v>18</v>
      </c>
      <c r="B25" t="s">
        <v>132</v>
      </c>
      <c r="C25" t="s">
        <v>86</v>
      </c>
      <c r="D25" t="s">
        <v>133</v>
      </c>
      <c r="E25" t="s">
        <v>87</v>
      </c>
      <c r="F25">
        <v>597678.6875</v>
      </c>
      <c r="G25">
        <v>605249.875</v>
      </c>
      <c r="H25">
        <v>618263.625</v>
      </c>
      <c r="I25">
        <v>615814.25</v>
      </c>
      <c r="J25">
        <v>603829.6875</v>
      </c>
      <c r="K25">
        <v>590605.4375</v>
      </c>
      <c r="L25">
        <v>593961.75</v>
      </c>
      <c r="M25">
        <v>585359.9375</v>
      </c>
      <c r="N25">
        <v>593046.3125</v>
      </c>
      <c r="O25">
        <v>593344.125</v>
      </c>
      <c r="P25">
        <v>599365.0625</v>
      </c>
      <c r="Q25">
        <v>612838.3125</v>
      </c>
      <c r="R25">
        <v>608879.3125</v>
      </c>
      <c r="S25">
        <v>598488.25</v>
      </c>
      <c r="T25">
        <v>595342.3125</v>
      </c>
      <c r="U25">
        <v>596161.5</v>
      </c>
      <c r="V25">
        <v>593395.6875</v>
      </c>
      <c r="W25">
        <v>571137.625</v>
      </c>
      <c r="X25">
        <v>578075.1875</v>
      </c>
      <c r="Y25">
        <v>565449.625</v>
      </c>
      <c r="Z25">
        <v>556028.75</v>
      </c>
      <c r="AA25">
        <v>546455.6875</v>
      </c>
      <c r="AB25">
        <v>542415.1875</v>
      </c>
      <c r="AC25">
        <v>551133.5625</v>
      </c>
      <c r="AD25">
        <v>557874.9375</v>
      </c>
      <c r="AE25">
        <v>551988.125</v>
      </c>
      <c r="AF25">
        <v>547921.9375</v>
      </c>
    </row>
    <row r="26" spans="1:32" x14ac:dyDescent="0.3">
      <c r="A26" t="s">
        <v>18</v>
      </c>
      <c r="B26" t="s">
        <v>134</v>
      </c>
      <c r="C26" t="s">
        <v>86</v>
      </c>
      <c r="D26" t="s">
        <v>135</v>
      </c>
      <c r="E26" t="s">
        <v>87</v>
      </c>
      <c r="F26">
        <v>4410616.5</v>
      </c>
      <c r="G26">
        <v>4414042</v>
      </c>
      <c r="H26">
        <v>4374825</v>
      </c>
      <c r="I26">
        <v>4282046.5</v>
      </c>
      <c r="J26">
        <v>4150084</v>
      </c>
      <c r="K26">
        <v>3986714</v>
      </c>
      <c r="L26">
        <v>3851820.25</v>
      </c>
      <c r="M26">
        <v>3664231.25</v>
      </c>
      <c r="N26">
        <v>3604133.5</v>
      </c>
      <c r="O26">
        <v>3547628.75</v>
      </c>
      <c r="P26">
        <v>3524870.25</v>
      </c>
      <c r="Q26">
        <v>3481472.5</v>
      </c>
      <c r="R26">
        <v>3515094.5</v>
      </c>
      <c r="S26">
        <v>3518975.5</v>
      </c>
      <c r="T26">
        <v>3483015.5</v>
      </c>
      <c r="U26">
        <v>3472253.25</v>
      </c>
      <c r="V26">
        <v>3473417.75</v>
      </c>
      <c r="W26">
        <v>3393393</v>
      </c>
      <c r="X26">
        <v>3400642.75</v>
      </c>
      <c r="Y26">
        <v>3414905.75</v>
      </c>
      <c r="Z26">
        <v>3478980</v>
      </c>
      <c r="AA26">
        <v>3526546.5</v>
      </c>
      <c r="AB26">
        <v>3574147.75</v>
      </c>
      <c r="AC26">
        <v>3639957</v>
      </c>
      <c r="AD26">
        <v>3588687</v>
      </c>
      <c r="AE26">
        <v>3587417.75</v>
      </c>
      <c r="AF26">
        <v>3570952.75</v>
      </c>
    </row>
    <row r="27" spans="1:32" x14ac:dyDescent="0.3">
      <c r="A27" t="s">
        <v>18</v>
      </c>
      <c r="B27" t="s">
        <v>136</v>
      </c>
      <c r="C27" t="s">
        <v>86</v>
      </c>
      <c r="D27" t="s">
        <v>137</v>
      </c>
      <c r="E27" t="s">
        <v>87</v>
      </c>
      <c r="F27">
        <v>6966153</v>
      </c>
      <c r="G27">
        <v>7034240.5</v>
      </c>
      <c r="H27">
        <v>7146349.5</v>
      </c>
      <c r="I27">
        <v>7249915</v>
      </c>
      <c r="J27">
        <v>7309559</v>
      </c>
      <c r="K27">
        <v>7363544</v>
      </c>
      <c r="L27">
        <v>7414831</v>
      </c>
      <c r="M27">
        <v>7297357</v>
      </c>
      <c r="N27">
        <v>7287395</v>
      </c>
      <c r="O27">
        <v>7299728.5</v>
      </c>
      <c r="P27">
        <v>7235571</v>
      </c>
      <c r="Q27">
        <v>7144275</v>
      </c>
      <c r="R27">
        <v>7110601.5</v>
      </c>
      <c r="S27">
        <v>7019237.5</v>
      </c>
      <c r="T27">
        <v>6944587</v>
      </c>
      <c r="U27">
        <v>7046336</v>
      </c>
      <c r="V27">
        <v>7020101</v>
      </c>
      <c r="W27">
        <v>6925564</v>
      </c>
      <c r="X27">
        <v>6977667</v>
      </c>
      <c r="Y27">
        <v>6920497.5</v>
      </c>
      <c r="Z27">
        <v>6936836.5</v>
      </c>
      <c r="AA27">
        <v>6982535</v>
      </c>
      <c r="AB27">
        <v>7048651.5</v>
      </c>
      <c r="AC27">
        <v>7049077</v>
      </c>
      <c r="AD27">
        <v>7025935</v>
      </c>
      <c r="AE27">
        <v>7020759</v>
      </c>
      <c r="AF27">
        <v>7152958.5</v>
      </c>
    </row>
    <row r="28" spans="1:32" x14ac:dyDescent="0.3">
      <c r="A28" t="s">
        <v>18</v>
      </c>
      <c r="B28" t="s">
        <v>138</v>
      </c>
      <c r="C28" t="s">
        <v>86</v>
      </c>
      <c r="D28" t="s">
        <v>139</v>
      </c>
      <c r="E28" t="s">
        <v>87</v>
      </c>
      <c r="F28">
        <v>4000460.7421875</v>
      </c>
      <c r="G28">
        <v>4079162.6015625</v>
      </c>
      <c r="H28">
        <v>4099654.1328125</v>
      </c>
      <c r="I28">
        <v>4037267.640625</v>
      </c>
      <c r="J28">
        <v>4043531.0546875</v>
      </c>
      <c r="K28">
        <v>4085846.1875</v>
      </c>
      <c r="L28">
        <v>3999752.40625</v>
      </c>
      <c r="M28">
        <v>3977142.9140625</v>
      </c>
      <c r="N28">
        <v>3930806.359375</v>
      </c>
      <c r="O28">
        <v>3901478.578125</v>
      </c>
      <c r="P28">
        <v>3756402.3515625</v>
      </c>
      <c r="Q28">
        <v>3851834.921875</v>
      </c>
      <c r="R28">
        <v>3860960.3046875</v>
      </c>
      <c r="S28">
        <v>3784539.609375</v>
      </c>
      <c r="T28">
        <v>3825380.609375</v>
      </c>
      <c r="U28">
        <v>3846216.6953125</v>
      </c>
      <c r="V28">
        <v>3808781.859375</v>
      </c>
      <c r="W28">
        <v>3729798.2890625</v>
      </c>
      <c r="X28">
        <v>3832122.7734375</v>
      </c>
      <c r="Y28">
        <v>3838094.5</v>
      </c>
      <c r="Z28">
        <v>3823743.9765625</v>
      </c>
      <c r="AA28">
        <v>3822161.8515625</v>
      </c>
      <c r="AB28">
        <v>3838523.4921875</v>
      </c>
      <c r="AC28">
        <v>3880928.5234375</v>
      </c>
      <c r="AD28">
        <v>3902225.0546875</v>
      </c>
      <c r="AE28">
        <v>3910329.234375</v>
      </c>
      <c r="AF28">
        <v>3949463.8828125</v>
      </c>
    </row>
    <row r="29" spans="1:32" x14ac:dyDescent="0.3">
      <c r="A29" t="s">
        <v>18</v>
      </c>
      <c r="B29" t="s">
        <v>140</v>
      </c>
      <c r="C29" t="s">
        <v>86</v>
      </c>
      <c r="D29" t="s">
        <v>141</v>
      </c>
      <c r="E29" t="s">
        <v>87</v>
      </c>
      <c r="F29">
        <v>2942659.28125</v>
      </c>
      <c r="G29">
        <v>3016943.125</v>
      </c>
      <c r="H29">
        <v>3054093.1875</v>
      </c>
      <c r="I29">
        <v>3022561.296875</v>
      </c>
      <c r="J29">
        <v>3039905.625</v>
      </c>
      <c r="K29">
        <v>3059129.734375</v>
      </c>
      <c r="L29">
        <v>2976858.390625</v>
      </c>
      <c r="M29">
        <v>2956066.890625</v>
      </c>
      <c r="N29">
        <v>2935772.453125</v>
      </c>
      <c r="O29">
        <v>2917649.171875</v>
      </c>
      <c r="P29">
        <v>2798763.640625</v>
      </c>
      <c r="Q29">
        <v>2852771.453125</v>
      </c>
      <c r="R29">
        <v>2857624.53125</v>
      </c>
      <c r="S29">
        <v>2789607.984375</v>
      </c>
      <c r="T29">
        <v>2797847.34375</v>
      </c>
      <c r="U29">
        <v>2799076.359375</v>
      </c>
      <c r="V29">
        <v>2777128.78125</v>
      </c>
      <c r="W29">
        <v>2728520.21875</v>
      </c>
      <c r="X29">
        <v>2802443.46875</v>
      </c>
      <c r="Y29">
        <v>2802031.828125</v>
      </c>
      <c r="Z29">
        <v>2788302.8125</v>
      </c>
      <c r="AA29">
        <v>2782490.125</v>
      </c>
      <c r="AB29">
        <v>2793834.109375</v>
      </c>
      <c r="AC29">
        <v>2817011.203125</v>
      </c>
      <c r="AD29">
        <v>2825727.078125</v>
      </c>
      <c r="AE29">
        <v>2855901.390625</v>
      </c>
      <c r="AF29">
        <v>2895052.25</v>
      </c>
    </row>
    <row r="30" spans="1:32" x14ac:dyDescent="0.3">
      <c r="A30" t="s">
        <v>18</v>
      </c>
      <c r="B30" t="s">
        <v>142</v>
      </c>
      <c r="C30" t="s">
        <v>86</v>
      </c>
      <c r="D30" t="s">
        <v>143</v>
      </c>
      <c r="E30" t="s">
        <v>87</v>
      </c>
      <c r="F30">
        <v>200186.546875</v>
      </c>
      <c r="G30">
        <v>200848.625</v>
      </c>
      <c r="H30">
        <v>188695.375</v>
      </c>
      <c r="I30">
        <v>174736.65625</v>
      </c>
      <c r="J30">
        <v>164190.140625</v>
      </c>
      <c r="K30">
        <v>162512.515625</v>
      </c>
      <c r="L30">
        <v>156582.859375</v>
      </c>
      <c r="M30">
        <v>152938.078125</v>
      </c>
      <c r="N30">
        <v>147171.296875</v>
      </c>
      <c r="O30">
        <v>141584.359375</v>
      </c>
      <c r="P30">
        <v>138505.921875</v>
      </c>
      <c r="Q30">
        <v>145423.5</v>
      </c>
      <c r="R30">
        <v>144491.984375</v>
      </c>
      <c r="S30">
        <v>139353.515625</v>
      </c>
      <c r="T30">
        <v>139906.859375</v>
      </c>
      <c r="U30">
        <v>139438.109375</v>
      </c>
      <c r="V30">
        <v>137074.75</v>
      </c>
      <c r="W30">
        <v>133452.4375</v>
      </c>
      <c r="X30">
        <v>141181.328125</v>
      </c>
      <c r="Y30">
        <v>144608.8125</v>
      </c>
      <c r="Z30">
        <v>139785.0625</v>
      </c>
      <c r="AA30">
        <v>136056.5</v>
      </c>
      <c r="AB30">
        <v>139160.140625</v>
      </c>
      <c r="AC30">
        <v>145098.046875</v>
      </c>
      <c r="AD30">
        <v>146299.28125</v>
      </c>
      <c r="AE30">
        <v>130671.734375</v>
      </c>
      <c r="AF30">
        <v>138325.609375</v>
      </c>
    </row>
    <row r="31" spans="1:32" x14ac:dyDescent="0.3">
      <c r="A31" t="s">
        <v>18</v>
      </c>
      <c r="B31" t="s">
        <v>144</v>
      </c>
      <c r="C31" t="s">
        <v>86</v>
      </c>
      <c r="D31" t="s">
        <v>145</v>
      </c>
      <c r="E31" t="s">
        <v>87</v>
      </c>
      <c r="F31">
        <v>122255.8203125</v>
      </c>
      <c r="G31">
        <v>122725.9453125</v>
      </c>
      <c r="H31">
        <v>115422.7890625</v>
      </c>
      <c r="I31">
        <v>106889.09375</v>
      </c>
      <c r="J31">
        <v>100314.7890625</v>
      </c>
      <c r="K31">
        <v>102371.6875</v>
      </c>
      <c r="L31">
        <v>101779.375</v>
      </c>
      <c r="M31">
        <v>100922.0078125</v>
      </c>
      <c r="N31">
        <v>97948.421875</v>
      </c>
      <c r="O31">
        <v>94373.171875</v>
      </c>
      <c r="P31">
        <v>90284.9140625</v>
      </c>
      <c r="Q31">
        <v>92018.75</v>
      </c>
      <c r="R31">
        <v>98048.6640625</v>
      </c>
      <c r="S31">
        <v>101381.234375</v>
      </c>
      <c r="T31">
        <v>109096.28125</v>
      </c>
      <c r="U31">
        <v>113881.6328125</v>
      </c>
      <c r="V31">
        <v>117197.296875</v>
      </c>
      <c r="W31">
        <v>119429.0078125</v>
      </c>
      <c r="X31">
        <v>111936.0390625</v>
      </c>
      <c r="Y31">
        <v>100748.546875</v>
      </c>
      <c r="Z31">
        <v>96893.5078125</v>
      </c>
      <c r="AA31">
        <v>93752.6640625</v>
      </c>
      <c r="AB31">
        <v>93556.7109375</v>
      </c>
      <c r="AC31">
        <v>94780.9609375</v>
      </c>
      <c r="AD31">
        <v>93981.5390625</v>
      </c>
      <c r="AE31">
        <v>94219.140625</v>
      </c>
      <c r="AF31">
        <v>95766.2109375</v>
      </c>
    </row>
    <row r="32" spans="1:32" x14ac:dyDescent="0.3">
      <c r="A32" t="s">
        <v>18</v>
      </c>
      <c r="B32" t="s">
        <v>146</v>
      </c>
      <c r="C32" t="s">
        <v>86</v>
      </c>
      <c r="D32" t="s">
        <v>147</v>
      </c>
      <c r="E32" t="s">
        <v>87</v>
      </c>
      <c r="F32">
        <v>379755.28125</v>
      </c>
      <c r="G32">
        <v>381137.40625</v>
      </c>
      <c r="H32">
        <v>374150.1875</v>
      </c>
      <c r="I32">
        <v>363279.34375</v>
      </c>
      <c r="J32">
        <v>359325.875</v>
      </c>
      <c r="K32">
        <v>371784.1875</v>
      </c>
      <c r="L32">
        <v>374763.6875</v>
      </c>
      <c r="M32">
        <v>371486.59375</v>
      </c>
      <c r="N32">
        <v>362784.15625</v>
      </c>
      <c r="O32">
        <v>354176.625</v>
      </c>
      <c r="P32">
        <v>346446.5625</v>
      </c>
      <c r="Q32">
        <v>363396.09375</v>
      </c>
      <c r="R32">
        <v>372643.9375</v>
      </c>
      <c r="S32">
        <v>370926.5</v>
      </c>
      <c r="T32">
        <v>384364.28125</v>
      </c>
      <c r="U32">
        <v>378767.375</v>
      </c>
      <c r="V32">
        <v>367975.46875</v>
      </c>
      <c r="W32">
        <v>353801.75</v>
      </c>
      <c r="X32">
        <v>372944.53125</v>
      </c>
      <c r="Y32">
        <v>380644.75</v>
      </c>
      <c r="Z32">
        <v>383408.46875</v>
      </c>
      <c r="AA32">
        <v>388520.59375</v>
      </c>
      <c r="AB32">
        <v>394029.65625</v>
      </c>
      <c r="AC32">
        <v>402231</v>
      </c>
      <c r="AD32">
        <v>425875.71875</v>
      </c>
      <c r="AE32">
        <v>423087.0625</v>
      </c>
      <c r="AF32">
        <v>421928.09375</v>
      </c>
    </row>
    <row r="33" spans="1:32" x14ac:dyDescent="0.3">
      <c r="A33" t="s">
        <v>18</v>
      </c>
      <c r="B33" t="s">
        <v>148</v>
      </c>
      <c r="C33" t="s">
        <v>86</v>
      </c>
      <c r="D33" t="s">
        <v>149</v>
      </c>
      <c r="E33" t="s">
        <v>87</v>
      </c>
      <c r="F33">
        <v>355603.8125</v>
      </c>
      <c r="G33">
        <v>357507.5</v>
      </c>
      <c r="H33">
        <v>367292.59375</v>
      </c>
      <c r="I33">
        <v>369801.25</v>
      </c>
      <c r="J33">
        <v>379794.625</v>
      </c>
      <c r="K33">
        <v>390048.0625</v>
      </c>
      <c r="L33">
        <v>389768.09375</v>
      </c>
      <c r="M33">
        <v>395729.34375</v>
      </c>
      <c r="N33">
        <v>387130.03125</v>
      </c>
      <c r="O33">
        <v>393695.25</v>
      </c>
      <c r="P33">
        <v>382401.3125</v>
      </c>
      <c r="Q33">
        <v>398225.125</v>
      </c>
      <c r="R33">
        <v>388151.1875</v>
      </c>
      <c r="S33">
        <v>383270.375</v>
      </c>
      <c r="T33">
        <v>394165.84375</v>
      </c>
      <c r="U33">
        <v>415053.21875</v>
      </c>
      <c r="V33">
        <v>409405.5625</v>
      </c>
      <c r="W33">
        <v>394594.875</v>
      </c>
      <c r="X33">
        <v>403617.40625</v>
      </c>
      <c r="Y33">
        <v>410060.5625</v>
      </c>
      <c r="Z33">
        <v>415354.125</v>
      </c>
      <c r="AA33">
        <v>421341.96875</v>
      </c>
      <c r="AB33">
        <v>417942.875</v>
      </c>
      <c r="AC33">
        <v>421807.3125</v>
      </c>
      <c r="AD33">
        <v>410341.4375</v>
      </c>
      <c r="AE33">
        <v>406449.90625</v>
      </c>
      <c r="AF33">
        <v>398391.71875</v>
      </c>
    </row>
    <row r="34" spans="1:32" x14ac:dyDescent="0.3">
      <c r="A34" t="s">
        <v>18</v>
      </c>
      <c r="B34" t="s">
        <v>150</v>
      </c>
      <c r="C34" t="s">
        <v>86</v>
      </c>
      <c r="D34" t="s">
        <v>151</v>
      </c>
      <c r="E34" t="s">
        <v>87</v>
      </c>
      <c r="F34">
        <v>4447170.8125</v>
      </c>
      <c r="G34">
        <v>4544751.375</v>
      </c>
      <c r="H34">
        <v>4626058.3125</v>
      </c>
      <c r="I34">
        <v>4668857.9375</v>
      </c>
      <c r="J34">
        <v>4710708</v>
      </c>
      <c r="K34">
        <v>4687216.9375</v>
      </c>
      <c r="L34">
        <v>4766466.5</v>
      </c>
      <c r="M34">
        <v>4725879.625</v>
      </c>
      <c r="N34">
        <v>4646210.8125</v>
      </c>
      <c r="O34">
        <v>4569232.3125</v>
      </c>
      <c r="P34">
        <v>4626460.625</v>
      </c>
      <c r="Q34">
        <v>4623853</v>
      </c>
      <c r="R34">
        <v>4696707.5625</v>
      </c>
      <c r="S34">
        <v>4642074.75</v>
      </c>
      <c r="T34">
        <v>4717519.125</v>
      </c>
      <c r="U34">
        <v>4734883.625</v>
      </c>
      <c r="V34">
        <v>4599426.1875</v>
      </c>
      <c r="W34">
        <v>4578849.6875</v>
      </c>
      <c r="X34">
        <v>4720852.8125</v>
      </c>
      <c r="Y34">
        <v>4765272.4375</v>
      </c>
      <c r="Z34">
        <v>4671533.5</v>
      </c>
      <c r="AA34">
        <v>4729706.875</v>
      </c>
      <c r="AB34">
        <v>4781590.125</v>
      </c>
      <c r="AC34">
        <v>4988602.875</v>
      </c>
      <c r="AD34">
        <v>5026585.375</v>
      </c>
      <c r="AE34">
        <v>4728718.625</v>
      </c>
      <c r="AF34">
        <v>4468179.8125</v>
      </c>
    </row>
    <row r="35" spans="1:32" x14ac:dyDescent="0.3">
      <c r="A35" t="s">
        <v>18</v>
      </c>
      <c r="B35" t="s">
        <v>152</v>
      </c>
      <c r="C35" t="s">
        <v>86</v>
      </c>
      <c r="D35" t="s">
        <v>153</v>
      </c>
      <c r="E35" t="s">
        <v>87</v>
      </c>
      <c r="F35">
        <v>1314607.6015625</v>
      </c>
      <c r="G35">
        <v>1336466.0703125</v>
      </c>
      <c r="H35">
        <v>1359961.6015625</v>
      </c>
      <c r="I35">
        <v>1412831.1640625</v>
      </c>
      <c r="J35">
        <v>1423783.9140625</v>
      </c>
      <c r="K35">
        <v>1538429.4375</v>
      </c>
      <c r="L35">
        <v>1577181.3671875</v>
      </c>
      <c r="M35">
        <v>1562902.234375</v>
      </c>
      <c r="N35">
        <v>1591452.71875</v>
      </c>
      <c r="O35">
        <v>1616752.0859375</v>
      </c>
      <c r="P35">
        <v>1712476.484375</v>
      </c>
      <c r="Q35">
        <v>1783159.5625</v>
      </c>
      <c r="R35">
        <v>1792402.8046875</v>
      </c>
      <c r="S35">
        <v>1828051.59375</v>
      </c>
      <c r="T35">
        <v>1817146.125</v>
      </c>
      <c r="U35">
        <v>1848909.7578125</v>
      </c>
      <c r="V35">
        <v>1833850.8359375</v>
      </c>
      <c r="W35">
        <v>1720086.71875</v>
      </c>
      <c r="X35">
        <v>1745295.0546875</v>
      </c>
      <c r="Y35">
        <v>1759956.765625</v>
      </c>
      <c r="Z35">
        <v>1778572.03125</v>
      </c>
      <c r="AA35">
        <v>1837218.265625</v>
      </c>
      <c r="AB35">
        <v>1867623.5390625</v>
      </c>
      <c r="AC35">
        <v>1937844.2421875</v>
      </c>
      <c r="AD35">
        <v>1979493.6171875</v>
      </c>
      <c r="AE35">
        <v>2017594.4921875</v>
      </c>
      <c r="AF35">
        <v>2049149.9765625</v>
      </c>
    </row>
    <row r="36" spans="1:32" x14ac:dyDescent="0.3">
      <c r="A36" t="s">
        <v>18</v>
      </c>
      <c r="B36" t="s">
        <v>154</v>
      </c>
      <c r="C36" t="s">
        <v>86</v>
      </c>
      <c r="D36" t="s">
        <v>155</v>
      </c>
      <c r="E36" t="s">
        <v>87</v>
      </c>
      <c r="F36">
        <v>396956.3515625</v>
      </c>
      <c r="G36">
        <v>400553.8046875</v>
      </c>
      <c r="H36">
        <v>405289.5703125</v>
      </c>
      <c r="I36">
        <v>397659.7890625</v>
      </c>
      <c r="J36">
        <v>396618.6640625</v>
      </c>
      <c r="K36">
        <v>397326.546875</v>
      </c>
      <c r="L36">
        <v>396369.3984375</v>
      </c>
      <c r="M36">
        <v>389031.25</v>
      </c>
      <c r="N36">
        <v>385534</v>
      </c>
      <c r="O36">
        <v>387278.7421875</v>
      </c>
      <c r="P36">
        <v>395330.984375</v>
      </c>
      <c r="Q36">
        <v>397427.625</v>
      </c>
      <c r="R36">
        <v>402024.8359375</v>
      </c>
      <c r="S36">
        <v>411402.796875</v>
      </c>
      <c r="T36">
        <v>414592.96875</v>
      </c>
      <c r="U36">
        <v>416210.5390625</v>
      </c>
      <c r="V36">
        <v>414042.4296875</v>
      </c>
      <c r="W36">
        <v>365320.90625</v>
      </c>
      <c r="X36">
        <v>358960.7890625</v>
      </c>
      <c r="Y36">
        <v>362057.046875</v>
      </c>
      <c r="Z36">
        <v>365274.75</v>
      </c>
      <c r="AA36">
        <v>367627.953125</v>
      </c>
      <c r="AB36">
        <v>376148.0078125</v>
      </c>
      <c r="AC36">
        <v>388443.7109375</v>
      </c>
      <c r="AD36">
        <v>405044.3671875</v>
      </c>
      <c r="AE36">
        <v>409297.5859375</v>
      </c>
      <c r="AF36">
        <v>408902.1328125</v>
      </c>
    </row>
    <row r="37" spans="1:32" x14ac:dyDescent="0.3">
      <c r="A37" t="s">
        <v>18</v>
      </c>
      <c r="B37" t="s">
        <v>156</v>
      </c>
      <c r="C37" t="s">
        <v>86</v>
      </c>
      <c r="D37" t="s">
        <v>157</v>
      </c>
      <c r="E37" t="s">
        <v>87</v>
      </c>
      <c r="F37">
        <v>198016.9375</v>
      </c>
      <c r="G37">
        <v>218431.765625</v>
      </c>
      <c r="H37">
        <v>210080.46875</v>
      </c>
      <c r="I37">
        <v>203154.6875</v>
      </c>
      <c r="J37">
        <v>207482.3125</v>
      </c>
      <c r="K37">
        <v>255859.265625</v>
      </c>
      <c r="L37">
        <v>260090.78125</v>
      </c>
      <c r="M37">
        <v>240669.734375</v>
      </c>
      <c r="N37">
        <v>225338.96875</v>
      </c>
      <c r="O37">
        <v>208483.21875</v>
      </c>
      <c r="P37">
        <v>231935.375</v>
      </c>
      <c r="Q37">
        <v>259548.5625</v>
      </c>
      <c r="R37">
        <v>254914.59375</v>
      </c>
      <c r="S37">
        <v>258154.546875</v>
      </c>
      <c r="T37">
        <v>247780.53125</v>
      </c>
      <c r="U37">
        <v>253451.46875</v>
      </c>
      <c r="V37">
        <v>250518.28125</v>
      </c>
      <c r="W37">
        <v>239601.0625</v>
      </c>
      <c r="X37">
        <v>256030.265625</v>
      </c>
      <c r="Y37">
        <v>249074.59375</v>
      </c>
      <c r="Z37">
        <v>248657.15625</v>
      </c>
      <c r="AA37">
        <v>279483.8125</v>
      </c>
      <c r="AB37">
        <v>286055.65625</v>
      </c>
      <c r="AC37">
        <v>311380.28125</v>
      </c>
      <c r="AD37">
        <v>317531.75</v>
      </c>
      <c r="AE37">
        <v>326800.53125</v>
      </c>
      <c r="AF37">
        <v>340871.84375</v>
      </c>
    </row>
    <row r="38" spans="1:32" x14ac:dyDescent="0.3">
      <c r="A38" t="s">
        <v>18</v>
      </c>
      <c r="B38" t="s">
        <v>158</v>
      </c>
      <c r="C38" t="s">
        <v>86</v>
      </c>
      <c r="D38" t="s">
        <v>159</v>
      </c>
      <c r="E38" t="s">
        <v>87</v>
      </c>
      <c r="F38">
        <v>719634.3125</v>
      </c>
      <c r="G38">
        <v>717480.5</v>
      </c>
      <c r="H38">
        <v>744591.5625</v>
      </c>
      <c r="I38">
        <v>812016.6875</v>
      </c>
      <c r="J38">
        <v>819682.9375</v>
      </c>
      <c r="K38">
        <v>885243.625</v>
      </c>
      <c r="L38">
        <v>920721.1875</v>
      </c>
      <c r="M38">
        <v>933201.25</v>
      </c>
      <c r="N38">
        <v>980579.75</v>
      </c>
      <c r="O38">
        <v>1020990.125</v>
      </c>
      <c r="P38">
        <v>1085210.125</v>
      </c>
      <c r="Q38">
        <v>1126183.375</v>
      </c>
      <c r="R38">
        <v>1135463.375</v>
      </c>
      <c r="S38">
        <v>1158494.25</v>
      </c>
      <c r="T38">
        <v>1154772.625</v>
      </c>
      <c r="U38">
        <v>1179247.75</v>
      </c>
      <c r="V38">
        <v>1169290.125</v>
      </c>
      <c r="W38">
        <v>1115164.75</v>
      </c>
      <c r="X38">
        <v>1130304</v>
      </c>
      <c r="Y38">
        <v>1148825.125</v>
      </c>
      <c r="Z38">
        <v>1164640.125</v>
      </c>
      <c r="AA38">
        <v>1190106.5</v>
      </c>
      <c r="AB38">
        <v>1205419.875</v>
      </c>
      <c r="AC38">
        <v>1238020.25</v>
      </c>
      <c r="AD38">
        <v>1256917.5</v>
      </c>
      <c r="AE38">
        <v>1281496.375</v>
      </c>
      <c r="AF38">
        <v>1299376</v>
      </c>
    </row>
    <row r="39" spans="1:32" x14ac:dyDescent="0.3">
      <c r="A39" t="s">
        <v>18</v>
      </c>
      <c r="B39" t="s">
        <v>160</v>
      </c>
      <c r="C39" t="s">
        <v>86</v>
      </c>
      <c r="D39" t="s">
        <v>161</v>
      </c>
      <c r="E39" t="s">
        <v>87</v>
      </c>
      <c r="F39">
        <v>2036865</v>
      </c>
      <c r="G39">
        <v>1972249.6875</v>
      </c>
      <c r="H39">
        <v>1922494.5</v>
      </c>
      <c r="I39">
        <v>1941429.5625</v>
      </c>
      <c r="J39">
        <v>1869011.375</v>
      </c>
      <c r="K39">
        <v>1823124.25</v>
      </c>
      <c r="L39">
        <v>1734132.625</v>
      </c>
      <c r="M39">
        <v>1718236.0625</v>
      </c>
      <c r="N39">
        <v>1644263.875</v>
      </c>
      <c r="O39">
        <v>1600567.1875</v>
      </c>
      <c r="P39">
        <v>1593966.5</v>
      </c>
      <c r="Q39">
        <v>1582009.875</v>
      </c>
      <c r="R39">
        <v>1594146.5625</v>
      </c>
      <c r="S39">
        <v>1634966.0625</v>
      </c>
      <c r="T39">
        <v>1616267.0625</v>
      </c>
      <c r="U39">
        <v>1612689.3125</v>
      </c>
      <c r="V39">
        <v>1600682</v>
      </c>
      <c r="W39">
        <v>1583970.4375</v>
      </c>
      <c r="X39">
        <v>1538651.1875</v>
      </c>
      <c r="Y39">
        <v>1480525.3125</v>
      </c>
      <c r="Z39">
        <v>1512168.6875</v>
      </c>
      <c r="AA39">
        <v>1556064.5625</v>
      </c>
      <c r="AB39">
        <v>1567346.6875</v>
      </c>
      <c r="AC39">
        <v>1584189.75</v>
      </c>
      <c r="AD39">
        <v>1594368.1875</v>
      </c>
      <c r="AE39">
        <v>1614128.6875</v>
      </c>
      <c r="AF39">
        <v>1607876</v>
      </c>
    </row>
    <row r="40" spans="1:32" x14ac:dyDescent="0.3">
      <c r="A40" t="s">
        <v>18</v>
      </c>
      <c r="B40" t="s">
        <v>162</v>
      </c>
      <c r="C40" t="s">
        <v>86</v>
      </c>
      <c r="D40" t="s">
        <v>163</v>
      </c>
      <c r="E40" t="s">
        <v>87</v>
      </c>
      <c r="F40">
        <v>785768.875</v>
      </c>
      <c r="G40">
        <v>787905.375</v>
      </c>
      <c r="H40">
        <v>806015.75</v>
      </c>
      <c r="I40">
        <v>841110.8125</v>
      </c>
      <c r="J40">
        <v>837408.25</v>
      </c>
      <c r="K40">
        <v>848008.5</v>
      </c>
      <c r="L40">
        <v>847262.9375</v>
      </c>
      <c r="M40">
        <v>867562.0625</v>
      </c>
      <c r="N40">
        <v>859035.0625</v>
      </c>
      <c r="O40">
        <v>878617.3125</v>
      </c>
      <c r="P40">
        <v>907505.625</v>
      </c>
      <c r="Q40">
        <v>930504.5625</v>
      </c>
      <c r="R40">
        <v>986631.9375</v>
      </c>
      <c r="S40">
        <v>1030701.375</v>
      </c>
      <c r="T40">
        <v>1054587.625</v>
      </c>
      <c r="U40">
        <v>1035750.3125</v>
      </c>
      <c r="V40">
        <v>1049303.25</v>
      </c>
      <c r="W40">
        <v>1067015.125</v>
      </c>
      <c r="X40">
        <v>1047944.6875</v>
      </c>
      <c r="Y40">
        <v>1015175.5</v>
      </c>
      <c r="Z40">
        <v>1062580.125</v>
      </c>
      <c r="AA40">
        <v>1130344.375</v>
      </c>
      <c r="AB40">
        <v>1188723.875</v>
      </c>
      <c r="AC40">
        <v>1230901.125</v>
      </c>
      <c r="AD40">
        <v>1248567</v>
      </c>
      <c r="AE40">
        <v>1315478.625</v>
      </c>
      <c r="AF40">
        <v>1342924.875</v>
      </c>
    </row>
    <row r="41" spans="1:32" x14ac:dyDescent="0.3">
      <c r="A41" t="s">
        <v>18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18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18</v>
      </c>
      <c r="B43" t="s">
        <v>168</v>
      </c>
      <c r="C43" t="s">
        <v>86</v>
      </c>
      <c r="D43" t="s">
        <v>169</v>
      </c>
      <c r="E43" t="s">
        <v>87</v>
      </c>
      <c r="F43">
        <v>3817093.09375</v>
      </c>
      <c r="G43">
        <v>3928338.1875</v>
      </c>
      <c r="H43">
        <v>4110360.359375</v>
      </c>
      <c r="I43">
        <v>4219983.109375</v>
      </c>
      <c r="J43">
        <v>4225507.703125</v>
      </c>
      <c r="K43">
        <v>4284020.515625</v>
      </c>
      <c r="L43">
        <v>4428811.578125</v>
      </c>
      <c r="M43">
        <v>4532649.734375</v>
      </c>
      <c r="N43">
        <v>4782733.734375</v>
      </c>
      <c r="O43">
        <v>5078268.75</v>
      </c>
      <c r="P43">
        <v>5266907.046875</v>
      </c>
      <c r="Q43">
        <v>5407386.375</v>
      </c>
      <c r="R43">
        <v>5557739.34375</v>
      </c>
      <c r="S43">
        <v>5692666.15625</v>
      </c>
      <c r="T43">
        <v>5351835.046875</v>
      </c>
      <c r="U43">
        <v>5232189.375</v>
      </c>
      <c r="V43">
        <v>5347500.125</v>
      </c>
      <c r="W43">
        <v>5862609.3671875</v>
      </c>
      <c r="X43">
        <v>5976192.953125</v>
      </c>
      <c r="Y43">
        <v>6111695.546875</v>
      </c>
      <c r="Z43">
        <v>6326368</v>
      </c>
      <c r="AA43">
        <v>6525292.6875</v>
      </c>
      <c r="AB43">
        <v>6709767</v>
      </c>
      <c r="AC43">
        <v>6957079.140625</v>
      </c>
      <c r="AD43">
        <v>7160822.5625</v>
      </c>
      <c r="AE43">
        <v>7154196.125</v>
      </c>
      <c r="AF43">
        <v>7259398.578125</v>
      </c>
    </row>
    <row r="44" spans="1:32" x14ac:dyDescent="0.3">
      <c r="A44" t="s">
        <v>18</v>
      </c>
      <c r="B44" t="s">
        <v>170</v>
      </c>
      <c r="C44" t="s">
        <v>86</v>
      </c>
      <c r="D44" t="s">
        <v>171</v>
      </c>
      <c r="E44" t="s">
        <v>87</v>
      </c>
      <c r="F44">
        <v>59293246.347656198</v>
      </c>
      <c r="G44">
        <v>59377634.903808601</v>
      </c>
      <c r="H44">
        <v>59473981.275146499</v>
      </c>
      <c r="I44">
        <v>58995687.968261696</v>
      </c>
      <c r="J44">
        <v>58194276.5859375</v>
      </c>
      <c r="K44">
        <v>57769681.748535201</v>
      </c>
      <c r="L44">
        <v>57084786.420654297</v>
      </c>
      <c r="M44">
        <v>55767878.525878899</v>
      </c>
      <c r="N44">
        <v>55144514.638427697</v>
      </c>
      <c r="O44">
        <v>54735052.240966797</v>
      </c>
      <c r="P44">
        <v>54700152.4443359</v>
      </c>
      <c r="Q44">
        <v>54937271.650146499</v>
      </c>
      <c r="R44">
        <v>55119757.090332001</v>
      </c>
      <c r="S44">
        <v>54678216.464843802</v>
      </c>
      <c r="T44">
        <v>53331496.042968802</v>
      </c>
      <c r="U44">
        <v>52864254.968505897</v>
      </c>
      <c r="V44">
        <v>52496605.015380897</v>
      </c>
      <c r="W44">
        <v>52211025.739501998</v>
      </c>
      <c r="X44">
        <v>52243783.147216797</v>
      </c>
      <c r="Y44">
        <v>52392196.273681603</v>
      </c>
      <c r="Z44">
        <v>52457150.852050804</v>
      </c>
      <c r="AA44">
        <v>52851581.897827096</v>
      </c>
      <c r="AB44">
        <v>53418273.506469697</v>
      </c>
      <c r="AC44">
        <v>54549917.198974602</v>
      </c>
      <c r="AD44">
        <v>54889457.206542999</v>
      </c>
      <c r="AE44">
        <v>54282628.378906198</v>
      </c>
      <c r="AF44">
        <v>54009506.358032197</v>
      </c>
    </row>
    <row r="45" spans="1:32" x14ac:dyDescent="0.3">
      <c r="A45" t="s">
        <v>18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18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18</v>
      </c>
      <c r="B47" t="s">
        <v>176</v>
      </c>
      <c r="C47" t="s">
        <v>86</v>
      </c>
      <c r="D47" t="s">
        <v>177</v>
      </c>
      <c r="E47" t="s">
        <v>87</v>
      </c>
      <c r="F47">
        <v>2233709</v>
      </c>
      <c r="G47">
        <v>2184146.5</v>
      </c>
      <c r="H47">
        <v>2203555.75</v>
      </c>
      <c r="I47">
        <v>2224242.5</v>
      </c>
      <c r="J47">
        <v>2193258</v>
      </c>
      <c r="K47">
        <v>2182119</v>
      </c>
      <c r="L47">
        <v>2171418</v>
      </c>
      <c r="M47">
        <v>2227116</v>
      </c>
      <c r="N47">
        <v>2320818.5</v>
      </c>
      <c r="O47">
        <v>2391027</v>
      </c>
      <c r="P47">
        <v>2351376.25</v>
      </c>
      <c r="Q47">
        <v>2279500.75</v>
      </c>
      <c r="R47">
        <v>2334664</v>
      </c>
      <c r="S47">
        <v>2297258.75</v>
      </c>
      <c r="T47">
        <v>2285087.75</v>
      </c>
      <c r="U47">
        <v>2267133.25</v>
      </c>
      <c r="V47">
        <v>2271327.5</v>
      </c>
      <c r="W47">
        <v>2299576.75</v>
      </c>
      <c r="X47">
        <v>2349714.5</v>
      </c>
      <c r="Y47">
        <v>2417295.5</v>
      </c>
      <c r="Z47">
        <v>2368861.75</v>
      </c>
      <c r="AA47">
        <v>2372588</v>
      </c>
      <c r="AB47">
        <v>2356763</v>
      </c>
      <c r="AC47">
        <v>2401700.5</v>
      </c>
      <c r="AD47">
        <v>2499519.25</v>
      </c>
      <c r="AE47">
        <v>2554453</v>
      </c>
      <c r="AF47">
        <v>2565402.5</v>
      </c>
    </row>
    <row r="48" spans="1:32" x14ac:dyDescent="0.3">
      <c r="A48" t="s">
        <v>18</v>
      </c>
      <c r="B48" t="s">
        <v>178</v>
      </c>
      <c r="C48" t="s">
        <v>86</v>
      </c>
      <c r="D48" t="s">
        <v>179</v>
      </c>
      <c r="E48" t="s">
        <v>87</v>
      </c>
      <c r="F48">
        <v>7578929.8125</v>
      </c>
      <c r="G48">
        <v>7734847.1875</v>
      </c>
      <c r="H48">
        <v>8082068.5</v>
      </c>
      <c r="I48">
        <v>8346411.625</v>
      </c>
      <c r="J48">
        <v>8466348.5</v>
      </c>
      <c r="K48">
        <v>8610772.375</v>
      </c>
      <c r="L48">
        <v>8801573.5</v>
      </c>
      <c r="M48">
        <v>9119026.375</v>
      </c>
      <c r="N48">
        <v>9631350.6875</v>
      </c>
      <c r="O48">
        <v>10119381.25</v>
      </c>
      <c r="P48">
        <v>10405175.5</v>
      </c>
      <c r="Q48">
        <v>10514407.875</v>
      </c>
      <c r="R48">
        <v>10671824.375</v>
      </c>
      <c r="S48">
        <v>10845255.125</v>
      </c>
      <c r="T48">
        <v>11118485.375</v>
      </c>
      <c r="U48">
        <v>11401979.25</v>
      </c>
      <c r="V48">
        <v>11667704</v>
      </c>
      <c r="W48">
        <v>11775239.25</v>
      </c>
      <c r="X48">
        <v>12291856.5</v>
      </c>
      <c r="Y48">
        <v>12706355</v>
      </c>
      <c r="Z48">
        <v>12944745.625</v>
      </c>
      <c r="AA48">
        <v>13255287.25</v>
      </c>
      <c r="AB48">
        <v>13445384.5</v>
      </c>
      <c r="AC48">
        <v>13729473.375</v>
      </c>
      <c r="AD48">
        <v>14080958.625</v>
      </c>
      <c r="AE48">
        <v>14205025</v>
      </c>
      <c r="AF48">
        <v>14482350.875</v>
      </c>
    </row>
    <row r="49" spans="1:32" x14ac:dyDescent="0.3">
      <c r="A49" t="s">
        <v>18</v>
      </c>
      <c r="B49" t="s">
        <v>180</v>
      </c>
      <c r="C49" t="s">
        <v>86</v>
      </c>
      <c r="D49" t="s">
        <v>181</v>
      </c>
      <c r="E49" t="s">
        <v>87</v>
      </c>
      <c r="F49">
        <v>2023057.625</v>
      </c>
      <c r="G49">
        <v>2029573.375</v>
      </c>
      <c r="H49">
        <v>2094741.125</v>
      </c>
      <c r="I49">
        <v>2129861.75</v>
      </c>
      <c r="J49">
        <v>2129034.5</v>
      </c>
      <c r="K49">
        <v>2073004.75</v>
      </c>
      <c r="L49">
        <v>2063872.375</v>
      </c>
      <c r="M49">
        <v>2106300.75</v>
      </c>
      <c r="N49">
        <v>2208619.75</v>
      </c>
      <c r="O49">
        <v>2293812.75</v>
      </c>
      <c r="P49">
        <v>2287102.25</v>
      </c>
      <c r="Q49">
        <v>2266802.5</v>
      </c>
      <c r="R49">
        <v>2292016</v>
      </c>
      <c r="S49">
        <v>2341800</v>
      </c>
      <c r="T49">
        <v>2393303.75</v>
      </c>
      <c r="U49">
        <v>2434278.75</v>
      </c>
      <c r="V49">
        <v>2455714.25</v>
      </c>
      <c r="W49">
        <v>2397578.25</v>
      </c>
      <c r="X49">
        <v>2439276.25</v>
      </c>
      <c r="Y49">
        <v>2466064.25</v>
      </c>
      <c r="Z49">
        <v>2531329.75</v>
      </c>
      <c r="AA49">
        <v>2576530</v>
      </c>
      <c r="AB49">
        <v>2606180.25</v>
      </c>
      <c r="AC49">
        <v>2686157.75</v>
      </c>
      <c r="AD49">
        <v>2727129.25</v>
      </c>
      <c r="AE49">
        <v>2722073</v>
      </c>
      <c r="AF49">
        <v>2755164.25</v>
      </c>
    </row>
    <row r="50" spans="1:32" x14ac:dyDescent="0.3">
      <c r="A50" t="s">
        <v>18</v>
      </c>
      <c r="B50" t="s">
        <v>182</v>
      </c>
      <c r="C50" t="s">
        <v>86</v>
      </c>
      <c r="D50" t="s">
        <v>183</v>
      </c>
      <c r="E50" t="s">
        <v>87</v>
      </c>
      <c r="F50">
        <v>3322163.1875</v>
      </c>
      <c r="G50">
        <v>3521127.3125</v>
      </c>
      <c r="H50">
        <v>3783771.625</v>
      </c>
      <c r="I50">
        <v>3992307.375</v>
      </c>
      <c r="J50">
        <v>4144056</v>
      </c>
      <c r="K50">
        <v>4355648.625</v>
      </c>
      <c r="L50">
        <v>4566283.125</v>
      </c>
      <c r="M50">
        <v>4785609.625</v>
      </c>
      <c r="N50">
        <v>5101912.4375</v>
      </c>
      <c r="O50">
        <v>5434541.5</v>
      </c>
      <c r="P50">
        <v>5766697</v>
      </c>
      <c r="Q50">
        <v>5968104.625</v>
      </c>
      <c r="R50">
        <v>6045144.375</v>
      </c>
      <c r="S50">
        <v>6206196.375</v>
      </c>
      <c r="T50">
        <v>6440093.875</v>
      </c>
      <c r="U50">
        <v>6700567.25</v>
      </c>
      <c r="V50">
        <v>6940662.25</v>
      </c>
      <c r="W50">
        <v>7078084.25</v>
      </c>
      <c r="X50">
        <v>7502865.75</v>
      </c>
      <c r="Y50">
        <v>7822995.25</v>
      </c>
      <c r="Z50">
        <v>8044554.125</v>
      </c>
      <c r="AA50">
        <v>8306169.25</v>
      </c>
      <c r="AB50">
        <v>8482441.25</v>
      </c>
      <c r="AC50">
        <v>8641615.125</v>
      </c>
      <c r="AD50">
        <v>8854310.125</v>
      </c>
      <c r="AE50">
        <v>8928499</v>
      </c>
      <c r="AF50">
        <v>9161784.125</v>
      </c>
    </row>
    <row r="51" spans="1:32" x14ac:dyDescent="0.3">
      <c r="A51" t="s">
        <v>18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18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18</v>
      </c>
      <c r="B53" t="s">
        <v>188</v>
      </c>
      <c r="C53" t="s">
        <v>86</v>
      </c>
      <c r="D53" t="s">
        <v>189</v>
      </c>
      <c r="E53" t="s">
        <v>87</v>
      </c>
      <c r="F53">
        <v>1063258.625</v>
      </c>
      <c r="G53">
        <v>1110246.875</v>
      </c>
      <c r="H53">
        <v>1100517.125</v>
      </c>
      <c r="I53">
        <v>1065270.75</v>
      </c>
      <c r="J53">
        <v>1041379.6875</v>
      </c>
      <c r="K53">
        <v>1031680.75</v>
      </c>
      <c r="L53">
        <v>1031522.8125</v>
      </c>
      <c r="M53">
        <v>1048389.3125</v>
      </c>
      <c r="N53">
        <v>1038727.1875</v>
      </c>
      <c r="O53">
        <v>1048386.0625</v>
      </c>
      <c r="P53">
        <v>1019370</v>
      </c>
      <c r="Q53">
        <v>1001951</v>
      </c>
      <c r="R53">
        <v>992588.5625</v>
      </c>
      <c r="S53">
        <v>1014660.3125</v>
      </c>
      <c r="T53">
        <v>1067694.5</v>
      </c>
      <c r="U53">
        <v>1073498</v>
      </c>
      <c r="V53">
        <v>1037493.3125</v>
      </c>
      <c r="W53">
        <v>999741.8125</v>
      </c>
      <c r="X53">
        <v>989220</v>
      </c>
      <c r="Y53">
        <v>987459.625</v>
      </c>
      <c r="Z53">
        <v>1010010.5</v>
      </c>
      <c r="AA53">
        <v>1054284.75</v>
      </c>
      <c r="AB53">
        <v>1099564.125</v>
      </c>
      <c r="AC53">
        <v>1139829.375</v>
      </c>
      <c r="AD53">
        <v>1169413.25</v>
      </c>
      <c r="AE53">
        <v>1167244.875</v>
      </c>
      <c r="AF53">
        <v>1135819.25</v>
      </c>
    </row>
    <row r="54" spans="1:32" x14ac:dyDescent="0.3">
      <c r="A54" t="s">
        <v>18</v>
      </c>
      <c r="B54" t="s">
        <v>190</v>
      </c>
      <c r="C54" t="s">
        <v>86</v>
      </c>
      <c r="D54" t="s">
        <v>191</v>
      </c>
      <c r="E54" t="s">
        <v>87</v>
      </c>
      <c r="F54">
        <v>4596505.5625</v>
      </c>
      <c r="G54">
        <v>4612612.25</v>
      </c>
      <c r="H54">
        <v>4584161.4375</v>
      </c>
      <c r="I54">
        <v>4518915.9375</v>
      </c>
      <c r="J54">
        <v>4383985.3125</v>
      </c>
      <c r="K54">
        <v>4404249.3125</v>
      </c>
      <c r="L54">
        <v>4515416.8125</v>
      </c>
      <c r="M54">
        <v>4520908.3125</v>
      </c>
      <c r="N54">
        <v>4485185.4375</v>
      </c>
      <c r="O54">
        <v>4546904.75</v>
      </c>
      <c r="P54">
        <v>4635351.0625</v>
      </c>
      <c r="Q54">
        <v>4703125.375</v>
      </c>
      <c r="R54">
        <v>4669057.875</v>
      </c>
      <c r="S54">
        <v>4670588.0625</v>
      </c>
      <c r="T54">
        <v>4715845</v>
      </c>
      <c r="U54">
        <v>4749296.8125</v>
      </c>
      <c r="V54">
        <v>4708527.625</v>
      </c>
      <c r="W54">
        <v>4552371.1875</v>
      </c>
      <c r="X54">
        <v>4549261.625</v>
      </c>
      <c r="Y54">
        <v>4544370.6875</v>
      </c>
      <c r="Z54">
        <v>4525128.1875</v>
      </c>
      <c r="AA54">
        <v>4581027.6875</v>
      </c>
      <c r="AB54">
        <v>4651016.9375</v>
      </c>
      <c r="AC54">
        <v>4799503.75</v>
      </c>
      <c r="AD54">
        <v>4932731.1875</v>
      </c>
      <c r="AE54">
        <v>4925634.4375</v>
      </c>
      <c r="AF54">
        <v>4868711.6875</v>
      </c>
    </row>
    <row r="55" spans="1:32" x14ac:dyDescent="0.3">
      <c r="A55" t="s">
        <v>18</v>
      </c>
      <c r="B55" t="s">
        <v>192</v>
      </c>
      <c r="C55" t="s">
        <v>86</v>
      </c>
      <c r="D55" t="s">
        <v>193</v>
      </c>
      <c r="E55" t="s">
        <v>87</v>
      </c>
      <c r="F55">
        <v>3533246.9375</v>
      </c>
      <c r="G55">
        <v>3502365.375</v>
      </c>
      <c r="H55">
        <v>3483644.3125</v>
      </c>
      <c r="I55">
        <v>3453645.1875</v>
      </c>
      <c r="J55">
        <v>3342605.625</v>
      </c>
      <c r="K55">
        <v>3372568.5625</v>
      </c>
      <c r="L55">
        <v>3483894</v>
      </c>
      <c r="M55">
        <v>3472519</v>
      </c>
      <c r="N55">
        <v>3446458.25</v>
      </c>
      <c r="O55">
        <v>3498518.6875</v>
      </c>
      <c r="P55">
        <v>3615981.0625</v>
      </c>
      <c r="Q55">
        <v>3701174.375</v>
      </c>
      <c r="R55">
        <v>3676469.3125</v>
      </c>
      <c r="S55">
        <v>3655927.75</v>
      </c>
      <c r="T55">
        <v>3648150.5</v>
      </c>
      <c r="U55">
        <v>3675798.8125</v>
      </c>
      <c r="V55">
        <v>3671034.3125</v>
      </c>
      <c r="W55">
        <v>3552629.375</v>
      </c>
      <c r="X55">
        <v>3560041.625</v>
      </c>
      <c r="Y55">
        <v>3556911.0625</v>
      </c>
      <c r="Z55">
        <v>3515117.6875</v>
      </c>
      <c r="AA55">
        <v>3526742.9375</v>
      </c>
      <c r="AB55">
        <v>3551452.8125</v>
      </c>
      <c r="AC55">
        <v>3659674.375</v>
      </c>
      <c r="AD55">
        <v>3763317.9375</v>
      </c>
      <c r="AE55">
        <v>3758389.5625</v>
      </c>
      <c r="AF55">
        <v>3732892.4375</v>
      </c>
    </row>
    <row r="56" spans="1:32" x14ac:dyDescent="0.3">
      <c r="A56" t="s">
        <v>18</v>
      </c>
      <c r="B56" t="s">
        <v>194</v>
      </c>
      <c r="C56" t="s">
        <v>86</v>
      </c>
      <c r="D56" t="s">
        <v>195</v>
      </c>
      <c r="E56" t="s">
        <v>87</v>
      </c>
      <c r="F56">
        <v>13165.724609375</v>
      </c>
      <c r="G56">
        <v>13198.1552734375</v>
      </c>
      <c r="H56">
        <v>13197.0166015625</v>
      </c>
      <c r="I56">
        <v>13026.2255859375</v>
      </c>
      <c r="J56">
        <v>12623.052734375</v>
      </c>
      <c r="K56">
        <v>12106.4453125</v>
      </c>
      <c r="L56">
        <v>11806.103515625</v>
      </c>
      <c r="M56">
        <v>10988.212890625</v>
      </c>
      <c r="N56">
        <v>10450.955078125</v>
      </c>
      <c r="O56">
        <v>9795.603515625</v>
      </c>
      <c r="P56">
        <v>10091.4326171875</v>
      </c>
      <c r="Q56">
        <v>10337.40625</v>
      </c>
      <c r="R56">
        <v>10283.6884765625</v>
      </c>
      <c r="S56">
        <v>10318.5380859375</v>
      </c>
      <c r="T56">
        <v>10377.78515625</v>
      </c>
      <c r="U56">
        <v>10747.9912109375</v>
      </c>
      <c r="V56">
        <v>11005.447265625</v>
      </c>
      <c r="W56">
        <v>10917.0849609375</v>
      </c>
      <c r="X56">
        <v>11571.8544921875</v>
      </c>
      <c r="Y56">
        <v>12148.0615234375</v>
      </c>
      <c r="Z56">
        <v>11295.578125</v>
      </c>
      <c r="AA56">
        <v>10449.9658203125</v>
      </c>
      <c r="AB56">
        <v>10438.53125</v>
      </c>
      <c r="AC56">
        <v>10638.4140625</v>
      </c>
      <c r="AD56">
        <v>10676.083984375</v>
      </c>
      <c r="AE56">
        <v>10595.22265625</v>
      </c>
      <c r="AF56">
        <v>10640.8369140625</v>
      </c>
    </row>
    <row r="57" spans="1:32" x14ac:dyDescent="0.3">
      <c r="A57" t="s">
        <v>18</v>
      </c>
      <c r="B57" t="s">
        <v>196</v>
      </c>
      <c r="C57" t="s">
        <v>86</v>
      </c>
      <c r="D57" t="s">
        <v>197</v>
      </c>
      <c r="E57" t="s">
        <v>87</v>
      </c>
      <c r="F57">
        <v>67671110.759765595</v>
      </c>
      <c r="G57">
        <v>67913585.621582001</v>
      </c>
      <c r="H57">
        <v>68375262.541748002</v>
      </c>
      <c r="I57">
        <v>68196236.631347701</v>
      </c>
      <c r="J57">
        <v>67510656.388671905</v>
      </c>
      <c r="K57">
        <v>67240569.068847701</v>
      </c>
      <c r="L57">
        <v>66745428.9616699</v>
      </c>
      <c r="M57">
        <v>65765455.176269501</v>
      </c>
      <c r="N57">
        <v>65645351.343505897</v>
      </c>
      <c r="O57">
        <v>65742846.4069824</v>
      </c>
      <c r="P57">
        <v>66022925.001953103</v>
      </c>
      <c r="Q57">
        <v>66392521.493896499</v>
      </c>
      <c r="R57">
        <v>66788497.091308601</v>
      </c>
      <c r="S57">
        <v>66564491.502929702</v>
      </c>
      <c r="T57">
        <v>65514946.828125</v>
      </c>
      <c r="U57">
        <v>65312732.522216797</v>
      </c>
      <c r="V57">
        <v>65224617.712646499</v>
      </c>
      <c r="W57">
        <v>65064197.199462898</v>
      </c>
      <c r="X57">
        <v>65595156.189208999</v>
      </c>
      <c r="Y57">
        <v>66125874.8352051</v>
      </c>
      <c r="Z57">
        <v>66475772.180175804</v>
      </c>
      <c r="AA57">
        <v>67247663.488647506</v>
      </c>
      <c r="AB57">
        <v>68062820.412719697</v>
      </c>
      <c r="AC57">
        <v>69520930.113037094</v>
      </c>
      <c r="AD57">
        <v>70229658.915527299</v>
      </c>
      <c r="AE57">
        <v>69813727.2265625</v>
      </c>
      <c r="AF57">
        <v>69845422.944946304</v>
      </c>
    </row>
    <row r="58" spans="1:32" x14ac:dyDescent="0.3">
      <c r="A58" t="s">
        <v>18</v>
      </c>
      <c r="B58" t="s">
        <v>198</v>
      </c>
      <c r="C58" t="s">
        <v>86</v>
      </c>
      <c r="D58" t="s">
        <v>199</v>
      </c>
      <c r="E58" t="s">
        <v>87</v>
      </c>
      <c r="F58">
        <v>67657945.035156205</v>
      </c>
      <c r="G58">
        <v>67900387.466308594</v>
      </c>
      <c r="H58">
        <v>68362065.525146499</v>
      </c>
      <c r="I58">
        <v>68183210.405761704</v>
      </c>
      <c r="J58">
        <v>67498033.3359375</v>
      </c>
      <c r="K58">
        <v>67228462.623535201</v>
      </c>
      <c r="L58">
        <v>66733622.858154297</v>
      </c>
      <c r="M58">
        <v>65754466.963378899</v>
      </c>
      <c r="N58">
        <v>65634900.388427697</v>
      </c>
      <c r="O58">
        <v>65733050.803466797</v>
      </c>
      <c r="P58">
        <v>66012833.5693359</v>
      </c>
      <c r="Q58">
        <v>66382184.087646499</v>
      </c>
      <c r="R58">
        <v>66778213.402832001</v>
      </c>
      <c r="S58">
        <v>66554172.964843802</v>
      </c>
      <c r="T58">
        <v>65504569.042968802</v>
      </c>
      <c r="U58">
        <v>65301984.531005897</v>
      </c>
      <c r="V58">
        <v>65213612.265380897</v>
      </c>
      <c r="W58">
        <v>65053280.114501998</v>
      </c>
      <c r="X58">
        <v>65583584.334716797</v>
      </c>
      <c r="Y58">
        <v>66113726.773681603</v>
      </c>
      <c r="Z58">
        <v>66464476.602050804</v>
      </c>
      <c r="AA58">
        <v>67237213.522827104</v>
      </c>
      <c r="AB58">
        <v>68052381.881469697</v>
      </c>
      <c r="AC58">
        <v>69510291.698974594</v>
      </c>
      <c r="AD58">
        <v>70218982.831542999</v>
      </c>
      <c r="AE58">
        <v>69803132.003906205</v>
      </c>
      <c r="AF58">
        <v>69834782.108032197</v>
      </c>
    </row>
    <row r="59" spans="1:32" x14ac:dyDescent="0.3">
      <c r="A59" t="s">
        <v>18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20</v>
      </c>
      <c r="B2" t="s">
        <v>84</v>
      </c>
      <c r="C2" t="s">
        <v>86</v>
      </c>
      <c r="D2" t="s">
        <v>85</v>
      </c>
      <c r="E2" t="s">
        <v>87</v>
      </c>
      <c r="F2">
        <v>454818.09375</v>
      </c>
      <c r="G2">
        <v>466054.2578125</v>
      </c>
      <c r="H2">
        <v>466505.01953125</v>
      </c>
      <c r="I2">
        <v>480876.31640625</v>
      </c>
      <c r="J2">
        <v>487447.90625</v>
      </c>
      <c r="K2">
        <v>503321.44140625</v>
      </c>
      <c r="L2">
        <v>511076.28515625</v>
      </c>
      <c r="M2">
        <v>501434.18359375</v>
      </c>
      <c r="N2">
        <v>514022.33984375</v>
      </c>
      <c r="O2">
        <v>501848.08984375</v>
      </c>
      <c r="P2">
        <v>512070.890625</v>
      </c>
      <c r="Q2">
        <v>538911.58984375</v>
      </c>
      <c r="R2">
        <v>570809.83203125</v>
      </c>
      <c r="S2">
        <v>592593.6875</v>
      </c>
      <c r="T2">
        <v>606299.6171875</v>
      </c>
      <c r="U2">
        <v>610526.80859375</v>
      </c>
      <c r="V2">
        <v>609157.88671875</v>
      </c>
      <c r="W2">
        <v>613511.703125</v>
      </c>
      <c r="X2">
        <v>619556.23046875</v>
      </c>
      <c r="Y2">
        <v>633108.1328125</v>
      </c>
      <c r="Z2">
        <v>653202.8515625</v>
      </c>
      <c r="AA2">
        <v>680818.796875</v>
      </c>
      <c r="AB2">
        <v>706566.7421875</v>
      </c>
      <c r="AC2">
        <v>755456.796875</v>
      </c>
      <c r="AD2">
        <v>782717.09375</v>
      </c>
      <c r="AE2">
        <v>768556.20703125</v>
      </c>
      <c r="AF2">
        <v>748769.62109375</v>
      </c>
    </row>
    <row r="3" spans="1:32" x14ac:dyDescent="0.3">
      <c r="A3" t="s">
        <v>20</v>
      </c>
      <c r="B3" t="s">
        <v>88</v>
      </c>
      <c r="C3" t="s">
        <v>86</v>
      </c>
      <c r="D3" t="s">
        <v>89</v>
      </c>
      <c r="E3" t="s">
        <v>87</v>
      </c>
      <c r="F3">
        <v>75566.484375</v>
      </c>
      <c r="G3">
        <v>75635.8359375</v>
      </c>
      <c r="H3">
        <v>85345.9765625</v>
      </c>
      <c r="I3">
        <v>76841.8125</v>
      </c>
      <c r="J3">
        <v>75965.3125</v>
      </c>
      <c r="K3">
        <v>74905.71875</v>
      </c>
      <c r="L3">
        <v>73364.6484375</v>
      </c>
      <c r="M3">
        <v>62625.55078125</v>
      </c>
      <c r="N3">
        <v>61192.19921875</v>
      </c>
      <c r="O3">
        <v>49999.8828125</v>
      </c>
      <c r="P3">
        <v>49096.5625</v>
      </c>
      <c r="Q3">
        <v>49328.7890625</v>
      </c>
      <c r="R3">
        <v>49704.12109375</v>
      </c>
      <c r="S3">
        <v>39408.5625</v>
      </c>
      <c r="T3">
        <v>48372.4765625</v>
      </c>
      <c r="U3">
        <v>47296.1328125</v>
      </c>
      <c r="V3">
        <v>40081.16015625</v>
      </c>
      <c r="W3">
        <v>40189.59375</v>
      </c>
      <c r="X3">
        <v>40420.109375</v>
      </c>
      <c r="Y3">
        <v>51633.34765625</v>
      </c>
      <c r="Z3">
        <v>52620.9609375</v>
      </c>
      <c r="AA3">
        <v>42638.46875</v>
      </c>
      <c r="AB3">
        <v>52130.640625</v>
      </c>
      <c r="AC3">
        <v>42167.62890625</v>
      </c>
      <c r="AD3">
        <v>42020.90625</v>
      </c>
      <c r="AE3">
        <v>42117.328125</v>
      </c>
      <c r="AF3">
        <v>42691.8515625</v>
      </c>
    </row>
    <row r="4" spans="1:32" x14ac:dyDescent="0.3">
      <c r="A4" t="s">
        <v>20</v>
      </c>
      <c r="B4" t="s">
        <v>90</v>
      </c>
      <c r="C4" t="s">
        <v>86</v>
      </c>
      <c r="D4" t="s">
        <v>91</v>
      </c>
      <c r="E4" t="s">
        <v>87</v>
      </c>
      <c r="F4">
        <v>13276212.604492201</v>
      </c>
      <c r="G4">
        <v>13229986.0036621</v>
      </c>
      <c r="H4">
        <v>13201293.794677701</v>
      </c>
      <c r="I4">
        <v>12664746.0112305</v>
      </c>
      <c r="J4">
        <v>12321952.454589801</v>
      </c>
      <c r="K4">
        <v>12154264.662597699</v>
      </c>
      <c r="L4">
        <v>11878209.3273926</v>
      </c>
      <c r="M4">
        <v>11348163.8134766</v>
      </c>
      <c r="N4">
        <v>10994928.4812012</v>
      </c>
      <c r="O4">
        <v>10747588.059082</v>
      </c>
      <c r="P4">
        <v>10709894.090332</v>
      </c>
      <c r="Q4">
        <v>10955044.8244629</v>
      </c>
      <c r="R4">
        <v>11071310.8283691</v>
      </c>
      <c r="S4">
        <v>10920454.5039062</v>
      </c>
      <c r="T4">
        <v>10257950.3430176</v>
      </c>
      <c r="U4">
        <v>10077341.6330566</v>
      </c>
      <c r="V4">
        <v>10014336.310791001</v>
      </c>
      <c r="W4">
        <v>9902202.94287109</v>
      </c>
      <c r="X4">
        <v>9689691.59692383</v>
      </c>
      <c r="Y4">
        <v>9705408.7243652306</v>
      </c>
      <c r="Z4">
        <v>9663430.3146972694</v>
      </c>
      <c r="AA4">
        <v>9732038.1771240197</v>
      </c>
      <c r="AB4">
        <v>9809428.5621337909</v>
      </c>
      <c r="AC4">
        <v>9961956.82666016</v>
      </c>
      <c r="AD4">
        <v>10001950.290893501</v>
      </c>
      <c r="AE4">
        <v>9835096.0512695294</v>
      </c>
      <c r="AF4">
        <v>9736936.9417724591</v>
      </c>
    </row>
    <row r="5" spans="1:32" x14ac:dyDescent="0.3">
      <c r="A5" t="s">
        <v>20</v>
      </c>
      <c r="B5" t="s">
        <v>92</v>
      </c>
      <c r="C5" t="s">
        <v>86</v>
      </c>
      <c r="D5" t="s">
        <v>93</v>
      </c>
      <c r="E5" t="s">
        <v>87</v>
      </c>
      <c r="F5">
        <v>1770431.5458984401</v>
      </c>
      <c r="G5">
        <v>1784802.4326171901</v>
      </c>
      <c r="H5">
        <v>1771480.72265625</v>
      </c>
      <c r="I5">
        <v>1752974.8291015599</v>
      </c>
      <c r="J5">
        <v>1731816.3330078099</v>
      </c>
      <c r="K5">
        <v>1713101.875</v>
      </c>
      <c r="L5">
        <v>1744693.9140625</v>
      </c>
      <c r="M5">
        <v>1728916.1738281201</v>
      </c>
      <c r="N5">
        <v>1687605.5205078099</v>
      </c>
      <c r="O5">
        <v>1651563.1962890599</v>
      </c>
      <c r="P5">
        <v>1639018.1816406201</v>
      </c>
      <c r="Q5">
        <v>1646153.7988281201</v>
      </c>
      <c r="R5">
        <v>1641980.0576171901</v>
      </c>
      <c r="S5">
        <v>1638153.71484375</v>
      </c>
      <c r="T5">
        <v>1608309.1074218799</v>
      </c>
      <c r="U5">
        <v>1593369.3591308601</v>
      </c>
      <c r="V5">
        <v>1530874.79614258</v>
      </c>
      <c r="W5">
        <v>1587116.5087890599</v>
      </c>
      <c r="X5">
        <v>1584533.6447753899</v>
      </c>
      <c r="Y5">
        <v>1604761.2653808601</v>
      </c>
      <c r="Z5">
        <v>1593353.9841308601</v>
      </c>
      <c r="AA5">
        <v>1605296.67468262</v>
      </c>
      <c r="AB5">
        <v>1613928.81066895</v>
      </c>
      <c r="AC5">
        <v>1629752.76025391</v>
      </c>
      <c r="AD5">
        <v>1633609.38708496</v>
      </c>
      <c r="AE5">
        <v>1610750.1684570301</v>
      </c>
      <c r="AF5">
        <v>1598445.87927246</v>
      </c>
    </row>
    <row r="6" spans="1:32" x14ac:dyDescent="0.3">
      <c r="A6" t="s">
        <v>20</v>
      </c>
      <c r="B6" t="s">
        <v>94</v>
      </c>
      <c r="C6" t="s">
        <v>86</v>
      </c>
      <c r="D6" t="s">
        <v>95</v>
      </c>
      <c r="E6" t="s">
        <v>87</v>
      </c>
      <c r="F6">
        <v>1054425.2890625</v>
      </c>
      <c r="G6">
        <v>1012241.65625</v>
      </c>
      <c r="H6">
        <v>960239.25390625</v>
      </c>
      <c r="I6">
        <v>871503.0546875</v>
      </c>
      <c r="J6">
        <v>795789.6875</v>
      </c>
      <c r="K6">
        <v>719082.8828125</v>
      </c>
      <c r="L6">
        <v>664919.57421875</v>
      </c>
      <c r="M6">
        <v>602049.26171875</v>
      </c>
      <c r="N6">
        <v>565267.0859375</v>
      </c>
      <c r="O6">
        <v>527098.3359375</v>
      </c>
      <c r="P6">
        <v>499375.765625</v>
      </c>
      <c r="Q6">
        <v>500020.1015625</v>
      </c>
      <c r="R6">
        <v>486937.66015625</v>
      </c>
      <c r="S6">
        <v>468913.15234375</v>
      </c>
      <c r="T6">
        <v>445728.04296875</v>
      </c>
      <c r="U6">
        <v>423136.87109375</v>
      </c>
      <c r="V6">
        <v>414230.048828125</v>
      </c>
      <c r="W6">
        <v>407744.990234375</v>
      </c>
      <c r="X6">
        <v>385583.298828125</v>
      </c>
      <c r="Y6">
        <v>370931.81640625</v>
      </c>
      <c r="Z6">
        <v>359607.404296875</v>
      </c>
      <c r="AA6">
        <v>355448.861328125</v>
      </c>
      <c r="AB6">
        <v>346582.1171875</v>
      </c>
      <c r="AC6">
        <v>338807.986328125</v>
      </c>
      <c r="AD6">
        <v>330776.61328125</v>
      </c>
      <c r="AE6">
        <v>296879.73828125</v>
      </c>
      <c r="AF6">
        <v>270074.97265625</v>
      </c>
    </row>
    <row r="7" spans="1:32" x14ac:dyDescent="0.3">
      <c r="A7" t="s">
        <v>20</v>
      </c>
      <c r="B7" t="s">
        <v>96</v>
      </c>
      <c r="C7" t="s">
        <v>86</v>
      </c>
      <c r="D7" t="s">
        <v>97</v>
      </c>
      <c r="E7" t="s">
        <v>87</v>
      </c>
      <c r="F7">
        <v>1209996.0625</v>
      </c>
      <c r="G7">
        <v>1207893.96875</v>
      </c>
      <c r="H7">
        <v>1192153.0546875</v>
      </c>
      <c r="I7">
        <v>1149641.2421875</v>
      </c>
      <c r="J7">
        <v>1111455.7421875</v>
      </c>
      <c r="K7">
        <v>1080675.7578125</v>
      </c>
      <c r="L7">
        <v>1057933.6640625</v>
      </c>
      <c r="M7">
        <v>1018845.8515625</v>
      </c>
      <c r="N7">
        <v>985065.3984375</v>
      </c>
      <c r="O7">
        <v>947159.9609375</v>
      </c>
      <c r="P7">
        <v>930110.5859375</v>
      </c>
      <c r="Q7">
        <v>932585.8671875</v>
      </c>
      <c r="R7">
        <v>910422.6015625</v>
      </c>
      <c r="S7">
        <v>875777.5546875</v>
      </c>
      <c r="T7">
        <v>833477.09375</v>
      </c>
      <c r="U7">
        <v>800768.59375</v>
      </c>
      <c r="V7">
        <v>792060.984375</v>
      </c>
      <c r="W7">
        <v>781910.96875</v>
      </c>
      <c r="X7">
        <v>752616.32421875</v>
      </c>
      <c r="Y7">
        <v>739351.98828125</v>
      </c>
      <c r="Z7">
        <v>726087.74609375</v>
      </c>
      <c r="AA7">
        <v>722244.0078125</v>
      </c>
      <c r="AB7">
        <v>715138.5859375</v>
      </c>
      <c r="AC7">
        <v>711082.01171875</v>
      </c>
      <c r="AD7">
        <v>706714.43359375</v>
      </c>
      <c r="AE7">
        <v>681502.7890625</v>
      </c>
      <c r="AF7">
        <v>660411.28515625</v>
      </c>
    </row>
    <row r="8" spans="1:32" x14ac:dyDescent="0.3">
      <c r="A8" t="s">
        <v>20</v>
      </c>
      <c r="B8" t="s">
        <v>98</v>
      </c>
      <c r="C8" t="s">
        <v>86</v>
      </c>
      <c r="D8" t="s">
        <v>99</v>
      </c>
      <c r="E8" t="s">
        <v>87</v>
      </c>
      <c r="F8">
        <v>51591.4404296875</v>
      </c>
      <c r="G8">
        <v>51299.4609375</v>
      </c>
      <c r="H8">
        <v>51047.59375</v>
      </c>
      <c r="I8">
        <v>49711.994140625</v>
      </c>
      <c r="J8">
        <v>46804.232421875</v>
      </c>
      <c r="K8">
        <v>44899.310546875</v>
      </c>
      <c r="L8">
        <v>44375.787109375</v>
      </c>
      <c r="M8">
        <v>42581.966796875</v>
      </c>
      <c r="N8">
        <v>41061.3408203125</v>
      </c>
      <c r="O8">
        <v>38852.1376953125</v>
      </c>
      <c r="P8">
        <v>37854.1875</v>
      </c>
      <c r="Q8">
        <v>37954.521484375</v>
      </c>
      <c r="R8">
        <v>37710.05078125</v>
      </c>
      <c r="S8">
        <v>37192.201171875</v>
      </c>
      <c r="T8">
        <v>37537.48828125</v>
      </c>
      <c r="U8">
        <v>37406.0029296875</v>
      </c>
      <c r="V8">
        <v>39361.65625</v>
      </c>
      <c r="W8">
        <v>38072.7099609375</v>
      </c>
      <c r="X8">
        <v>37312.73046875</v>
      </c>
      <c r="Y8">
        <v>38313.69140625</v>
      </c>
      <c r="Z8">
        <v>37614.9365234375</v>
      </c>
      <c r="AA8">
        <v>38119.259765625</v>
      </c>
      <c r="AB8">
        <v>38706.2626953125</v>
      </c>
      <c r="AC8">
        <v>39314.447265625</v>
      </c>
      <c r="AD8">
        <v>40508.73828125</v>
      </c>
      <c r="AE8">
        <v>42841.0439453125</v>
      </c>
      <c r="AF8">
        <v>44697.208984375</v>
      </c>
    </row>
    <row r="9" spans="1:32" x14ac:dyDescent="0.3">
      <c r="A9" t="s">
        <v>20</v>
      </c>
      <c r="B9" t="s">
        <v>100</v>
      </c>
      <c r="C9" t="s">
        <v>86</v>
      </c>
      <c r="D9" t="s">
        <v>101</v>
      </c>
      <c r="E9" t="s">
        <v>87</v>
      </c>
      <c r="F9">
        <v>435357.14916992199</v>
      </c>
      <c r="G9">
        <v>435257.62060546898</v>
      </c>
      <c r="H9">
        <v>437976.66455078102</v>
      </c>
      <c r="I9">
        <v>426117.19848632801</v>
      </c>
      <c r="J9">
        <v>420862.13183593802</v>
      </c>
      <c r="K9">
        <v>417831.47753906198</v>
      </c>
      <c r="L9">
        <v>416680.21484375</v>
      </c>
      <c r="M9">
        <v>407696.36621093802</v>
      </c>
      <c r="N9">
        <v>393504.59277343802</v>
      </c>
      <c r="O9">
        <v>386553.568359375</v>
      </c>
      <c r="P9">
        <v>391997.83544921898</v>
      </c>
      <c r="Q9">
        <v>399267.4296875</v>
      </c>
      <c r="R9">
        <v>399645.490234375</v>
      </c>
      <c r="S9">
        <v>399458.92089843802</v>
      </c>
      <c r="T9">
        <v>385223.88208007801</v>
      </c>
      <c r="U9">
        <v>375061.73730468802</v>
      </c>
      <c r="V9">
        <v>381227.60595703102</v>
      </c>
      <c r="W9">
        <v>372787.42089843802</v>
      </c>
      <c r="X9">
        <v>365039.98974609398</v>
      </c>
      <c r="Y9">
        <v>363814.83740234398</v>
      </c>
      <c r="Z9">
        <v>367781.74853515602</v>
      </c>
      <c r="AA9">
        <v>373859.49316406198</v>
      </c>
      <c r="AB9">
        <v>382553.013671875</v>
      </c>
      <c r="AC9">
        <v>395835.14208984398</v>
      </c>
      <c r="AD9">
        <v>404472.46533203102</v>
      </c>
      <c r="AE9">
        <v>413760.6640625</v>
      </c>
      <c r="AF9">
        <v>422042.525390625</v>
      </c>
    </row>
    <row r="10" spans="1:32" x14ac:dyDescent="0.3">
      <c r="A10" t="s">
        <v>20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20</v>
      </c>
      <c r="B11" t="s">
        <v>104</v>
      </c>
      <c r="C11" t="s">
        <v>86</v>
      </c>
      <c r="D11" t="s">
        <v>105</v>
      </c>
      <c r="E11" t="s">
        <v>87</v>
      </c>
      <c r="F11">
        <v>161017.984375</v>
      </c>
      <c r="G11">
        <v>163591.28125</v>
      </c>
      <c r="H11">
        <v>163421.46875</v>
      </c>
      <c r="I11">
        <v>157147.5</v>
      </c>
      <c r="J11">
        <v>159207.015625</v>
      </c>
      <c r="K11">
        <v>159175.59375</v>
      </c>
      <c r="L11">
        <v>164171.375</v>
      </c>
      <c r="M11">
        <v>164844.09375</v>
      </c>
      <c r="N11">
        <v>157264.890625</v>
      </c>
      <c r="O11">
        <v>157673.90625</v>
      </c>
      <c r="P11">
        <v>157496.90625</v>
      </c>
      <c r="Q11">
        <v>160554.53125</v>
      </c>
      <c r="R11">
        <v>151761.640625</v>
      </c>
      <c r="S11">
        <v>148983.671875</v>
      </c>
      <c r="T11">
        <v>148155.90625</v>
      </c>
      <c r="U11">
        <v>146956.59375</v>
      </c>
      <c r="V11">
        <v>144143.765625</v>
      </c>
      <c r="W11">
        <v>148327</v>
      </c>
      <c r="X11">
        <v>147908.6875</v>
      </c>
      <c r="Y11">
        <v>152436.765625</v>
      </c>
      <c r="Z11">
        <v>152254.484375</v>
      </c>
      <c r="AA11">
        <v>153136.421875</v>
      </c>
      <c r="AB11">
        <v>152036.5</v>
      </c>
      <c r="AC11">
        <v>153276.453125</v>
      </c>
      <c r="AD11">
        <v>157422.890625</v>
      </c>
      <c r="AE11">
        <v>160787.640625</v>
      </c>
      <c r="AF11">
        <v>162755.78125</v>
      </c>
    </row>
    <row r="12" spans="1:32" x14ac:dyDescent="0.3">
      <c r="A12" t="s">
        <v>20</v>
      </c>
      <c r="B12" t="s">
        <v>106</v>
      </c>
      <c r="C12" t="s">
        <v>86</v>
      </c>
      <c r="D12" t="s">
        <v>107</v>
      </c>
      <c r="E12" t="s">
        <v>87</v>
      </c>
      <c r="F12">
        <v>1243629.890625</v>
      </c>
      <c r="G12">
        <v>1238044.4375</v>
      </c>
      <c r="H12">
        <v>1228792.8515625</v>
      </c>
      <c r="I12">
        <v>1165796.96875</v>
      </c>
      <c r="J12">
        <v>1142153.703125</v>
      </c>
      <c r="K12">
        <v>1133151.3515625</v>
      </c>
      <c r="L12">
        <v>1112878.71875</v>
      </c>
      <c r="M12">
        <v>1060648.09375</v>
      </c>
      <c r="N12">
        <v>1035416.22265625</v>
      </c>
      <c r="O12">
        <v>1009969.40625</v>
      </c>
      <c r="P12">
        <v>997693.9921875</v>
      </c>
      <c r="Q12">
        <v>1013452.87109375</v>
      </c>
      <c r="R12">
        <v>1037538.8515625</v>
      </c>
      <c r="S12">
        <v>1011834.7265625</v>
      </c>
      <c r="T12">
        <v>951119.58984375</v>
      </c>
      <c r="U12">
        <v>951037.49609375</v>
      </c>
      <c r="V12">
        <v>956100.10546875</v>
      </c>
      <c r="W12">
        <v>958945.79296875</v>
      </c>
      <c r="X12">
        <v>946242.8359375</v>
      </c>
      <c r="Y12">
        <v>952502.5625</v>
      </c>
      <c r="Z12">
        <v>952971.7109375</v>
      </c>
      <c r="AA12">
        <v>959722.41796875</v>
      </c>
      <c r="AB12">
        <v>968943.046875</v>
      </c>
      <c r="AC12">
        <v>993715.56640625</v>
      </c>
      <c r="AD12">
        <v>1006015.77734375</v>
      </c>
      <c r="AE12">
        <v>995252.046875</v>
      </c>
      <c r="AF12">
        <v>988999.55078125</v>
      </c>
    </row>
    <row r="13" spans="1:32" x14ac:dyDescent="0.3">
      <c r="A13" t="s">
        <v>20</v>
      </c>
      <c r="B13" t="s">
        <v>108</v>
      </c>
      <c r="C13" t="s">
        <v>86</v>
      </c>
      <c r="D13" t="s">
        <v>109</v>
      </c>
      <c r="E13" t="s">
        <v>87</v>
      </c>
      <c r="F13">
        <v>1603789.1408691399</v>
      </c>
      <c r="G13">
        <v>1589462.6340332001</v>
      </c>
      <c r="H13">
        <v>1589317.3957519501</v>
      </c>
      <c r="I13">
        <v>1496332.4660644501</v>
      </c>
      <c r="J13">
        <v>1437569.8120117199</v>
      </c>
      <c r="K13">
        <v>1440731.9331054699</v>
      </c>
      <c r="L13">
        <v>1399800.5988769501</v>
      </c>
      <c r="M13">
        <v>1346848.4785156201</v>
      </c>
      <c r="N13">
        <v>1291559.64624023</v>
      </c>
      <c r="O13">
        <v>1263833.85791016</v>
      </c>
      <c r="P13">
        <v>1274658.4658203099</v>
      </c>
      <c r="Q13">
        <v>1311743.2619628899</v>
      </c>
      <c r="R13">
        <v>1320032.99926758</v>
      </c>
      <c r="S13">
        <v>1321051.5527343799</v>
      </c>
      <c r="T13">
        <v>1226052.4365234401</v>
      </c>
      <c r="U13">
        <v>1212320.9379882801</v>
      </c>
      <c r="V13">
        <v>1217155.5434570301</v>
      </c>
      <c r="W13">
        <v>1228260.5463867199</v>
      </c>
      <c r="X13">
        <v>1200344.8315429699</v>
      </c>
      <c r="Y13">
        <v>1209855.9692382801</v>
      </c>
      <c r="Z13">
        <v>1185506.7919921901</v>
      </c>
      <c r="AA13">
        <v>1195154.83740234</v>
      </c>
      <c r="AB13">
        <v>1217211.69384766</v>
      </c>
      <c r="AC13">
        <v>1237999.94677734</v>
      </c>
      <c r="AD13">
        <v>1246772.4589843799</v>
      </c>
      <c r="AE13">
        <v>1224565.6206054699</v>
      </c>
      <c r="AF13">
        <v>1204979.6323242199</v>
      </c>
    </row>
    <row r="14" spans="1:32" x14ac:dyDescent="0.3">
      <c r="A14" t="s">
        <v>20</v>
      </c>
      <c r="B14" t="s">
        <v>110</v>
      </c>
      <c r="C14" t="s">
        <v>86</v>
      </c>
      <c r="D14" t="s">
        <v>111</v>
      </c>
      <c r="E14" t="s">
        <v>87</v>
      </c>
      <c r="F14">
        <v>1690449.34375</v>
      </c>
      <c r="G14">
        <v>1670251.15234375</v>
      </c>
      <c r="H14">
        <v>1710489.2109375</v>
      </c>
      <c r="I14">
        <v>1680074.2109375</v>
      </c>
      <c r="J14">
        <v>1670657.5625</v>
      </c>
      <c r="K14">
        <v>1660636.91015625</v>
      </c>
      <c r="L14">
        <v>1559803.26171875</v>
      </c>
      <c r="M14">
        <v>1423639.79296875</v>
      </c>
      <c r="N14">
        <v>1389018.8535156201</v>
      </c>
      <c r="O14">
        <v>1344874.1582031201</v>
      </c>
      <c r="P14">
        <v>1288000.2246093799</v>
      </c>
      <c r="Q14">
        <v>1323142.37890625</v>
      </c>
      <c r="R14">
        <v>1373049.1953125</v>
      </c>
      <c r="S14">
        <v>1339959.1259765599</v>
      </c>
      <c r="T14">
        <v>1221049.3818359401</v>
      </c>
      <c r="U14">
        <v>1180144.7363281201</v>
      </c>
      <c r="V14">
        <v>1154942.4609375</v>
      </c>
      <c r="W14">
        <v>1035709.9970703101</v>
      </c>
      <c r="X14">
        <v>972707.49609375</v>
      </c>
      <c r="Y14">
        <v>950154.546875</v>
      </c>
      <c r="Z14">
        <v>936390.1796875</v>
      </c>
      <c r="AA14">
        <v>934273.765625</v>
      </c>
      <c r="AB14">
        <v>939945.875</v>
      </c>
      <c r="AC14">
        <v>956722.93457031203</v>
      </c>
      <c r="AD14">
        <v>960156.41699218797</v>
      </c>
      <c r="AE14">
        <v>960914.72216796898</v>
      </c>
      <c r="AF14">
        <v>968903.34814453102</v>
      </c>
    </row>
    <row r="15" spans="1:32" x14ac:dyDescent="0.3">
      <c r="A15" t="s">
        <v>20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20</v>
      </c>
      <c r="B16" t="s">
        <v>114</v>
      </c>
      <c r="C16" t="s">
        <v>86</v>
      </c>
      <c r="D16" t="s">
        <v>115</v>
      </c>
      <c r="E16" t="s">
        <v>87</v>
      </c>
      <c r="F16">
        <v>887359.4609375</v>
      </c>
      <c r="G16">
        <v>875430.203125</v>
      </c>
      <c r="H16">
        <v>885457.453125</v>
      </c>
      <c r="I16">
        <v>833604.640625</v>
      </c>
      <c r="J16">
        <v>817120.578125</v>
      </c>
      <c r="K16">
        <v>813202.71875</v>
      </c>
      <c r="L16">
        <v>784285.59375</v>
      </c>
      <c r="M16">
        <v>726862.9140625</v>
      </c>
      <c r="N16">
        <v>677144.234375</v>
      </c>
      <c r="O16">
        <v>661679.078125</v>
      </c>
      <c r="P16">
        <v>679135.8515625</v>
      </c>
      <c r="Q16">
        <v>709329.390625</v>
      </c>
      <c r="R16">
        <v>705621.234375</v>
      </c>
      <c r="S16">
        <v>669862.828125</v>
      </c>
      <c r="T16">
        <v>626222.8125</v>
      </c>
      <c r="U16">
        <v>624128.4375</v>
      </c>
      <c r="V16">
        <v>619303.5859375</v>
      </c>
      <c r="W16">
        <v>598764.8359375</v>
      </c>
      <c r="X16">
        <v>585112.3515625</v>
      </c>
      <c r="Y16">
        <v>590939.09375</v>
      </c>
      <c r="Z16">
        <v>587121.7265625</v>
      </c>
      <c r="AA16">
        <v>583265.78125</v>
      </c>
      <c r="AB16">
        <v>581463.2578125</v>
      </c>
      <c r="AC16">
        <v>598916.125</v>
      </c>
      <c r="AD16">
        <v>611086.3984375</v>
      </c>
      <c r="AE16">
        <v>604907.78125</v>
      </c>
      <c r="AF16">
        <v>600655.7265625</v>
      </c>
    </row>
    <row r="17" spans="1:32" x14ac:dyDescent="0.3">
      <c r="A17" t="s">
        <v>20</v>
      </c>
      <c r="B17" t="s">
        <v>116</v>
      </c>
      <c r="C17" t="s">
        <v>86</v>
      </c>
      <c r="D17" t="s">
        <v>117</v>
      </c>
      <c r="E17" t="s">
        <v>87</v>
      </c>
      <c r="F17">
        <v>1389407.9375</v>
      </c>
      <c r="G17">
        <v>1413377.59375</v>
      </c>
      <c r="H17">
        <v>1424031.09375</v>
      </c>
      <c r="I17">
        <v>1379192.390625</v>
      </c>
      <c r="J17">
        <v>1342863.9375</v>
      </c>
      <c r="K17">
        <v>1347740.9765625</v>
      </c>
      <c r="L17">
        <v>1310401.5</v>
      </c>
      <c r="M17">
        <v>1245140.2734375</v>
      </c>
      <c r="N17">
        <v>1208501.1640625</v>
      </c>
      <c r="O17">
        <v>1217036.5</v>
      </c>
      <c r="P17">
        <v>1240093.765625</v>
      </c>
      <c r="Q17">
        <v>1291126.78125</v>
      </c>
      <c r="R17">
        <v>1345341.890625</v>
      </c>
      <c r="S17">
        <v>1379299.5234375</v>
      </c>
      <c r="T17">
        <v>1255266.0390625</v>
      </c>
      <c r="U17">
        <v>1243448.9453125</v>
      </c>
      <c r="V17">
        <v>1245339.4296875</v>
      </c>
      <c r="W17">
        <v>1238234.96875</v>
      </c>
      <c r="X17">
        <v>1208145.890625</v>
      </c>
      <c r="Y17">
        <v>1208235.265625</v>
      </c>
      <c r="Z17">
        <v>1198063.6484375</v>
      </c>
      <c r="AA17">
        <v>1218510.796875</v>
      </c>
      <c r="AB17">
        <v>1249486.6484375</v>
      </c>
      <c r="AC17">
        <v>1279059.234375</v>
      </c>
      <c r="AD17">
        <v>1289070.140625</v>
      </c>
      <c r="AE17">
        <v>1277935.7109375</v>
      </c>
      <c r="AF17">
        <v>1273771.6796875</v>
      </c>
    </row>
    <row r="18" spans="1:32" x14ac:dyDescent="0.3">
      <c r="A18" t="s">
        <v>20</v>
      </c>
      <c r="B18" t="s">
        <v>118</v>
      </c>
      <c r="C18" t="s">
        <v>86</v>
      </c>
      <c r="D18" t="s">
        <v>119</v>
      </c>
      <c r="E18" t="s">
        <v>87</v>
      </c>
      <c r="F18">
        <v>1249407.046875</v>
      </c>
      <c r="G18">
        <v>1260653.03125</v>
      </c>
      <c r="H18">
        <v>1273615.78125</v>
      </c>
      <c r="I18">
        <v>1210618.453125</v>
      </c>
      <c r="J18">
        <v>1184418.84375</v>
      </c>
      <c r="K18">
        <v>1175615.5625</v>
      </c>
      <c r="L18">
        <v>1181912.421875</v>
      </c>
      <c r="M18">
        <v>1176357.875</v>
      </c>
      <c r="N18">
        <v>1169095.515625</v>
      </c>
      <c r="O18">
        <v>1167148.875</v>
      </c>
      <c r="P18">
        <v>1200233.375</v>
      </c>
      <c r="Q18">
        <v>1245059.125</v>
      </c>
      <c r="R18">
        <v>1268716</v>
      </c>
      <c r="S18">
        <v>1243583.828125</v>
      </c>
      <c r="T18">
        <v>1137858.8125</v>
      </c>
      <c r="U18">
        <v>1128919.5625</v>
      </c>
      <c r="V18">
        <v>1161033.328125</v>
      </c>
      <c r="W18">
        <v>1145455.34375</v>
      </c>
      <c r="X18">
        <v>1152915.640625</v>
      </c>
      <c r="Y18">
        <v>1176163.09375</v>
      </c>
      <c r="Z18">
        <v>1219668.046875</v>
      </c>
      <c r="AA18">
        <v>1245950.203125</v>
      </c>
      <c r="AB18">
        <v>1261018.9375</v>
      </c>
      <c r="AC18">
        <v>1286526.5625</v>
      </c>
      <c r="AD18">
        <v>1279076.328125</v>
      </c>
      <c r="AE18">
        <v>1251404.953125</v>
      </c>
      <c r="AF18">
        <v>1244321.5</v>
      </c>
    </row>
    <row r="19" spans="1:32" x14ac:dyDescent="0.3">
      <c r="A19" t="s">
        <v>20</v>
      </c>
      <c r="B19" t="s">
        <v>120</v>
      </c>
      <c r="C19" t="s">
        <v>86</v>
      </c>
      <c r="D19" t="s">
        <v>121</v>
      </c>
      <c r="E19" t="s">
        <v>87</v>
      </c>
      <c r="F19">
        <v>529350.3125</v>
      </c>
      <c r="G19">
        <v>527680.53125</v>
      </c>
      <c r="H19">
        <v>513271.25</v>
      </c>
      <c r="I19">
        <v>492031.0625</v>
      </c>
      <c r="J19">
        <v>461232.875</v>
      </c>
      <c r="K19">
        <v>448418.3125</v>
      </c>
      <c r="L19">
        <v>436352.703125</v>
      </c>
      <c r="M19">
        <v>403732.671875</v>
      </c>
      <c r="N19">
        <v>394424.015625</v>
      </c>
      <c r="O19">
        <v>374145.078125</v>
      </c>
      <c r="P19">
        <v>374224.953125</v>
      </c>
      <c r="Q19">
        <v>384654.765625</v>
      </c>
      <c r="R19">
        <v>392553.15625</v>
      </c>
      <c r="S19">
        <v>386383.703125</v>
      </c>
      <c r="T19">
        <v>381949.75</v>
      </c>
      <c r="U19">
        <v>360642.359375</v>
      </c>
      <c r="V19">
        <v>358563</v>
      </c>
      <c r="W19">
        <v>360871.859375</v>
      </c>
      <c r="X19">
        <v>351227.875</v>
      </c>
      <c r="Y19">
        <v>347947.828125</v>
      </c>
      <c r="Z19">
        <v>347007.90625</v>
      </c>
      <c r="AA19">
        <v>347055.65625</v>
      </c>
      <c r="AB19">
        <v>342413.8125</v>
      </c>
      <c r="AC19">
        <v>340947.65625</v>
      </c>
      <c r="AD19">
        <v>336268.2421875</v>
      </c>
      <c r="AE19">
        <v>313593.171875</v>
      </c>
      <c r="AF19">
        <v>296877.8515625</v>
      </c>
    </row>
    <row r="20" spans="1:32" x14ac:dyDescent="0.3">
      <c r="A20" t="s">
        <v>20</v>
      </c>
      <c r="B20" t="s">
        <v>122</v>
      </c>
      <c r="C20" t="s">
        <v>86</v>
      </c>
      <c r="D20" t="s">
        <v>123</v>
      </c>
      <c r="E20" t="s">
        <v>87</v>
      </c>
      <c r="F20">
        <v>264130.5703125</v>
      </c>
      <c r="G20">
        <v>238524.546875</v>
      </c>
      <c r="H20">
        <v>225009.6015625</v>
      </c>
      <c r="I20">
        <v>230533.75390625</v>
      </c>
      <c r="J20">
        <v>229929.3203125</v>
      </c>
      <c r="K20">
        <v>216796.109375</v>
      </c>
      <c r="L20">
        <v>209761.27734375</v>
      </c>
      <c r="M20">
        <v>209561.7421875</v>
      </c>
      <c r="N20">
        <v>196477.671875</v>
      </c>
      <c r="O20">
        <v>189189.8203125</v>
      </c>
      <c r="P20">
        <v>212584.87890625</v>
      </c>
      <c r="Q20">
        <v>218835.37109375</v>
      </c>
      <c r="R20">
        <v>194912.58203125</v>
      </c>
      <c r="S20">
        <v>195554.7109375</v>
      </c>
      <c r="T20">
        <v>207936.85546875</v>
      </c>
      <c r="U20">
        <v>208483.71875</v>
      </c>
      <c r="V20">
        <v>194048.30859375</v>
      </c>
      <c r="W20">
        <v>198253.9453125</v>
      </c>
      <c r="X20">
        <v>188287.921875</v>
      </c>
      <c r="Y20">
        <v>184166.1875</v>
      </c>
      <c r="Z20">
        <v>186087.50390625</v>
      </c>
      <c r="AA20">
        <v>193319.82421875</v>
      </c>
      <c r="AB20">
        <v>180283.83984375</v>
      </c>
      <c r="AC20">
        <v>181604.59765625</v>
      </c>
      <c r="AD20">
        <v>175200.83984375</v>
      </c>
      <c r="AE20">
        <v>200664.8046875</v>
      </c>
      <c r="AF20">
        <v>220413.8828125</v>
      </c>
    </row>
    <row r="21" spans="1:32" x14ac:dyDescent="0.3">
      <c r="A21" t="s">
        <v>20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20</v>
      </c>
      <c r="B22" t="s">
        <v>126</v>
      </c>
      <c r="C22" t="s">
        <v>86</v>
      </c>
      <c r="D22" t="s">
        <v>127</v>
      </c>
      <c r="E22" t="s">
        <v>87</v>
      </c>
      <c r="F22">
        <v>358611.7734375</v>
      </c>
      <c r="G22">
        <v>347958.84350585903</v>
      </c>
      <c r="H22">
        <v>356504.45996093802</v>
      </c>
      <c r="I22">
        <v>374306.24707031198</v>
      </c>
      <c r="J22">
        <v>385252.50244140602</v>
      </c>
      <c r="K22">
        <v>386396.72753906198</v>
      </c>
      <c r="L22">
        <v>390233.11938476597</v>
      </c>
      <c r="M22">
        <v>392244.70361328102</v>
      </c>
      <c r="N22">
        <v>390124.13574218802</v>
      </c>
      <c r="O22">
        <v>394041.79125976597</v>
      </c>
      <c r="P22">
        <v>429677.20068359398</v>
      </c>
      <c r="Q22">
        <v>441923.041015625</v>
      </c>
      <c r="R22">
        <v>431535.00317382801</v>
      </c>
      <c r="S22">
        <v>441529.14379882801</v>
      </c>
      <c r="T22">
        <v>466256.93823242199</v>
      </c>
      <c r="U22">
        <v>480904.728515625</v>
      </c>
      <c r="V22">
        <v>471750.744140625</v>
      </c>
      <c r="W22">
        <v>462354.29711914097</v>
      </c>
      <c r="X22">
        <v>457271.48876953102</v>
      </c>
      <c r="Y22">
        <v>452929.21191406198</v>
      </c>
      <c r="Z22">
        <v>460507.54272460903</v>
      </c>
      <c r="AA22">
        <v>466589.07910156198</v>
      </c>
      <c r="AB22">
        <v>459537.88964843802</v>
      </c>
      <c r="AC22">
        <v>469185.80932617199</v>
      </c>
      <c r="AD22">
        <v>474727.84875488299</v>
      </c>
      <c r="AE22">
        <v>495084.90380859398</v>
      </c>
      <c r="AF22">
        <v>512446.09008789097</v>
      </c>
    </row>
    <row r="23" spans="1:32" x14ac:dyDescent="0.3">
      <c r="A23" t="s">
        <v>20</v>
      </c>
      <c r="B23" t="s">
        <v>128</v>
      </c>
      <c r="C23" t="s">
        <v>86</v>
      </c>
      <c r="D23" t="s">
        <v>129</v>
      </c>
      <c r="E23" t="s">
        <v>87</v>
      </c>
      <c r="F23">
        <v>5362309</v>
      </c>
      <c r="G23">
        <v>5416435.25</v>
      </c>
      <c r="H23">
        <v>5306313.5</v>
      </c>
      <c r="I23">
        <v>5497932.25</v>
      </c>
      <c r="J23">
        <v>5435375.75</v>
      </c>
      <c r="K23">
        <v>5417798.75</v>
      </c>
      <c r="L23">
        <v>5258623.25</v>
      </c>
      <c r="M23">
        <v>5133770.25</v>
      </c>
      <c r="N23">
        <v>5007597.75</v>
      </c>
      <c r="O23">
        <v>4808594.75</v>
      </c>
      <c r="P23">
        <v>4661192.75</v>
      </c>
      <c r="Q23">
        <v>4626819.75</v>
      </c>
      <c r="R23">
        <v>4571393</v>
      </c>
      <c r="S23">
        <v>4448418.625</v>
      </c>
      <c r="T23">
        <v>4269705.25</v>
      </c>
      <c r="U23">
        <v>4116189</v>
      </c>
      <c r="V23">
        <v>4130134</v>
      </c>
      <c r="W23">
        <v>4137177</v>
      </c>
      <c r="X23">
        <v>4098572.75</v>
      </c>
      <c r="Y23">
        <v>4152138.125</v>
      </c>
      <c r="Z23">
        <v>4118780.5</v>
      </c>
      <c r="AA23">
        <v>4086858.625</v>
      </c>
      <c r="AB23">
        <v>4128803</v>
      </c>
      <c r="AC23">
        <v>4201041.25</v>
      </c>
      <c r="AD23">
        <v>4184768.625</v>
      </c>
      <c r="AE23">
        <v>4105250.875</v>
      </c>
      <c r="AF23">
        <v>4027807.25</v>
      </c>
    </row>
    <row r="24" spans="1:32" x14ac:dyDescent="0.3">
      <c r="A24" t="s">
        <v>20</v>
      </c>
      <c r="B24" t="s">
        <v>130</v>
      </c>
      <c r="C24" t="s">
        <v>86</v>
      </c>
      <c r="D24" t="s">
        <v>131</v>
      </c>
      <c r="E24" t="s">
        <v>87</v>
      </c>
      <c r="F24">
        <v>9494233.40625</v>
      </c>
      <c r="G24">
        <v>9647393.8125</v>
      </c>
      <c r="H24">
        <v>9729792.40625</v>
      </c>
      <c r="I24">
        <v>9773764</v>
      </c>
      <c r="J24">
        <v>9721595.34375</v>
      </c>
      <c r="K24">
        <v>9715048.875</v>
      </c>
      <c r="L24">
        <v>9775775.125</v>
      </c>
      <c r="M24">
        <v>9589712.125</v>
      </c>
      <c r="N24">
        <v>9616423.09375</v>
      </c>
      <c r="O24">
        <v>9630711.875</v>
      </c>
      <c r="P24">
        <v>9613022.34375</v>
      </c>
      <c r="Q24">
        <v>9623729.15625</v>
      </c>
      <c r="R24">
        <v>9676790.875</v>
      </c>
      <c r="S24">
        <v>9647921.59375</v>
      </c>
      <c r="T24">
        <v>9599090.15625</v>
      </c>
      <c r="U24">
        <v>9735003.8125</v>
      </c>
      <c r="V24">
        <v>9754413.40625</v>
      </c>
      <c r="W24">
        <v>9613722.125</v>
      </c>
      <c r="X24">
        <v>9698963.34375</v>
      </c>
      <c r="Y24">
        <v>9662342.03125</v>
      </c>
      <c r="Z24">
        <v>9793185.90625</v>
      </c>
      <c r="AA24">
        <v>9930796.4375</v>
      </c>
      <c r="AB24">
        <v>10063312.90625</v>
      </c>
      <c r="AC24">
        <v>10155283.28125</v>
      </c>
      <c r="AD24">
        <v>10135773.3125</v>
      </c>
      <c r="AE24">
        <v>10156488</v>
      </c>
      <c r="AF24">
        <v>10272443.8125</v>
      </c>
    </row>
    <row r="25" spans="1:32" x14ac:dyDescent="0.3">
      <c r="A25" t="s">
        <v>20</v>
      </c>
      <c r="B25" t="s">
        <v>132</v>
      </c>
      <c r="C25" t="s">
        <v>86</v>
      </c>
      <c r="D25" t="s">
        <v>133</v>
      </c>
      <c r="E25" t="s">
        <v>87</v>
      </c>
      <c r="F25">
        <v>452384.65625</v>
      </c>
      <c r="G25">
        <v>464027.3125</v>
      </c>
      <c r="H25">
        <v>474899.15625</v>
      </c>
      <c r="I25">
        <v>474565</v>
      </c>
      <c r="J25">
        <v>465387.59375</v>
      </c>
      <c r="K25">
        <v>457139.875</v>
      </c>
      <c r="L25">
        <v>465321.875</v>
      </c>
      <c r="M25">
        <v>458798.125</v>
      </c>
      <c r="N25">
        <v>465987.59375</v>
      </c>
      <c r="O25">
        <v>463242.625</v>
      </c>
      <c r="P25">
        <v>468581.34375</v>
      </c>
      <c r="Q25">
        <v>487852.15625</v>
      </c>
      <c r="R25">
        <v>487211.125</v>
      </c>
      <c r="S25">
        <v>478610.59375</v>
      </c>
      <c r="T25">
        <v>479972.15625</v>
      </c>
      <c r="U25">
        <v>483007.3125</v>
      </c>
      <c r="V25">
        <v>480840.90625</v>
      </c>
      <c r="W25">
        <v>459529.875</v>
      </c>
      <c r="X25">
        <v>465478.59375</v>
      </c>
      <c r="Y25">
        <v>451141.53125</v>
      </c>
      <c r="Z25">
        <v>442950.90625</v>
      </c>
      <c r="AA25">
        <v>437015.6875</v>
      </c>
      <c r="AB25">
        <v>433981.65625</v>
      </c>
      <c r="AC25">
        <v>442437.28125</v>
      </c>
      <c r="AD25">
        <v>450398.3125</v>
      </c>
      <c r="AE25">
        <v>446164</v>
      </c>
      <c r="AF25">
        <v>441501.0625</v>
      </c>
    </row>
    <row r="26" spans="1:32" x14ac:dyDescent="0.3">
      <c r="A26" t="s">
        <v>20</v>
      </c>
      <c r="B26" t="s">
        <v>134</v>
      </c>
      <c r="C26" t="s">
        <v>86</v>
      </c>
      <c r="D26" t="s">
        <v>135</v>
      </c>
      <c r="E26" t="s">
        <v>87</v>
      </c>
      <c r="F26">
        <v>4092064.75</v>
      </c>
      <c r="G26">
        <v>4111247</v>
      </c>
      <c r="H26">
        <v>4076200.25</v>
      </c>
      <c r="I26">
        <v>3995960.5</v>
      </c>
      <c r="J26">
        <v>3873526.75</v>
      </c>
      <c r="K26">
        <v>3731136.5</v>
      </c>
      <c r="L26">
        <v>3611475.75</v>
      </c>
      <c r="M26">
        <v>3436012</v>
      </c>
      <c r="N26">
        <v>3383682</v>
      </c>
      <c r="O26">
        <v>3330643.75</v>
      </c>
      <c r="P26">
        <v>3312250.5</v>
      </c>
      <c r="Q26">
        <v>3285806.5</v>
      </c>
      <c r="R26">
        <v>3326433.25</v>
      </c>
      <c r="S26">
        <v>3339107</v>
      </c>
      <c r="T26">
        <v>3311378.5</v>
      </c>
      <c r="U26">
        <v>3306987.5</v>
      </c>
      <c r="V26">
        <v>3313141</v>
      </c>
      <c r="W26">
        <v>3239125.75</v>
      </c>
      <c r="X26">
        <v>3247302.25</v>
      </c>
      <c r="Y26">
        <v>3262265</v>
      </c>
      <c r="Z26">
        <v>3332519</v>
      </c>
      <c r="AA26">
        <v>3386676.25</v>
      </c>
      <c r="AB26">
        <v>3436353.25</v>
      </c>
      <c r="AC26">
        <v>3503321.5</v>
      </c>
      <c r="AD26">
        <v>3457882</v>
      </c>
      <c r="AE26">
        <v>3460647</v>
      </c>
      <c r="AF26">
        <v>3445323.75</v>
      </c>
    </row>
    <row r="27" spans="1:32" x14ac:dyDescent="0.3">
      <c r="A27" t="s">
        <v>20</v>
      </c>
      <c r="B27" t="s">
        <v>136</v>
      </c>
      <c r="C27" t="s">
        <v>86</v>
      </c>
      <c r="D27" t="s">
        <v>137</v>
      </c>
      <c r="E27" t="s">
        <v>87</v>
      </c>
      <c r="F27">
        <v>4949784</v>
      </c>
      <c r="G27">
        <v>5072119.5</v>
      </c>
      <c r="H27">
        <v>5178693</v>
      </c>
      <c r="I27">
        <v>5303238.5</v>
      </c>
      <c r="J27">
        <v>5382681</v>
      </c>
      <c r="K27">
        <v>5526772.5</v>
      </c>
      <c r="L27">
        <v>5698977.5</v>
      </c>
      <c r="M27">
        <v>5694902</v>
      </c>
      <c r="N27">
        <v>5766753.5</v>
      </c>
      <c r="O27">
        <v>5836825.5</v>
      </c>
      <c r="P27">
        <v>5832190.5</v>
      </c>
      <c r="Q27">
        <v>5850070.5</v>
      </c>
      <c r="R27">
        <v>5863146.5</v>
      </c>
      <c r="S27">
        <v>5830204</v>
      </c>
      <c r="T27">
        <v>5807739.5</v>
      </c>
      <c r="U27">
        <v>5945009</v>
      </c>
      <c r="V27">
        <v>5960431.5</v>
      </c>
      <c r="W27">
        <v>5915066.5</v>
      </c>
      <c r="X27">
        <v>5986182.5</v>
      </c>
      <c r="Y27">
        <v>5948935.5</v>
      </c>
      <c r="Z27">
        <v>6017716</v>
      </c>
      <c r="AA27">
        <v>6107104.5</v>
      </c>
      <c r="AB27">
        <v>6192978</v>
      </c>
      <c r="AC27">
        <v>6209524.5</v>
      </c>
      <c r="AD27">
        <v>6227493</v>
      </c>
      <c r="AE27">
        <v>6249677</v>
      </c>
      <c r="AF27">
        <v>6385619</v>
      </c>
    </row>
    <row r="28" spans="1:32" x14ac:dyDescent="0.3">
      <c r="A28" t="s">
        <v>20</v>
      </c>
      <c r="B28" t="s">
        <v>138</v>
      </c>
      <c r="C28" t="s">
        <v>86</v>
      </c>
      <c r="D28" t="s">
        <v>139</v>
      </c>
      <c r="E28" t="s">
        <v>87</v>
      </c>
      <c r="F28">
        <v>3753515.9453125</v>
      </c>
      <c r="G28">
        <v>3832770.7109375</v>
      </c>
      <c r="H28">
        <v>3850567.3203125</v>
      </c>
      <c r="I28">
        <v>3796600.265625</v>
      </c>
      <c r="J28">
        <v>3800867.7265625</v>
      </c>
      <c r="K28">
        <v>3845383.625</v>
      </c>
      <c r="L28">
        <v>3775545.125</v>
      </c>
      <c r="M28">
        <v>3759152.9765625</v>
      </c>
      <c r="N28">
        <v>3718555.234375</v>
      </c>
      <c r="O28">
        <v>3692078.9375</v>
      </c>
      <c r="P28">
        <v>3556669.5546875</v>
      </c>
      <c r="Q28">
        <v>3658650.96875</v>
      </c>
      <c r="R28">
        <v>3674384.9609375</v>
      </c>
      <c r="S28">
        <v>3607164.921875</v>
      </c>
      <c r="T28">
        <v>3654088.203125</v>
      </c>
      <c r="U28">
        <v>3679273.5234375</v>
      </c>
      <c r="V28">
        <v>3643601.75</v>
      </c>
      <c r="W28">
        <v>3569755.4140625</v>
      </c>
      <c r="X28">
        <v>3668433.2421875</v>
      </c>
      <c r="Y28">
        <v>3673023.375</v>
      </c>
      <c r="Z28">
        <v>3661967.2109375</v>
      </c>
      <c r="AA28">
        <v>3662232.2578125</v>
      </c>
      <c r="AB28">
        <v>3675614.0390625</v>
      </c>
      <c r="AC28">
        <v>3714065.4453125</v>
      </c>
      <c r="AD28">
        <v>3733413.3828125</v>
      </c>
      <c r="AE28">
        <v>3736640.9296875</v>
      </c>
      <c r="AF28">
        <v>3774702.0078125</v>
      </c>
    </row>
    <row r="29" spans="1:32" x14ac:dyDescent="0.3">
      <c r="A29" t="s">
        <v>20</v>
      </c>
      <c r="B29" t="s">
        <v>140</v>
      </c>
      <c r="C29" t="s">
        <v>86</v>
      </c>
      <c r="D29" t="s">
        <v>141</v>
      </c>
      <c r="E29" t="s">
        <v>87</v>
      </c>
      <c r="F29">
        <v>2707665.28125</v>
      </c>
      <c r="G29">
        <v>2782330.875</v>
      </c>
      <c r="H29">
        <v>2816743.9375</v>
      </c>
      <c r="I29">
        <v>2793123.546875</v>
      </c>
      <c r="J29">
        <v>2808442.375</v>
      </c>
      <c r="K29">
        <v>2829658.734375</v>
      </c>
      <c r="L29">
        <v>2762498.140625</v>
      </c>
      <c r="M29">
        <v>2747252.390625</v>
      </c>
      <c r="N29">
        <v>2732086.953125</v>
      </c>
      <c r="O29">
        <v>2716318.921875</v>
      </c>
      <c r="P29">
        <v>2606366.140625</v>
      </c>
      <c r="Q29">
        <v>2666774.953125</v>
      </c>
      <c r="R29">
        <v>2678119.53125</v>
      </c>
      <c r="S29">
        <v>2619038.984375</v>
      </c>
      <c r="T29">
        <v>2633273.59375</v>
      </c>
      <c r="U29">
        <v>2638833.109375</v>
      </c>
      <c r="V29">
        <v>2618832.03125</v>
      </c>
      <c r="W29">
        <v>2575319.21875</v>
      </c>
      <c r="X29">
        <v>2645981.21875</v>
      </c>
      <c r="Y29">
        <v>2644481.078125</v>
      </c>
      <c r="Z29">
        <v>2634136.3125</v>
      </c>
      <c r="AA29">
        <v>2630057.125</v>
      </c>
      <c r="AB29">
        <v>2638547.359375</v>
      </c>
      <c r="AC29">
        <v>2657915.453125</v>
      </c>
      <c r="AD29">
        <v>2664758.328125</v>
      </c>
      <c r="AE29">
        <v>2690321.140625</v>
      </c>
      <c r="AF29">
        <v>2728452.25</v>
      </c>
    </row>
    <row r="30" spans="1:32" x14ac:dyDescent="0.3">
      <c r="A30" t="s">
        <v>20</v>
      </c>
      <c r="B30" t="s">
        <v>142</v>
      </c>
      <c r="C30" t="s">
        <v>86</v>
      </c>
      <c r="D30" t="s">
        <v>143</v>
      </c>
      <c r="E30" t="s">
        <v>87</v>
      </c>
      <c r="F30">
        <v>196630.5</v>
      </c>
      <c r="G30">
        <v>197408.203125</v>
      </c>
      <c r="H30">
        <v>185301.09375</v>
      </c>
      <c r="I30">
        <v>171544.875</v>
      </c>
      <c r="J30">
        <v>161083.78125</v>
      </c>
      <c r="K30">
        <v>159538.265625</v>
      </c>
      <c r="L30">
        <v>154002.453125</v>
      </c>
      <c r="M30">
        <v>150621.140625</v>
      </c>
      <c r="N30">
        <v>145118.484375</v>
      </c>
      <c r="O30">
        <v>139737.15625</v>
      </c>
      <c r="P30">
        <v>136917.1875</v>
      </c>
      <c r="Q30">
        <v>143914.109375</v>
      </c>
      <c r="R30">
        <v>143061.453125</v>
      </c>
      <c r="S30">
        <v>138018.140625</v>
      </c>
      <c r="T30">
        <v>138642.171875</v>
      </c>
      <c r="U30">
        <v>138236.65625</v>
      </c>
      <c r="V30">
        <v>135909.609375</v>
      </c>
      <c r="W30">
        <v>132344.3125</v>
      </c>
      <c r="X30">
        <v>140063.890625</v>
      </c>
      <c r="Y30">
        <v>143499.5625</v>
      </c>
      <c r="Z30">
        <v>138730.765625</v>
      </c>
      <c r="AA30">
        <v>134976.15625</v>
      </c>
      <c r="AB30">
        <v>138019.5625</v>
      </c>
      <c r="AC30">
        <v>143881.25</v>
      </c>
      <c r="AD30">
        <v>145027.390625</v>
      </c>
      <c r="AE30">
        <v>129317.4921875</v>
      </c>
      <c r="AF30">
        <v>136961.578125</v>
      </c>
    </row>
    <row r="31" spans="1:32" x14ac:dyDescent="0.3">
      <c r="A31" t="s">
        <v>20</v>
      </c>
      <c r="B31" t="s">
        <v>144</v>
      </c>
      <c r="C31" t="s">
        <v>86</v>
      </c>
      <c r="D31" t="s">
        <v>145</v>
      </c>
      <c r="E31" t="s">
        <v>87</v>
      </c>
      <c r="F31">
        <v>122255.8203125</v>
      </c>
      <c r="G31">
        <v>122725.9453125</v>
      </c>
      <c r="H31">
        <v>115422.7890625</v>
      </c>
      <c r="I31">
        <v>106889.09375</v>
      </c>
      <c r="J31">
        <v>100314.7890625</v>
      </c>
      <c r="K31">
        <v>102371.6875</v>
      </c>
      <c r="L31">
        <v>101779.375</v>
      </c>
      <c r="M31">
        <v>100922.0078125</v>
      </c>
      <c r="N31">
        <v>97948.421875</v>
      </c>
      <c r="O31">
        <v>94373.171875</v>
      </c>
      <c r="P31">
        <v>90284.9140625</v>
      </c>
      <c r="Q31">
        <v>92018.75</v>
      </c>
      <c r="R31">
        <v>98048.6640625</v>
      </c>
      <c r="S31">
        <v>101381.234375</v>
      </c>
      <c r="T31">
        <v>109096.28125</v>
      </c>
      <c r="U31">
        <v>113881.6328125</v>
      </c>
      <c r="V31">
        <v>117197.296875</v>
      </c>
      <c r="W31">
        <v>119429.0078125</v>
      </c>
      <c r="X31">
        <v>111936.0390625</v>
      </c>
      <c r="Y31">
        <v>100748.546875</v>
      </c>
      <c r="Z31">
        <v>96893.5078125</v>
      </c>
      <c r="AA31">
        <v>93752.6640625</v>
      </c>
      <c r="AB31">
        <v>93556.7109375</v>
      </c>
      <c r="AC31">
        <v>94780.9609375</v>
      </c>
      <c r="AD31">
        <v>93981.5390625</v>
      </c>
      <c r="AE31">
        <v>94219.140625</v>
      </c>
      <c r="AF31">
        <v>95766.2109375</v>
      </c>
    </row>
    <row r="32" spans="1:32" x14ac:dyDescent="0.3">
      <c r="A32" t="s">
        <v>20</v>
      </c>
      <c r="B32" t="s">
        <v>146</v>
      </c>
      <c r="C32" t="s">
        <v>86</v>
      </c>
      <c r="D32" t="s">
        <v>147</v>
      </c>
      <c r="E32" t="s">
        <v>87</v>
      </c>
      <c r="F32">
        <v>371360.53125</v>
      </c>
      <c r="G32">
        <v>372798.1875</v>
      </c>
      <c r="H32">
        <v>365806.90625</v>
      </c>
      <c r="I32">
        <v>355241.5</v>
      </c>
      <c r="J32">
        <v>351232.15625</v>
      </c>
      <c r="K32">
        <v>363766.875</v>
      </c>
      <c r="L32">
        <v>367497.0625</v>
      </c>
      <c r="M32">
        <v>364628.09375</v>
      </c>
      <c r="N32">
        <v>356271.34375</v>
      </c>
      <c r="O32">
        <v>347954.4375</v>
      </c>
      <c r="P32">
        <v>340700</v>
      </c>
      <c r="Q32">
        <v>357730.75</v>
      </c>
      <c r="R32">
        <v>367030.0625</v>
      </c>
      <c r="S32">
        <v>365494.59375</v>
      </c>
      <c r="T32">
        <v>378962.1875</v>
      </c>
      <c r="U32">
        <v>373335.875</v>
      </c>
      <c r="V32">
        <v>362333.625</v>
      </c>
      <c r="W32">
        <v>348150.09375</v>
      </c>
      <c r="X32">
        <v>366927.78125</v>
      </c>
      <c r="Y32">
        <v>374337.0625</v>
      </c>
      <c r="Z32">
        <v>376965.875</v>
      </c>
      <c r="AA32">
        <v>382233.34375</v>
      </c>
      <c r="AB32">
        <v>387697.03125</v>
      </c>
      <c r="AC32">
        <v>395849.625</v>
      </c>
      <c r="AD32">
        <v>419494.46875</v>
      </c>
      <c r="AE32">
        <v>416548.65625</v>
      </c>
      <c r="AF32">
        <v>415346.03125</v>
      </c>
    </row>
    <row r="33" spans="1:32" x14ac:dyDescent="0.3">
      <c r="A33" t="s">
        <v>20</v>
      </c>
      <c r="B33" t="s">
        <v>148</v>
      </c>
      <c r="C33" t="s">
        <v>86</v>
      </c>
      <c r="D33" t="s">
        <v>149</v>
      </c>
      <c r="E33" t="s">
        <v>87</v>
      </c>
      <c r="F33">
        <v>355603.8125</v>
      </c>
      <c r="G33">
        <v>357507.5</v>
      </c>
      <c r="H33">
        <v>367292.59375</v>
      </c>
      <c r="I33">
        <v>369801.25</v>
      </c>
      <c r="J33">
        <v>379794.625</v>
      </c>
      <c r="K33">
        <v>390048.0625</v>
      </c>
      <c r="L33">
        <v>389768.09375</v>
      </c>
      <c r="M33">
        <v>395729.34375</v>
      </c>
      <c r="N33">
        <v>387130.03125</v>
      </c>
      <c r="O33">
        <v>393695.25</v>
      </c>
      <c r="P33">
        <v>382401.3125</v>
      </c>
      <c r="Q33">
        <v>398212.40625</v>
      </c>
      <c r="R33">
        <v>388125.25</v>
      </c>
      <c r="S33">
        <v>383231.96875</v>
      </c>
      <c r="T33">
        <v>394113.96875</v>
      </c>
      <c r="U33">
        <v>414986.25</v>
      </c>
      <c r="V33">
        <v>409329.1875</v>
      </c>
      <c r="W33">
        <v>394512.78125</v>
      </c>
      <c r="X33">
        <v>403524.3125</v>
      </c>
      <c r="Y33">
        <v>409957.125</v>
      </c>
      <c r="Z33">
        <v>415240.75</v>
      </c>
      <c r="AA33">
        <v>421212.96875</v>
      </c>
      <c r="AB33">
        <v>417793.375</v>
      </c>
      <c r="AC33">
        <v>421638.15625</v>
      </c>
      <c r="AD33">
        <v>410151.65625</v>
      </c>
      <c r="AE33">
        <v>406234.5</v>
      </c>
      <c r="AF33">
        <v>398175.9375</v>
      </c>
    </row>
    <row r="34" spans="1:32" x14ac:dyDescent="0.3">
      <c r="A34" t="s">
        <v>20</v>
      </c>
      <c r="B34" t="s">
        <v>150</v>
      </c>
      <c r="C34" t="s">
        <v>86</v>
      </c>
      <c r="D34" t="s">
        <v>151</v>
      </c>
      <c r="E34" t="s">
        <v>87</v>
      </c>
      <c r="F34">
        <v>3267975.6875</v>
      </c>
      <c r="G34">
        <v>3404476.1875</v>
      </c>
      <c r="H34">
        <v>3488666.5625</v>
      </c>
      <c r="I34">
        <v>3548096.1875</v>
      </c>
      <c r="J34">
        <v>3608700.375</v>
      </c>
      <c r="K34">
        <v>3644672.625</v>
      </c>
      <c r="L34">
        <v>3770880.0625</v>
      </c>
      <c r="M34">
        <v>3772566.1875</v>
      </c>
      <c r="N34">
        <v>3716233.1875</v>
      </c>
      <c r="O34">
        <v>3646878.9375</v>
      </c>
      <c r="P34">
        <v>3710172.6875</v>
      </c>
      <c r="Q34">
        <v>3770242.25</v>
      </c>
      <c r="R34">
        <v>3865224.25</v>
      </c>
      <c r="S34">
        <v>3840476.1875</v>
      </c>
      <c r="T34">
        <v>3939898.375</v>
      </c>
      <c r="U34">
        <v>3971524.375</v>
      </c>
      <c r="V34">
        <v>3857616.6875</v>
      </c>
      <c r="W34">
        <v>3862795.0625</v>
      </c>
      <c r="X34">
        <v>4009304.5</v>
      </c>
      <c r="Y34">
        <v>4058918.0625</v>
      </c>
      <c r="Z34">
        <v>3995655.5</v>
      </c>
      <c r="AA34">
        <v>4075144.625</v>
      </c>
      <c r="AB34">
        <v>4131034</v>
      </c>
      <c r="AC34">
        <v>4337278</v>
      </c>
      <c r="AD34">
        <v>4393536.25</v>
      </c>
      <c r="AE34">
        <v>4104788.9375</v>
      </c>
      <c r="AF34">
        <v>3848441.1875</v>
      </c>
    </row>
    <row r="35" spans="1:32" x14ac:dyDescent="0.3">
      <c r="A35" t="s">
        <v>20</v>
      </c>
      <c r="B35" t="s">
        <v>152</v>
      </c>
      <c r="C35" t="s">
        <v>86</v>
      </c>
      <c r="D35" t="s">
        <v>153</v>
      </c>
      <c r="E35" t="s">
        <v>87</v>
      </c>
      <c r="F35">
        <v>1276921.34375</v>
      </c>
      <c r="G35">
        <v>1294792.4609375</v>
      </c>
      <c r="H35">
        <v>1312217.0390625</v>
      </c>
      <c r="I35">
        <v>1360683.296875</v>
      </c>
      <c r="J35">
        <v>1367065.1796875</v>
      </c>
      <c r="K35">
        <v>1478391.390625</v>
      </c>
      <c r="L35">
        <v>1514467.5546875</v>
      </c>
      <c r="M35">
        <v>1496128.0703125</v>
      </c>
      <c r="N35">
        <v>1519917.5546875</v>
      </c>
      <c r="O35">
        <v>1538606.40625</v>
      </c>
      <c r="P35">
        <v>1629362.1328125</v>
      </c>
      <c r="Q35">
        <v>1702613.7578125</v>
      </c>
      <c r="R35">
        <v>1713016.1015625</v>
      </c>
      <c r="S35">
        <v>1748810.484375</v>
      </c>
      <c r="T35">
        <v>1739402.84375</v>
      </c>
      <c r="U35">
        <v>1771351.4609375</v>
      </c>
      <c r="V35">
        <v>1752498.09375</v>
      </c>
      <c r="W35">
        <v>1635514.4140625</v>
      </c>
      <c r="X35">
        <v>1655161.1875</v>
      </c>
      <c r="Y35">
        <v>1663414.7421875</v>
      </c>
      <c r="Z35">
        <v>1679041.546875</v>
      </c>
      <c r="AA35">
        <v>1733114.484375</v>
      </c>
      <c r="AB35">
        <v>1755807.8046875</v>
      </c>
      <c r="AC35">
        <v>1816826.25</v>
      </c>
      <c r="AD35">
        <v>1851063.15625</v>
      </c>
      <c r="AE35">
        <v>1880463.140625</v>
      </c>
      <c r="AF35">
        <v>1910780.71875</v>
      </c>
    </row>
    <row r="36" spans="1:32" x14ac:dyDescent="0.3">
      <c r="A36" t="s">
        <v>20</v>
      </c>
      <c r="B36" t="s">
        <v>154</v>
      </c>
      <c r="C36" t="s">
        <v>86</v>
      </c>
      <c r="D36" t="s">
        <v>155</v>
      </c>
      <c r="E36" t="s">
        <v>87</v>
      </c>
      <c r="F36">
        <v>382576.34375</v>
      </c>
      <c r="G36">
        <v>385797.6484375</v>
      </c>
      <c r="H36">
        <v>389408.9921875</v>
      </c>
      <c r="I36">
        <v>381295.546875</v>
      </c>
      <c r="J36">
        <v>379700.1953125</v>
      </c>
      <c r="K36">
        <v>380299.984375</v>
      </c>
      <c r="L36">
        <v>377720.6484375</v>
      </c>
      <c r="M36">
        <v>368567.7578125</v>
      </c>
      <c r="N36">
        <v>363110.4609375</v>
      </c>
      <c r="O36">
        <v>362357.765625</v>
      </c>
      <c r="P36">
        <v>368205.6640625</v>
      </c>
      <c r="Q36">
        <v>370248.0859375</v>
      </c>
      <c r="R36">
        <v>374658.6015625</v>
      </c>
      <c r="S36">
        <v>383171.046875</v>
      </c>
      <c r="T36">
        <v>386204.015625</v>
      </c>
      <c r="U36">
        <v>387148.6328125</v>
      </c>
      <c r="V36">
        <v>383949.15625</v>
      </c>
      <c r="W36">
        <v>334635.8671875</v>
      </c>
      <c r="X36">
        <v>326869.59375</v>
      </c>
      <c r="Y36">
        <v>328013.3984375</v>
      </c>
      <c r="Z36">
        <v>330535.453125</v>
      </c>
      <c r="AA36">
        <v>330714.46875</v>
      </c>
      <c r="AB36">
        <v>335918.1484375</v>
      </c>
      <c r="AC36">
        <v>344454.3125</v>
      </c>
      <c r="AD36">
        <v>358008.28125</v>
      </c>
      <c r="AE36">
        <v>358605.453125</v>
      </c>
      <c r="AF36">
        <v>357655.8125</v>
      </c>
    </row>
    <row r="37" spans="1:32" x14ac:dyDescent="0.3">
      <c r="A37" t="s">
        <v>20</v>
      </c>
      <c r="B37" t="s">
        <v>156</v>
      </c>
      <c r="C37" t="s">
        <v>86</v>
      </c>
      <c r="D37" t="s">
        <v>157</v>
      </c>
      <c r="E37" t="s">
        <v>87</v>
      </c>
      <c r="F37">
        <v>192158.6875</v>
      </c>
      <c r="G37">
        <v>212147.6875</v>
      </c>
      <c r="H37">
        <v>203175.671875</v>
      </c>
      <c r="I37">
        <v>195887</v>
      </c>
      <c r="J37">
        <v>199680.796875</v>
      </c>
      <c r="K37">
        <v>247580.46875</v>
      </c>
      <c r="L37">
        <v>250661.90625</v>
      </c>
      <c r="M37">
        <v>229876.3125</v>
      </c>
      <c r="N37">
        <v>213279.59375</v>
      </c>
      <c r="O37">
        <v>194917.953125</v>
      </c>
      <c r="P37">
        <v>217246.71875</v>
      </c>
      <c r="Q37">
        <v>244740.171875</v>
      </c>
      <c r="R37">
        <v>239958.25</v>
      </c>
      <c r="S37">
        <v>243192.0625</v>
      </c>
      <c r="T37">
        <v>232446.328125</v>
      </c>
      <c r="U37">
        <v>237664.078125</v>
      </c>
      <c r="V37">
        <v>233837.0625</v>
      </c>
      <c r="W37">
        <v>222242.421875</v>
      </c>
      <c r="X37">
        <v>236883.34375</v>
      </c>
      <c r="Y37">
        <v>228351.21875</v>
      </c>
      <c r="Z37">
        <v>227171.09375</v>
      </c>
      <c r="AA37">
        <v>257257.890625</v>
      </c>
      <c r="AB37">
        <v>262544.40625</v>
      </c>
      <c r="AC37">
        <v>286164.9375</v>
      </c>
      <c r="AD37">
        <v>291170.25</v>
      </c>
      <c r="AE37">
        <v>298655.8125</v>
      </c>
      <c r="AF37">
        <v>312387.40625</v>
      </c>
    </row>
    <row r="38" spans="1:32" x14ac:dyDescent="0.3">
      <c r="A38" t="s">
        <v>20</v>
      </c>
      <c r="B38" t="s">
        <v>158</v>
      </c>
      <c r="C38" t="s">
        <v>86</v>
      </c>
      <c r="D38" t="s">
        <v>159</v>
      </c>
      <c r="E38" t="s">
        <v>87</v>
      </c>
      <c r="F38">
        <v>702186.3125</v>
      </c>
      <c r="G38">
        <v>696847.125</v>
      </c>
      <c r="H38">
        <v>719632.375</v>
      </c>
      <c r="I38">
        <v>783500.75</v>
      </c>
      <c r="J38">
        <v>787684.1875</v>
      </c>
      <c r="K38">
        <v>850510.9375</v>
      </c>
      <c r="L38">
        <v>886085</v>
      </c>
      <c r="M38">
        <v>897684</v>
      </c>
      <c r="N38">
        <v>943527.5</v>
      </c>
      <c r="O38">
        <v>981330.6875</v>
      </c>
      <c r="P38">
        <v>1043909.75</v>
      </c>
      <c r="Q38">
        <v>1087625.5</v>
      </c>
      <c r="R38">
        <v>1098399.25</v>
      </c>
      <c r="S38">
        <v>1122447.375</v>
      </c>
      <c r="T38">
        <v>1120752.5</v>
      </c>
      <c r="U38">
        <v>1146538.75</v>
      </c>
      <c r="V38">
        <v>1134711.875</v>
      </c>
      <c r="W38">
        <v>1078636.125</v>
      </c>
      <c r="X38">
        <v>1091408.25</v>
      </c>
      <c r="Y38">
        <v>1107050.125</v>
      </c>
      <c r="Z38">
        <v>1121335</v>
      </c>
      <c r="AA38">
        <v>1145142.125</v>
      </c>
      <c r="AB38">
        <v>1157345.25</v>
      </c>
      <c r="AC38">
        <v>1186207</v>
      </c>
      <c r="AD38">
        <v>1201884.625</v>
      </c>
      <c r="AE38">
        <v>1223201.875</v>
      </c>
      <c r="AF38">
        <v>1240737.5</v>
      </c>
    </row>
    <row r="39" spans="1:32" x14ac:dyDescent="0.3">
      <c r="A39" t="s">
        <v>20</v>
      </c>
      <c r="B39" t="s">
        <v>160</v>
      </c>
      <c r="C39" t="s">
        <v>86</v>
      </c>
      <c r="D39" t="s">
        <v>161</v>
      </c>
      <c r="E39" t="s">
        <v>87</v>
      </c>
      <c r="F39">
        <v>1958024</v>
      </c>
      <c r="G39">
        <v>1891995.25</v>
      </c>
      <c r="H39">
        <v>1837660.375</v>
      </c>
      <c r="I39">
        <v>1849415.875</v>
      </c>
      <c r="J39">
        <v>1773796.8125</v>
      </c>
      <c r="K39">
        <v>1726491.25</v>
      </c>
      <c r="L39">
        <v>1648234.625</v>
      </c>
      <c r="M39">
        <v>1635365.25</v>
      </c>
      <c r="N39">
        <v>1566090.625</v>
      </c>
      <c r="O39">
        <v>1525753.3125</v>
      </c>
      <c r="P39">
        <v>1520479.25</v>
      </c>
      <c r="Q39">
        <v>1515627.6875</v>
      </c>
      <c r="R39">
        <v>1531428.8125</v>
      </c>
      <c r="S39">
        <v>1575862.625</v>
      </c>
      <c r="T39">
        <v>1562376.9375</v>
      </c>
      <c r="U39">
        <v>1564470.25</v>
      </c>
      <c r="V39">
        <v>1552967.0625</v>
      </c>
      <c r="W39">
        <v>1537437.5625</v>
      </c>
      <c r="X39">
        <v>1493868.625</v>
      </c>
      <c r="Y39">
        <v>1436696.6875</v>
      </c>
      <c r="Z39">
        <v>1468786.5625</v>
      </c>
      <c r="AA39">
        <v>1513877.6875</v>
      </c>
      <c r="AB39">
        <v>1526372.3125</v>
      </c>
      <c r="AC39">
        <v>1543437.375</v>
      </c>
      <c r="AD39">
        <v>1555406.625</v>
      </c>
      <c r="AE39">
        <v>1575587.625</v>
      </c>
      <c r="AF39">
        <v>1569220.4375</v>
      </c>
    </row>
    <row r="40" spans="1:32" x14ac:dyDescent="0.3">
      <c r="A40" t="s">
        <v>20</v>
      </c>
      <c r="B40" t="s">
        <v>162</v>
      </c>
      <c r="C40" t="s">
        <v>86</v>
      </c>
      <c r="D40" t="s">
        <v>163</v>
      </c>
      <c r="E40" t="s">
        <v>87</v>
      </c>
      <c r="F40">
        <v>613967.9375</v>
      </c>
      <c r="G40">
        <v>618733.5625</v>
      </c>
      <c r="H40">
        <v>631164.5625</v>
      </c>
      <c r="I40">
        <v>657585.5</v>
      </c>
      <c r="J40">
        <v>651541.9375</v>
      </c>
      <c r="K40">
        <v>663024.625</v>
      </c>
      <c r="L40">
        <v>670018.0625</v>
      </c>
      <c r="M40">
        <v>687506.9375</v>
      </c>
      <c r="N40">
        <v>681513.25</v>
      </c>
      <c r="O40">
        <v>696499.375</v>
      </c>
      <c r="P40">
        <v>719158.3125</v>
      </c>
      <c r="Q40">
        <v>745853.5</v>
      </c>
      <c r="R40">
        <v>795769</v>
      </c>
      <c r="S40">
        <v>831165.875</v>
      </c>
      <c r="T40">
        <v>852262.25</v>
      </c>
      <c r="U40">
        <v>831684.3125</v>
      </c>
      <c r="V40">
        <v>844274.1875</v>
      </c>
      <c r="W40">
        <v>861863.625</v>
      </c>
      <c r="X40">
        <v>846677.375</v>
      </c>
      <c r="Y40">
        <v>817522.5</v>
      </c>
      <c r="Z40">
        <v>861985.0625</v>
      </c>
      <c r="AA40">
        <v>925172.1875</v>
      </c>
      <c r="AB40">
        <v>976721.125</v>
      </c>
      <c r="AC40">
        <v>1012007.0625</v>
      </c>
      <c r="AD40">
        <v>1027497.625</v>
      </c>
      <c r="AE40">
        <v>1081841.75</v>
      </c>
      <c r="AF40">
        <v>1107838.625</v>
      </c>
    </row>
    <row r="41" spans="1:32" x14ac:dyDescent="0.3">
      <c r="A41" t="s">
        <v>20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20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20</v>
      </c>
      <c r="B43" t="s">
        <v>168</v>
      </c>
      <c r="C43" t="s">
        <v>86</v>
      </c>
      <c r="D43" t="s">
        <v>169</v>
      </c>
      <c r="E43" t="s">
        <v>87</v>
      </c>
      <c r="F43">
        <v>3072065.453125</v>
      </c>
      <c r="G43">
        <v>3188043.546875</v>
      </c>
      <c r="H43">
        <v>3339830.6875</v>
      </c>
      <c r="I43">
        <v>3438125.4375</v>
      </c>
      <c r="J43">
        <v>3439962.59375</v>
      </c>
      <c r="K43">
        <v>3508310.6171875</v>
      </c>
      <c r="L43">
        <v>3670880</v>
      </c>
      <c r="M43">
        <v>3775862.875</v>
      </c>
      <c r="N43">
        <v>4010340.9375</v>
      </c>
      <c r="O43">
        <v>4272076.8828125</v>
      </c>
      <c r="P43">
        <v>4441946.8984375</v>
      </c>
      <c r="Q43">
        <v>4626100.8359375</v>
      </c>
      <c r="R43">
        <v>4798140.015625</v>
      </c>
      <c r="S43">
        <v>4946244.3125</v>
      </c>
      <c r="T43">
        <v>4634565.921875</v>
      </c>
      <c r="U43">
        <v>4531408.265625</v>
      </c>
      <c r="V43">
        <v>4640544</v>
      </c>
      <c r="W43">
        <v>5150258.25</v>
      </c>
      <c r="X43">
        <v>5249043.9453125</v>
      </c>
      <c r="Y43">
        <v>5361719.046875</v>
      </c>
      <c r="Z43">
        <v>5579219.40625</v>
      </c>
      <c r="AA43">
        <v>5780452.078125</v>
      </c>
      <c r="AB43">
        <v>5947260.265625</v>
      </c>
      <c r="AC43">
        <v>6168249.40625</v>
      </c>
      <c r="AD43">
        <v>6354843.5625</v>
      </c>
      <c r="AE43">
        <v>6327806.546875</v>
      </c>
      <c r="AF43">
        <v>6425748.84375</v>
      </c>
    </row>
    <row r="44" spans="1:32" x14ac:dyDescent="0.3">
      <c r="A44" t="s">
        <v>20</v>
      </c>
      <c r="B44" t="s">
        <v>170</v>
      </c>
      <c r="C44" t="s">
        <v>86</v>
      </c>
      <c r="D44" t="s">
        <v>171</v>
      </c>
      <c r="E44" t="s">
        <v>87</v>
      </c>
      <c r="F44">
        <v>45949347.924804702</v>
      </c>
      <c r="G44">
        <v>46416758.456542999</v>
      </c>
      <c r="H44">
        <v>46536051.3679199</v>
      </c>
      <c r="I44">
        <v>46366185.391113304</v>
      </c>
      <c r="J44">
        <v>45810321.714843802</v>
      </c>
      <c r="K44">
        <v>45891515.917480499</v>
      </c>
      <c r="L44">
        <v>45845390.774902299</v>
      </c>
      <c r="M44">
        <v>45073583.478027299</v>
      </c>
      <c r="N44">
        <v>44667555.460693397</v>
      </c>
      <c r="O44">
        <v>44391302.994873002</v>
      </c>
      <c r="P44">
        <v>44515155.927734397</v>
      </c>
      <c r="Q44">
        <v>45323048.396728501</v>
      </c>
      <c r="R44">
        <v>45746066.694824196</v>
      </c>
      <c r="S44">
        <v>45628167.9836426</v>
      </c>
      <c r="T44">
        <v>44689908.792968802</v>
      </c>
      <c r="U44">
        <v>44552961.646728501</v>
      </c>
      <c r="V44">
        <v>44378475.285400398</v>
      </c>
      <c r="W44">
        <v>44294368.185302697</v>
      </c>
      <c r="X44">
        <v>44424132.878662102</v>
      </c>
      <c r="Y44">
        <v>44567967.299560502</v>
      </c>
      <c r="Z44">
        <v>44840585.744140603</v>
      </c>
      <c r="AA44">
        <v>45492512.478881799</v>
      </c>
      <c r="AB44">
        <v>46093103.002563499</v>
      </c>
      <c r="AC44">
        <v>47131796.854736298</v>
      </c>
      <c r="AD44">
        <v>47596969.956054702</v>
      </c>
      <c r="AE44">
        <v>47119941.224609397</v>
      </c>
      <c r="AF44">
        <v>46913145.770141602</v>
      </c>
    </row>
    <row r="45" spans="1:32" x14ac:dyDescent="0.3">
      <c r="A45" t="s">
        <v>20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20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20</v>
      </c>
      <c r="B47" t="s">
        <v>176</v>
      </c>
      <c r="C47" t="s">
        <v>86</v>
      </c>
      <c r="D47" t="s">
        <v>177</v>
      </c>
      <c r="E47" t="s">
        <v>87</v>
      </c>
      <c r="F47">
        <v>2233709</v>
      </c>
      <c r="G47">
        <v>2184146.5</v>
      </c>
      <c r="H47">
        <v>2203555.75</v>
      </c>
      <c r="I47">
        <v>2224242.5</v>
      </c>
      <c r="J47">
        <v>2193258</v>
      </c>
      <c r="K47">
        <v>2182119</v>
      </c>
      <c r="L47">
        <v>2171418</v>
      </c>
      <c r="M47">
        <v>2227116</v>
      </c>
      <c r="N47">
        <v>2320818.5</v>
      </c>
      <c r="O47">
        <v>2391027</v>
      </c>
      <c r="P47">
        <v>2351376.25</v>
      </c>
      <c r="Q47">
        <v>2279500.75</v>
      </c>
      <c r="R47">
        <v>2334664</v>
      </c>
      <c r="S47">
        <v>2297258.75</v>
      </c>
      <c r="T47">
        <v>2285087.75</v>
      </c>
      <c r="U47">
        <v>2267133.25</v>
      </c>
      <c r="V47">
        <v>2271327.5</v>
      </c>
      <c r="W47">
        <v>2299576.75</v>
      </c>
      <c r="X47">
        <v>2349714.5</v>
      </c>
      <c r="Y47">
        <v>2417295.5</v>
      </c>
      <c r="Z47">
        <v>2368861.75</v>
      </c>
      <c r="AA47">
        <v>2372588</v>
      </c>
      <c r="AB47">
        <v>2356763</v>
      </c>
      <c r="AC47">
        <v>2401700.5</v>
      </c>
      <c r="AD47">
        <v>2499519.25</v>
      </c>
      <c r="AE47">
        <v>2554453</v>
      </c>
      <c r="AF47">
        <v>2565402.5</v>
      </c>
    </row>
    <row r="48" spans="1:32" x14ac:dyDescent="0.3">
      <c r="A48" t="s">
        <v>20</v>
      </c>
      <c r="B48" t="s">
        <v>178</v>
      </c>
      <c r="C48" t="s">
        <v>86</v>
      </c>
      <c r="D48" t="s">
        <v>179</v>
      </c>
      <c r="E48" t="s">
        <v>87</v>
      </c>
      <c r="F48">
        <v>7217464.125</v>
      </c>
      <c r="G48">
        <v>7378384.9375</v>
      </c>
      <c r="H48">
        <v>7711494.75</v>
      </c>
      <c r="I48">
        <v>7971442.5</v>
      </c>
      <c r="J48">
        <v>8091040.25</v>
      </c>
      <c r="K48">
        <v>8242639.8125</v>
      </c>
      <c r="L48">
        <v>8442416.9375</v>
      </c>
      <c r="M48">
        <v>8759941.75</v>
      </c>
      <c r="N48">
        <v>9264163.5625</v>
      </c>
      <c r="O48">
        <v>9733672.3125</v>
      </c>
      <c r="P48">
        <v>10008545.25</v>
      </c>
      <c r="Q48">
        <v>10133883.125</v>
      </c>
      <c r="R48">
        <v>10293977.375</v>
      </c>
      <c r="S48">
        <v>10466897.25</v>
      </c>
      <c r="T48">
        <v>10746143.75</v>
      </c>
      <c r="U48">
        <v>11030904.25</v>
      </c>
      <c r="V48">
        <v>11297337</v>
      </c>
      <c r="W48">
        <v>11406365.875</v>
      </c>
      <c r="X48">
        <v>11920104.375</v>
      </c>
      <c r="Y48">
        <v>12325633</v>
      </c>
      <c r="Z48">
        <v>12572258.125</v>
      </c>
      <c r="AA48">
        <v>12892065.5</v>
      </c>
      <c r="AB48">
        <v>13081020.625</v>
      </c>
      <c r="AC48">
        <v>13360553.875</v>
      </c>
      <c r="AD48">
        <v>13711188.125</v>
      </c>
      <c r="AE48">
        <v>13830121</v>
      </c>
      <c r="AF48">
        <v>14104144.75</v>
      </c>
    </row>
    <row r="49" spans="1:32" x14ac:dyDescent="0.3">
      <c r="A49" t="s">
        <v>20</v>
      </c>
      <c r="B49" t="s">
        <v>180</v>
      </c>
      <c r="C49" t="s">
        <v>86</v>
      </c>
      <c r="D49" t="s">
        <v>181</v>
      </c>
      <c r="E49" t="s">
        <v>87</v>
      </c>
      <c r="F49">
        <v>2023057.625</v>
      </c>
      <c r="G49">
        <v>2029573.375</v>
      </c>
      <c r="H49">
        <v>2094741.125</v>
      </c>
      <c r="I49">
        <v>2129861.75</v>
      </c>
      <c r="J49">
        <v>2129034.5</v>
      </c>
      <c r="K49">
        <v>2073004.75</v>
      </c>
      <c r="L49">
        <v>2063872.375</v>
      </c>
      <c r="M49">
        <v>2106300.75</v>
      </c>
      <c r="N49">
        <v>2208619.75</v>
      </c>
      <c r="O49">
        <v>2293812.75</v>
      </c>
      <c r="P49">
        <v>2287102.25</v>
      </c>
      <c r="Q49">
        <v>2266802.5</v>
      </c>
      <c r="R49">
        <v>2292016</v>
      </c>
      <c r="S49">
        <v>2341800</v>
      </c>
      <c r="T49">
        <v>2393303.75</v>
      </c>
      <c r="U49">
        <v>2434278.75</v>
      </c>
      <c r="V49">
        <v>2455714.25</v>
      </c>
      <c r="W49">
        <v>2397578.25</v>
      </c>
      <c r="X49">
        <v>2439276.25</v>
      </c>
      <c r="Y49">
        <v>2466064.25</v>
      </c>
      <c r="Z49">
        <v>2531329.75</v>
      </c>
      <c r="AA49">
        <v>2576530</v>
      </c>
      <c r="AB49">
        <v>2606180.25</v>
      </c>
      <c r="AC49">
        <v>2686157.75</v>
      </c>
      <c r="AD49">
        <v>2727129.25</v>
      </c>
      <c r="AE49">
        <v>2722073</v>
      </c>
      <c r="AF49">
        <v>2755164.25</v>
      </c>
    </row>
    <row r="50" spans="1:32" x14ac:dyDescent="0.3">
      <c r="A50" t="s">
        <v>20</v>
      </c>
      <c r="B50" t="s">
        <v>182</v>
      </c>
      <c r="C50" t="s">
        <v>86</v>
      </c>
      <c r="D50" t="s">
        <v>183</v>
      </c>
      <c r="E50" t="s">
        <v>87</v>
      </c>
      <c r="F50">
        <v>2960697.5</v>
      </c>
      <c r="G50">
        <v>3164665.0625</v>
      </c>
      <c r="H50">
        <v>3413197.875</v>
      </c>
      <c r="I50">
        <v>3617338.25</v>
      </c>
      <c r="J50">
        <v>3768747.75</v>
      </c>
      <c r="K50">
        <v>3987516.0625</v>
      </c>
      <c r="L50">
        <v>4207126.5625</v>
      </c>
      <c r="M50">
        <v>4426525</v>
      </c>
      <c r="N50">
        <v>4734725.3125</v>
      </c>
      <c r="O50">
        <v>5048832.5625</v>
      </c>
      <c r="P50">
        <v>5370066.75</v>
      </c>
      <c r="Q50">
        <v>5587579.875</v>
      </c>
      <c r="R50">
        <v>5667297.375</v>
      </c>
      <c r="S50">
        <v>5827838.5</v>
      </c>
      <c r="T50">
        <v>6067752.25</v>
      </c>
      <c r="U50">
        <v>6329492.25</v>
      </c>
      <c r="V50">
        <v>6570295.25</v>
      </c>
      <c r="W50">
        <v>6709210.875</v>
      </c>
      <c r="X50">
        <v>7131113.625</v>
      </c>
      <c r="Y50">
        <v>7442273.25</v>
      </c>
      <c r="Z50">
        <v>7672066.625</v>
      </c>
      <c r="AA50">
        <v>7942947.5</v>
      </c>
      <c r="AB50">
        <v>8118077.375</v>
      </c>
      <c r="AC50">
        <v>8272695.625</v>
      </c>
      <c r="AD50">
        <v>8484539.625</v>
      </c>
      <c r="AE50">
        <v>8553595</v>
      </c>
      <c r="AF50">
        <v>8783578</v>
      </c>
    </row>
    <row r="51" spans="1:32" x14ac:dyDescent="0.3">
      <c r="A51" t="s">
        <v>20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20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20</v>
      </c>
      <c r="B53" t="s">
        <v>188</v>
      </c>
      <c r="C53" t="s">
        <v>86</v>
      </c>
      <c r="D53" t="s">
        <v>189</v>
      </c>
      <c r="E53" t="s">
        <v>87</v>
      </c>
      <c r="F53">
        <v>936699</v>
      </c>
      <c r="G53">
        <v>984502.3125</v>
      </c>
      <c r="H53">
        <v>969283.375</v>
      </c>
      <c r="I53">
        <v>932197.875</v>
      </c>
      <c r="J53">
        <v>907471.0625</v>
      </c>
      <c r="K53">
        <v>899545.75</v>
      </c>
      <c r="L53">
        <v>906452.1875</v>
      </c>
      <c r="M53">
        <v>927009.125</v>
      </c>
      <c r="N53">
        <v>918497.375</v>
      </c>
      <c r="O53">
        <v>926281.875</v>
      </c>
      <c r="P53">
        <v>898092.625</v>
      </c>
      <c r="Q53">
        <v>886127.25</v>
      </c>
      <c r="R53">
        <v>878569.5625</v>
      </c>
      <c r="S53">
        <v>901157.5</v>
      </c>
      <c r="T53">
        <v>956917.3125</v>
      </c>
      <c r="U53">
        <v>963714.0625</v>
      </c>
      <c r="V53">
        <v>925761.6875</v>
      </c>
      <c r="W53">
        <v>886335.5625</v>
      </c>
      <c r="X53">
        <v>872489.5625</v>
      </c>
      <c r="Y53">
        <v>866014.875</v>
      </c>
      <c r="Z53">
        <v>888226.625</v>
      </c>
      <c r="AA53">
        <v>930258.625</v>
      </c>
      <c r="AB53">
        <v>969957.875</v>
      </c>
      <c r="AC53">
        <v>1003135.25</v>
      </c>
      <c r="AD53">
        <v>1027183</v>
      </c>
      <c r="AE53">
        <v>1018577.25</v>
      </c>
      <c r="AF53">
        <v>985707.5625</v>
      </c>
    </row>
    <row r="54" spans="1:32" x14ac:dyDescent="0.3">
      <c r="A54" t="s">
        <v>20</v>
      </c>
      <c r="B54" t="s">
        <v>190</v>
      </c>
      <c r="C54" t="s">
        <v>86</v>
      </c>
      <c r="D54" t="s">
        <v>191</v>
      </c>
      <c r="E54" t="s">
        <v>87</v>
      </c>
      <c r="F54">
        <v>3334963.5625</v>
      </c>
      <c r="G54">
        <v>3382691.75</v>
      </c>
      <c r="H54">
        <v>3336344.625</v>
      </c>
      <c r="I54">
        <v>3274263.9375</v>
      </c>
      <c r="J54">
        <v>3162410.4375</v>
      </c>
      <c r="K54">
        <v>3219734.125</v>
      </c>
      <c r="L54">
        <v>3368340.375</v>
      </c>
      <c r="M54">
        <v>3396995.75</v>
      </c>
      <c r="N54">
        <v>3355652.25</v>
      </c>
      <c r="O54">
        <v>3393934.25</v>
      </c>
      <c r="P54">
        <v>3468986.6875</v>
      </c>
      <c r="Q54">
        <v>3595220.375</v>
      </c>
      <c r="R54">
        <v>3597416.3125</v>
      </c>
      <c r="S54">
        <v>3623728.625</v>
      </c>
      <c r="T54">
        <v>3703964.875</v>
      </c>
      <c r="U54">
        <v>3759187.9375</v>
      </c>
      <c r="V54">
        <v>3717325.875</v>
      </c>
      <c r="W54">
        <v>3571195.875</v>
      </c>
      <c r="X54">
        <v>3555557.9375</v>
      </c>
      <c r="Y54">
        <v>3532469.625</v>
      </c>
      <c r="Z54">
        <v>3528099.9375</v>
      </c>
      <c r="AA54">
        <v>3594631.9375</v>
      </c>
      <c r="AB54">
        <v>3656951</v>
      </c>
      <c r="AC54">
        <v>3785244.1875</v>
      </c>
      <c r="AD54">
        <v>3911548.0625</v>
      </c>
      <c r="AE54">
        <v>3891395.875</v>
      </c>
      <c r="AF54">
        <v>3822743.125</v>
      </c>
    </row>
    <row r="55" spans="1:32" x14ac:dyDescent="0.3">
      <c r="A55" t="s">
        <v>20</v>
      </c>
      <c r="B55" t="s">
        <v>192</v>
      </c>
      <c r="C55" t="s">
        <v>86</v>
      </c>
      <c r="D55" t="s">
        <v>193</v>
      </c>
      <c r="E55" t="s">
        <v>87</v>
      </c>
      <c r="F55">
        <v>2398264.5625</v>
      </c>
      <c r="G55">
        <v>2398189.4375</v>
      </c>
      <c r="H55">
        <v>2367061.25</v>
      </c>
      <c r="I55">
        <v>2342066.0625</v>
      </c>
      <c r="J55">
        <v>2254939.375</v>
      </c>
      <c r="K55">
        <v>2320188.375</v>
      </c>
      <c r="L55">
        <v>2461888.1875</v>
      </c>
      <c r="M55">
        <v>2469986.625</v>
      </c>
      <c r="N55">
        <v>2437154.875</v>
      </c>
      <c r="O55">
        <v>2467652.375</v>
      </c>
      <c r="P55">
        <v>2570894.0625</v>
      </c>
      <c r="Q55">
        <v>2709093.125</v>
      </c>
      <c r="R55">
        <v>2718846.75</v>
      </c>
      <c r="S55">
        <v>2722571.125</v>
      </c>
      <c r="T55">
        <v>2747047.5625</v>
      </c>
      <c r="U55">
        <v>2795473.875</v>
      </c>
      <c r="V55">
        <v>2791564.1875</v>
      </c>
      <c r="W55">
        <v>2684860.3125</v>
      </c>
      <c r="X55">
        <v>2683068.375</v>
      </c>
      <c r="Y55">
        <v>2666454.75</v>
      </c>
      <c r="Z55">
        <v>2639873.3125</v>
      </c>
      <c r="AA55">
        <v>2664373.3125</v>
      </c>
      <c r="AB55">
        <v>2686993.125</v>
      </c>
      <c r="AC55">
        <v>2782108.9375</v>
      </c>
      <c r="AD55">
        <v>2884365.0625</v>
      </c>
      <c r="AE55">
        <v>2872818.625</v>
      </c>
      <c r="AF55">
        <v>2837035.5625</v>
      </c>
    </row>
    <row r="56" spans="1:32" x14ac:dyDescent="0.3">
      <c r="A56" t="s">
        <v>20</v>
      </c>
      <c r="B56" t="s">
        <v>194</v>
      </c>
      <c r="C56" t="s">
        <v>86</v>
      </c>
      <c r="D56" t="s">
        <v>195</v>
      </c>
      <c r="E56" t="s">
        <v>87</v>
      </c>
      <c r="F56">
        <v>13156.2666015625</v>
      </c>
      <c r="G56">
        <v>13173.5625</v>
      </c>
      <c r="H56">
        <v>13155.798828125</v>
      </c>
      <c r="I56">
        <v>12969.41015625</v>
      </c>
      <c r="J56">
        <v>12550.7939453125</v>
      </c>
      <c r="K56">
        <v>12020.755859375</v>
      </c>
      <c r="L56">
        <v>11720.4150390625</v>
      </c>
      <c r="M56">
        <v>10900.0703125</v>
      </c>
      <c r="N56">
        <v>10358.7314453125</v>
      </c>
      <c r="O56">
        <v>9696.5654296875</v>
      </c>
      <c r="P56">
        <v>9987.9443359375</v>
      </c>
      <c r="Q56">
        <v>10255.177734375</v>
      </c>
      <c r="R56">
        <v>10219.14453125</v>
      </c>
      <c r="S56">
        <v>10271.091796875</v>
      </c>
      <c r="T56">
        <v>10348.6669921875</v>
      </c>
      <c r="U56">
        <v>10736.55078125</v>
      </c>
      <c r="V56">
        <v>10992.6455078125</v>
      </c>
      <c r="W56">
        <v>10902.84375</v>
      </c>
      <c r="X56">
        <v>11556.0380859375</v>
      </c>
      <c r="Y56">
        <v>12130.3349609375</v>
      </c>
      <c r="Z56">
        <v>11276.6455078125</v>
      </c>
      <c r="AA56">
        <v>10431.404296875</v>
      </c>
      <c r="AB56">
        <v>10419.7255859375</v>
      </c>
      <c r="AC56">
        <v>10619.185546875</v>
      </c>
      <c r="AD56">
        <v>10656.6328125</v>
      </c>
      <c r="AE56">
        <v>10575.4326171875</v>
      </c>
      <c r="AF56">
        <v>10620.9208984375</v>
      </c>
    </row>
    <row r="57" spans="1:32" x14ac:dyDescent="0.3">
      <c r="A57" t="s">
        <v>20</v>
      </c>
      <c r="B57" t="s">
        <v>196</v>
      </c>
      <c r="C57" t="s">
        <v>86</v>
      </c>
      <c r="D57" t="s">
        <v>197</v>
      </c>
      <c r="E57" t="s">
        <v>87</v>
      </c>
      <c r="F57">
        <v>53793936.253906198</v>
      </c>
      <c r="G57">
        <v>54427050.519042999</v>
      </c>
      <c r="H57">
        <v>54891866.479248002</v>
      </c>
      <c r="I57">
        <v>55008182.801269501</v>
      </c>
      <c r="J57">
        <v>54565454.6962891</v>
      </c>
      <c r="K57">
        <v>54809201.110839799</v>
      </c>
      <c r="L57">
        <v>54969546.189941399</v>
      </c>
      <c r="M57">
        <v>54531932.235839799</v>
      </c>
      <c r="N57">
        <v>54623591.004638702</v>
      </c>
      <c r="O57">
        <v>54831171.247802697</v>
      </c>
      <c r="P57">
        <v>55252847.434570298</v>
      </c>
      <c r="Q57">
        <v>56213040.199462898</v>
      </c>
      <c r="R57">
        <v>56846032.214355499</v>
      </c>
      <c r="S57">
        <v>56936502.200439498</v>
      </c>
      <c r="T57">
        <v>56298663.4599609</v>
      </c>
      <c r="U57">
        <v>56426286.760009803</v>
      </c>
      <c r="V57">
        <v>56531079.118408203</v>
      </c>
      <c r="W57">
        <v>56573500.529052697</v>
      </c>
      <c r="X57">
        <v>57202470.666748002</v>
      </c>
      <c r="Y57">
        <v>57723253.134521499</v>
      </c>
      <c r="Z57">
        <v>58286105.5771484</v>
      </c>
      <c r="AA57">
        <v>59320181.570678703</v>
      </c>
      <c r="AB57">
        <v>60161264.478149399</v>
      </c>
      <c r="AC57">
        <v>61514976.977783203</v>
      </c>
      <c r="AD57">
        <v>62346312.338867202</v>
      </c>
      <c r="AE57">
        <v>62042479.4072266</v>
      </c>
      <c r="AF57">
        <v>62135750.066040002</v>
      </c>
    </row>
    <row r="58" spans="1:32" x14ac:dyDescent="0.3">
      <c r="A58" t="s">
        <v>20</v>
      </c>
      <c r="B58" t="s">
        <v>198</v>
      </c>
      <c r="C58" t="s">
        <v>86</v>
      </c>
      <c r="D58" t="s">
        <v>199</v>
      </c>
      <c r="E58" t="s">
        <v>87</v>
      </c>
      <c r="F58">
        <v>53780779.987304702</v>
      </c>
      <c r="G58">
        <v>54413876.956542999</v>
      </c>
      <c r="H58">
        <v>54878710.6804199</v>
      </c>
      <c r="I58">
        <v>54995213.391113304</v>
      </c>
      <c r="J58">
        <v>54552903.902343802</v>
      </c>
      <c r="K58">
        <v>54797180.354980499</v>
      </c>
      <c r="L58">
        <v>54957825.774902299</v>
      </c>
      <c r="M58">
        <v>54521032.165527299</v>
      </c>
      <c r="N58">
        <v>54613232.273193397</v>
      </c>
      <c r="O58">
        <v>54821474.682373002</v>
      </c>
      <c r="P58">
        <v>55242859.490234397</v>
      </c>
      <c r="Q58">
        <v>56202785.021728501</v>
      </c>
      <c r="R58">
        <v>56835813.069824196</v>
      </c>
      <c r="S58">
        <v>56926231.1086426</v>
      </c>
      <c r="T58">
        <v>56288314.792968802</v>
      </c>
      <c r="U58">
        <v>56415550.209228501</v>
      </c>
      <c r="V58">
        <v>56520086.472900398</v>
      </c>
      <c r="W58">
        <v>56562597.685302697</v>
      </c>
      <c r="X58">
        <v>57190914.628662102</v>
      </c>
      <c r="Y58">
        <v>57711122.799560502</v>
      </c>
      <c r="Z58">
        <v>58274828.931640603</v>
      </c>
      <c r="AA58">
        <v>59309750.166381799</v>
      </c>
      <c r="AB58">
        <v>60150844.752563499</v>
      </c>
      <c r="AC58">
        <v>61504357.792236298</v>
      </c>
      <c r="AD58">
        <v>62335655.706054702</v>
      </c>
      <c r="AE58">
        <v>62031903.974609397</v>
      </c>
      <c r="AF58">
        <v>62125129.145141602</v>
      </c>
    </row>
    <row r="59" spans="1:32" x14ac:dyDescent="0.3">
      <c r="A59" t="s">
        <v>20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22</v>
      </c>
      <c r="B2" t="s">
        <v>84</v>
      </c>
      <c r="C2" t="s">
        <v>86</v>
      </c>
      <c r="D2" t="s">
        <v>85</v>
      </c>
      <c r="E2" t="s">
        <v>87</v>
      </c>
      <c r="F2">
        <v>7730504.5625</v>
      </c>
      <c r="G2">
        <v>7585335.40625</v>
      </c>
      <c r="H2">
        <v>7082042.328125</v>
      </c>
      <c r="I2">
        <v>6966792.453125</v>
      </c>
      <c r="J2">
        <v>6719078.734375</v>
      </c>
      <c r="K2">
        <v>6461022.40625</v>
      </c>
      <c r="L2">
        <v>6329179.5625</v>
      </c>
      <c r="M2">
        <v>5801404.6796875</v>
      </c>
      <c r="N2">
        <v>5772257.3046875</v>
      </c>
      <c r="O2">
        <v>5714287.609375</v>
      </c>
      <c r="P2">
        <v>5701752.296875</v>
      </c>
      <c r="Q2">
        <v>5350057.953125</v>
      </c>
      <c r="R2">
        <v>5310364.2734375</v>
      </c>
      <c r="S2">
        <v>5137886.765625</v>
      </c>
      <c r="T2">
        <v>5017052.34375</v>
      </c>
      <c r="U2">
        <v>4731164.65625</v>
      </c>
      <c r="V2">
        <v>4597867.96875</v>
      </c>
      <c r="W2">
        <v>4422511.171875</v>
      </c>
      <c r="X2">
        <v>4231348</v>
      </c>
      <c r="Y2">
        <v>4192870.515625</v>
      </c>
      <c r="Z2">
        <v>4188064.046875</v>
      </c>
      <c r="AA2">
        <v>3958227.28125</v>
      </c>
      <c r="AB2">
        <v>4040470.4375</v>
      </c>
      <c r="AC2">
        <v>4039775.15625</v>
      </c>
      <c r="AD2">
        <v>3880190.546875</v>
      </c>
      <c r="AE2">
        <v>3649644.953125</v>
      </c>
      <c r="AF2">
        <v>3687322.515625</v>
      </c>
    </row>
    <row r="3" spans="1:32" x14ac:dyDescent="0.3">
      <c r="A3" t="s">
        <v>22</v>
      </c>
      <c r="B3" t="s">
        <v>88</v>
      </c>
      <c r="C3" t="s">
        <v>86</v>
      </c>
      <c r="D3" t="s">
        <v>89</v>
      </c>
      <c r="E3" t="s">
        <v>87</v>
      </c>
      <c r="F3">
        <v>162413.46875</v>
      </c>
      <c r="G3">
        <v>163355.484375</v>
      </c>
      <c r="H3">
        <v>180113.859375</v>
      </c>
      <c r="I3">
        <v>162512.828125</v>
      </c>
      <c r="J3">
        <v>156446.65625</v>
      </c>
      <c r="K3">
        <v>153952.75</v>
      </c>
      <c r="L3">
        <v>148393.609375</v>
      </c>
      <c r="M3">
        <v>125114.625</v>
      </c>
      <c r="N3">
        <v>124898.6484375</v>
      </c>
      <c r="O3">
        <v>99460.2890625</v>
      </c>
      <c r="P3">
        <v>98344.7734375</v>
      </c>
      <c r="Q3">
        <v>98368.3046875</v>
      </c>
      <c r="R3">
        <v>99188.203125</v>
      </c>
      <c r="S3">
        <v>78461.7109375</v>
      </c>
      <c r="T3">
        <v>91974.1875</v>
      </c>
      <c r="U3">
        <v>90813.9375</v>
      </c>
      <c r="V3">
        <v>78790.875</v>
      </c>
      <c r="W3">
        <v>80029.1796875</v>
      </c>
      <c r="X3">
        <v>80076.046875</v>
      </c>
      <c r="Y3">
        <v>102982.390625</v>
      </c>
      <c r="Z3">
        <v>102249.4375</v>
      </c>
      <c r="AA3">
        <v>81839.2890625</v>
      </c>
      <c r="AB3">
        <v>99923.5078125</v>
      </c>
      <c r="AC3">
        <v>80183.671875</v>
      </c>
      <c r="AD3">
        <v>81056.4921875</v>
      </c>
      <c r="AE3">
        <v>80007.265625</v>
      </c>
      <c r="AF3">
        <v>78923.4453125</v>
      </c>
    </row>
    <row r="4" spans="1:32" x14ac:dyDescent="0.3">
      <c r="A4" t="s">
        <v>22</v>
      </c>
      <c r="B4" t="s">
        <v>90</v>
      </c>
      <c r="C4" t="s">
        <v>86</v>
      </c>
      <c r="D4" t="s">
        <v>91</v>
      </c>
      <c r="E4" t="s">
        <v>87</v>
      </c>
      <c r="F4">
        <v>28374960.4760742</v>
      </c>
      <c r="G4">
        <v>28234980.536132801</v>
      </c>
      <c r="H4">
        <v>27861662.049316399</v>
      </c>
      <c r="I4">
        <v>26185625.833984401</v>
      </c>
      <c r="J4">
        <v>25474200.8759766</v>
      </c>
      <c r="K4">
        <v>25605209.5224609</v>
      </c>
      <c r="L4">
        <v>24474774.704589799</v>
      </c>
      <c r="M4">
        <v>23280969.71875</v>
      </c>
      <c r="N4">
        <v>22752086.4926758</v>
      </c>
      <c r="O4">
        <v>22367621.171875</v>
      </c>
      <c r="P4">
        <v>22155643.9921875</v>
      </c>
      <c r="Q4">
        <v>22894472.2182617</v>
      </c>
      <c r="R4">
        <v>22840193.822265599</v>
      </c>
      <c r="S4">
        <v>22045084.353515599</v>
      </c>
      <c r="T4">
        <v>19294532.7192383</v>
      </c>
      <c r="U4">
        <v>20025712.833007801</v>
      </c>
      <c r="V4">
        <v>19861787.254394501</v>
      </c>
      <c r="W4">
        <v>19874634.544921901</v>
      </c>
      <c r="X4">
        <v>19100304.933593798</v>
      </c>
      <c r="Y4">
        <v>19075247.3994141</v>
      </c>
      <c r="Z4">
        <v>18990201.792480499</v>
      </c>
      <c r="AA4">
        <v>19110527.720214799</v>
      </c>
      <c r="AB4">
        <v>19410050.180908199</v>
      </c>
      <c r="AC4">
        <v>19435948.193359401</v>
      </c>
      <c r="AD4">
        <v>18993174.636230499</v>
      </c>
      <c r="AE4">
        <v>17720333.059082001</v>
      </c>
      <c r="AF4">
        <v>17917129.331787098</v>
      </c>
    </row>
    <row r="5" spans="1:32" x14ac:dyDescent="0.3">
      <c r="A5" t="s">
        <v>22</v>
      </c>
      <c r="B5" t="s">
        <v>92</v>
      </c>
      <c r="C5" t="s">
        <v>86</v>
      </c>
      <c r="D5" t="s">
        <v>93</v>
      </c>
      <c r="E5" t="s">
        <v>87</v>
      </c>
      <c r="F5">
        <v>3447330.80859375</v>
      </c>
      <c r="G5">
        <v>3464252.2519531199</v>
      </c>
      <c r="H5">
        <v>3356435.2207031199</v>
      </c>
      <c r="I5">
        <v>3290641.3808593801</v>
      </c>
      <c r="J5">
        <v>3257790.9511718801</v>
      </c>
      <c r="K5">
        <v>3275317.15625</v>
      </c>
      <c r="L5">
        <v>3244572.21484375</v>
      </c>
      <c r="M5">
        <v>3226860.75</v>
      </c>
      <c r="N5">
        <v>3159061.4980468801</v>
      </c>
      <c r="O5">
        <v>3128219.8984375</v>
      </c>
      <c r="P5">
        <v>3100820.2753906199</v>
      </c>
      <c r="Q5">
        <v>3140680.9873046898</v>
      </c>
      <c r="R5">
        <v>3046453.6630859398</v>
      </c>
      <c r="S5">
        <v>2989172.9140625</v>
      </c>
      <c r="T5">
        <v>2824618.3471679701</v>
      </c>
      <c r="U5">
        <v>2935295.8496093801</v>
      </c>
      <c r="V5">
        <v>2810821.64306641</v>
      </c>
      <c r="W5">
        <v>2955932.5322265602</v>
      </c>
      <c r="X5">
        <v>2879950.9482421898</v>
      </c>
      <c r="Y5">
        <v>2883260.9580078102</v>
      </c>
      <c r="Z5">
        <v>2869039.49853516</v>
      </c>
      <c r="AA5">
        <v>2858357.3745117201</v>
      </c>
      <c r="AB5">
        <v>2913907.7932128902</v>
      </c>
      <c r="AC5">
        <v>2870997.8974609398</v>
      </c>
      <c r="AD5">
        <v>2808006.58837891</v>
      </c>
      <c r="AE5">
        <v>2635536.2973632799</v>
      </c>
      <c r="AF5">
        <v>2650699.4870605501</v>
      </c>
    </row>
    <row r="6" spans="1:32" x14ac:dyDescent="0.3">
      <c r="A6" t="s">
        <v>22</v>
      </c>
      <c r="B6" t="s">
        <v>94</v>
      </c>
      <c r="C6" t="s">
        <v>86</v>
      </c>
      <c r="D6" t="s">
        <v>95</v>
      </c>
      <c r="E6" t="s">
        <v>87</v>
      </c>
      <c r="F6">
        <v>2768069.015625</v>
      </c>
      <c r="G6">
        <v>2658962.640625</v>
      </c>
      <c r="H6">
        <v>2478893.453125</v>
      </c>
      <c r="I6">
        <v>2198659.3125</v>
      </c>
      <c r="J6">
        <v>2030602.28125</v>
      </c>
      <c r="K6">
        <v>1847587.375</v>
      </c>
      <c r="L6">
        <v>1688398.78125</v>
      </c>
      <c r="M6">
        <v>1514911.828125</v>
      </c>
      <c r="N6">
        <v>1422601.71875</v>
      </c>
      <c r="O6">
        <v>1317962.2109375</v>
      </c>
      <c r="P6">
        <v>1226603.6015625</v>
      </c>
      <c r="Q6">
        <v>1239101.609375</v>
      </c>
      <c r="R6">
        <v>1184926.7734375</v>
      </c>
      <c r="S6">
        <v>1104540.3203125</v>
      </c>
      <c r="T6">
        <v>963169.5</v>
      </c>
      <c r="U6">
        <v>948344.0078125</v>
      </c>
      <c r="V6">
        <v>933422.8984375</v>
      </c>
      <c r="W6">
        <v>930100.421875</v>
      </c>
      <c r="X6">
        <v>860983.2734375</v>
      </c>
      <c r="Y6">
        <v>829090.3984375</v>
      </c>
      <c r="Z6">
        <v>777700.234375</v>
      </c>
      <c r="AA6">
        <v>778647.10546875</v>
      </c>
      <c r="AB6">
        <v>762343.09765625</v>
      </c>
      <c r="AC6">
        <v>734876.58203125</v>
      </c>
      <c r="AD6">
        <v>699768.95703125</v>
      </c>
      <c r="AE6">
        <v>587125.5625</v>
      </c>
      <c r="AF6">
        <v>543416.32421875</v>
      </c>
    </row>
    <row r="7" spans="1:32" x14ac:dyDescent="0.3">
      <c r="A7" t="s">
        <v>22</v>
      </c>
      <c r="B7" t="s">
        <v>96</v>
      </c>
      <c r="C7" t="s">
        <v>86</v>
      </c>
      <c r="D7" t="s">
        <v>97</v>
      </c>
      <c r="E7" t="s">
        <v>87</v>
      </c>
      <c r="F7">
        <v>2736265.953125</v>
      </c>
      <c r="G7">
        <v>2742978.984375</v>
      </c>
      <c r="H7">
        <v>2645860.546875</v>
      </c>
      <c r="I7">
        <v>2509461.625</v>
      </c>
      <c r="J7">
        <v>2430463.71875</v>
      </c>
      <c r="K7">
        <v>2398092.9375</v>
      </c>
      <c r="L7">
        <v>2324939.03125</v>
      </c>
      <c r="M7">
        <v>2233133.140625</v>
      </c>
      <c r="N7">
        <v>2171216.78125</v>
      </c>
      <c r="O7">
        <v>2102712.484375</v>
      </c>
      <c r="P7">
        <v>2049352.8125</v>
      </c>
      <c r="Q7">
        <v>2070536.390625</v>
      </c>
      <c r="R7">
        <v>1971160.5625</v>
      </c>
      <c r="S7">
        <v>1871847.234375</v>
      </c>
      <c r="T7">
        <v>1715597.65625</v>
      </c>
      <c r="U7">
        <v>1703507.84375</v>
      </c>
      <c r="V7">
        <v>1650599.46875</v>
      </c>
      <c r="W7">
        <v>1690053.078125</v>
      </c>
      <c r="X7">
        <v>1591132.09375</v>
      </c>
      <c r="Y7">
        <v>1551773.28125</v>
      </c>
      <c r="Z7">
        <v>1513502.4453125</v>
      </c>
      <c r="AA7">
        <v>1503868.6484375</v>
      </c>
      <c r="AB7">
        <v>1495581.25</v>
      </c>
      <c r="AC7">
        <v>1461965.328125</v>
      </c>
      <c r="AD7">
        <v>1421322.5234375</v>
      </c>
      <c r="AE7">
        <v>1289167.59375</v>
      </c>
      <c r="AF7">
        <v>1269985.796875</v>
      </c>
    </row>
    <row r="8" spans="1:32" x14ac:dyDescent="0.3">
      <c r="A8" t="s">
        <v>22</v>
      </c>
      <c r="B8" t="s">
        <v>98</v>
      </c>
      <c r="C8" t="s">
        <v>86</v>
      </c>
      <c r="D8" t="s">
        <v>99</v>
      </c>
      <c r="E8" t="s">
        <v>87</v>
      </c>
      <c r="F8">
        <v>95406.443359375</v>
      </c>
      <c r="G8">
        <v>94719.23828125</v>
      </c>
      <c r="H8">
        <v>93844.478515625</v>
      </c>
      <c r="I8">
        <v>91169.4921875</v>
      </c>
      <c r="J8">
        <v>86979.75390625</v>
      </c>
      <c r="K8">
        <v>83505.46484375</v>
      </c>
      <c r="L8">
        <v>81355.001953125</v>
      </c>
      <c r="M8">
        <v>77396.6640625</v>
      </c>
      <c r="N8">
        <v>75475.8125</v>
      </c>
      <c r="O8">
        <v>72407.306640625</v>
      </c>
      <c r="P8">
        <v>71209.880859375</v>
      </c>
      <c r="Q8">
        <v>71577.01953125</v>
      </c>
      <c r="R8">
        <v>68319.578125</v>
      </c>
      <c r="S8">
        <v>68729.2734375</v>
      </c>
      <c r="T8">
        <v>65176.70703125</v>
      </c>
      <c r="U8">
        <v>68618.8671875</v>
      </c>
      <c r="V8">
        <v>73706.306640625</v>
      </c>
      <c r="W8">
        <v>69602.005859375</v>
      </c>
      <c r="X8">
        <v>67022.837890625</v>
      </c>
      <c r="Y8">
        <v>68954.435546875</v>
      </c>
      <c r="Z8">
        <v>67457.65234375</v>
      </c>
      <c r="AA8">
        <v>69544.787109375</v>
      </c>
      <c r="AB8">
        <v>71368.390625</v>
      </c>
      <c r="AC8">
        <v>72444.642578125</v>
      </c>
      <c r="AD8">
        <v>73274.22265625</v>
      </c>
      <c r="AE8">
        <v>76870.6640625</v>
      </c>
      <c r="AF8">
        <v>81716.671875</v>
      </c>
    </row>
    <row r="9" spans="1:32" x14ac:dyDescent="0.3">
      <c r="A9" t="s">
        <v>22</v>
      </c>
      <c r="B9" t="s">
        <v>100</v>
      </c>
      <c r="C9" t="s">
        <v>86</v>
      </c>
      <c r="D9" t="s">
        <v>101</v>
      </c>
      <c r="E9" t="s">
        <v>87</v>
      </c>
      <c r="F9">
        <v>818407.30957031203</v>
      </c>
      <c r="G9">
        <v>820391.18994140602</v>
      </c>
      <c r="H9">
        <v>819534.83251953102</v>
      </c>
      <c r="I9">
        <v>792174.61376953102</v>
      </c>
      <c r="J9">
        <v>790272.091796875</v>
      </c>
      <c r="K9">
        <v>791303.65234375</v>
      </c>
      <c r="L9">
        <v>781593.48046875</v>
      </c>
      <c r="M9">
        <v>758367.71875</v>
      </c>
      <c r="N9">
        <v>736257.48974609398</v>
      </c>
      <c r="O9">
        <v>727206.685546875</v>
      </c>
      <c r="P9">
        <v>742731.25878906203</v>
      </c>
      <c r="Q9">
        <v>760054.31640625</v>
      </c>
      <c r="R9">
        <v>736448.15722656203</v>
      </c>
      <c r="S9">
        <v>730211.44628906203</v>
      </c>
      <c r="T9">
        <v>677428.47607421898</v>
      </c>
      <c r="U9">
        <v>690532.73925781203</v>
      </c>
      <c r="V9">
        <v>704268.28515625</v>
      </c>
      <c r="W9">
        <v>691614.29785156203</v>
      </c>
      <c r="X9">
        <v>660709.421875</v>
      </c>
      <c r="Y9">
        <v>653672.224609375</v>
      </c>
      <c r="Z9">
        <v>666771.51855468797</v>
      </c>
      <c r="AA9">
        <v>682410.3828125</v>
      </c>
      <c r="AB9">
        <v>706708.75878906203</v>
      </c>
      <c r="AC9">
        <v>723635.88769531203</v>
      </c>
      <c r="AD9">
        <v>720526.443359375</v>
      </c>
      <c r="AE9">
        <v>729576.609375</v>
      </c>
      <c r="AF9">
        <v>743004.080078125</v>
      </c>
    </row>
    <row r="10" spans="1:32" x14ac:dyDescent="0.3">
      <c r="A10" t="s">
        <v>22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22</v>
      </c>
      <c r="B11" t="s">
        <v>104</v>
      </c>
      <c r="C11" t="s">
        <v>86</v>
      </c>
      <c r="D11" t="s">
        <v>105</v>
      </c>
      <c r="E11" t="s">
        <v>87</v>
      </c>
      <c r="F11">
        <v>298430.03125</v>
      </c>
      <c r="G11">
        <v>303552.03125</v>
      </c>
      <c r="H11">
        <v>300949</v>
      </c>
      <c r="I11">
        <v>288630.125</v>
      </c>
      <c r="J11">
        <v>295441.28125</v>
      </c>
      <c r="K11">
        <v>298061.3125</v>
      </c>
      <c r="L11">
        <v>304206.28125</v>
      </c>
      <c r="M11">
        <v>302976.28125</v>
      </c>
      <c r="N11">
        <v>291351.96875</v>
      </c>
      <c r="O11">
        <v>294515.4375</v>
      </c>
      <c r="P11">
        <v>296746.3125</v>
      </c>
      <c r="Q11">
        <v>303851.34375</v>
      </c>
      <c r="R11">
        <v>277329.96875</v>
      </c>
      <c r="S11">
        <v>269897.875</v>
      </c>
      <c r="T11">
        <v>258411.75</v>
      </c>
      <c r="U11">
        <v>268753.9375</v>
      </c>
      <c r="V11">
        <v>265280.90625</v>
      </c>
      <c r="W11">
        <v>273846.71875</v>
      </c>
      <c r="X11">
        <v>265991.5625</v>
      </c>
      <c r="Y11">
        <v>273554.75</v>
      </c>
      <c r="Z11">
        <v>275492.15625</v>
      </c>
      <c r="AA11">
        <v>278660.21875</v>
      </c>
      <c r="AB11">
        <v>279388.34375</v>
      </c>
      <c r="AC11">
        <v>279239.375</v>
      </c>
      <c r="AD11">
        <v>279537.1875</v>
      </c>
      <c r="AE11">
        <v>283060.71875</v>
      </c>
      <c r="AF11">
        <v>286137.46875</v>
      </c>
    </row>
    <row r="12" spans="1:32" x14ac:dyDescent="0.3">
      <c r="A12" t="s">
        <v>22</v>
      </c>
      <c r="B12" t="s">
        <v>106</v>
      </c>
      <c r="C12" t="s">
        <v>86</v>
      </c>
      <c r="D12" t="s">
        <v>107</v>
      </c>
      <c r="E12" t="s">
        <v>87</v>
      </c>
      <c r="F12">
        <v>2675689.359375</v>
      </c>
      <c r="G12">
        <v>2650670.234375</v>
      </c>
      <c r="H12">
        <v>2592828.625</v>
      </c>
      <c r="I12">
        <v>2423163.28125</v>
      </c>
      <c r="J12">
        <v>2366335.59375</v>
      </c>
      <c r="K12">
        <v>2388025.125</v>
      </c>
      <c r="L12">
        <v>2300218.125</v>
      </c>
      <c r="M12">
        <v>2178425.921875</v>
      </c>
      <c r="N12">
        <v>2146776.390625</v>
      </c>
      <c r="O12">
        <v>2097513.421875</v>
      </c>
      <c r="P12">
        <v>2059488.0078125</v>
      </c>
      <c r="Q12">
        <v>2110497.3125</v>
      </c>
      <c r="R12">
        <v>2144588.359375</v>
      </c>
      <c r="S12">
        <v>2036674.625</v>
      </c>
      <c r="T12">
        <v>1798689.40625</v>
      </c>
      <c r="U12">
        <v>1882938.6484375</v>
      </c>
      <c r="V12">
        <v>1888726.734375</v>
      </c>
      <c r="W12">
        <v>1919081.75</v>
      </c>
      <c r="X12">
        <v>1902328.6953125</v>
      </c>
      <c r="Y12">
        <v>1871215.4296875</v>
      </c>
      <c r="Z12">
        <v>1875857.921875</v>
      </c>
      <c r="AA12">
        <v>1884954.09375</v>
      </c>
      <c r="AB12">
        <v>1918956.1171875</v>
      </c>
      <c r="AC12">
        <v>1953006.2578125</v>
      </c>
      <c r="AD12">
        <v>1922888.7578125</v>
      </c>
      <c r="AE12">
        <v>1794679.125</v>
      </c>
      <c r="AF12">
        <v>1815810.4375</v>
      </c>
    </row>
    <row r="13" spans="1:32" x14ac:dyDescent="0.3">
      <c r="A13" t="s">
        <v>22</v>
      </c>
      <c r="B13" t="s">
        <v>108</v>
      </c>
      <c r="C13" t="s">
        <v>86</v>
      </c>
      <c r="D13" t="s">
        <v>109</v>
      </c>
      <c r="E13" t="s">
        <v>87</v>
      </c>
      <c r="F13">
        <v>3537974.1567382799</v>
      </c>
      <c r="G13">
        <v>3528080.1918945299</v>
      </c>
      <c r="H13">
        <v>3507385.7597656199</v>
      </c>
      <c r="I13">
        <v>3189855.8002929701</v>
      </c>
      <c r="J13">
        <v>3030494.2744140602</v>
      </c>
      <c r="K13">
        <v>3138390.3505859398</v>
      </c>
      <c r="L13">
        <v>2997178.5385742201</v>
      </c>
      <c r="M13">
        <v>2874073.8515625</v>
      </c>
      <c r="N13">
        <v>2789051.0986328102</v>
      </c>
      <c r="O13">
        <v>2723762.21875</v>
      </c>
      <c r="P13">
        <v>2740076.1240234398</v>
      </c>
      <c r="Q13">
        <v>2868930.0122070299</v>
      </c>
      <c r="R13">
        <v>2873792.7363281199</v>
      </c>
      <c r="S13">
        <v>2783567.1494140602</v>
      </c>
      <c r="T13">
        <v>2347724.9565429701</v>
      </c>
      <c r="U13">
        <v>2469977.9746093801</v>
      </c>
      <c r="V13">
        <v>2473279.16796875</v>
      </c>
      <c r="W13">
        <v>2544703.5859375</v>
      </c>
      <c r="X13">
        <v>2472811.1357421898</v>
      </c>
      <c r="Y13">
        <v>2496289.0029296898</v>
      </c>
      <c r="Z13">
        <v>2407113.8496093801</v>
      </c>
      <c r="AA13">
        <v>2454539.0625</v>
      </c>
      <c r="AB13">
        <v>2509730.3769531199</v>
      </c>
      <c r="AC13">
        <v>2546624.703125</v>
      </c>
      <c r="AD13">
        <v>2495646.92578125</v>
      </c>
      <c r="AE13">
        <v>2270434.00390625</v>
      </c>
      <c r="AF13">
        <v>2302607.4091796898</v>
      </c>
    </row>
    <row r="14" spans="1:32" x14ac:dyDescent="0.3">
      <c r="A14" t="s">
        <v>22</v>
      </c>
      <c r="B14" t="s">
        <v>110</v>
      </c>
      <c r="C14" t="s">
        <v>86</v>
      </c>
      <c r="D14" t="s">
        <v>111</v>
      </c>
      <c r="E14" t="s">
        <v>87</v>
      </c>
      <c r="F14">
        <v>3361339.4453125</v>
      </c>
      <c r="G14">
        <v>3304521.9765625</v>
      </c>
      <c r="H14">
        <v>3360738.0703125</v>
      </c>
      <c r="I14">
        <v>3254773.25</v>
      </c>
      <c r="J14">
        <v>3261113.8671875</v>
      </c>
      <c r="K14">
        <v>3322663.2734375</v>
      </c>
      <c r="L14">
        <v>3029558.28125</v>
      </c>
      <c r="M14">
        <v>2768852.859375</v>
      </c>
      <c r="N14">
        <v>2714891.65625</v>
      </c>
      <c r="O14">
        <v>2664438.3515625</v>
      </c>
      <c r="P14">
        <v>2527548.578125</v>
      </c>
      <c r="Q14">
        <v>2672947.5078125</v>
      </c>
      <c r="R14">
        <v>2732383.6640625</v>
      </c>
      <c r="S14">
        <v>2599078.5</v>
      </c>
      <c r="T14">
        <v>2194030.0292968801</v>
      </c>
      <c r="U14">
        <v>2249918.27734375</v>
      </c>
      <c r="V14">
        <v>2219943</v>
      </c>
      <c r="W14">
        <v>1967182.6386718799</v>
      </c>
      <c r="X14">
        <v>1828338.29296875</v>
      </c>
      <c r="Y14">
        <v>1789561.3095703099</v>
      </c>
      <c r="Z14">
        <v>1768757.59375</v>
      </c>
      <c r="AA14">
        <v>1766118.140625</v>
      </c>
      <c r="AB14">
        <v>1794241.4433593799</v>
      </c>
      <c r="AC14">
        <v>1817993.20703125</v>
      </c>
      <c r="AD14">
        <v>1780813.3115234401</v>
      </c>
      <c r="AE14">
        <v>1727728.375</v>
      </c>
      <c r="AF14">
        <v>1758403.265625</v>
      </c>
    </row>
    <row r="15" spans="1:32" x14ac:dyDescent="0.3">
      <c r="A15" t="s">
        <v>22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22</v>
      </c>
      <c r="B16" t="s">
        <v>114</v>
      </c>
      <c r="C16" t="s">
        <v>86</v>
      </c>
      <c r="D16" t="s">
        <v>115</v>
      </c>
      <c r="E16" t="s">
        <v>87</v>
      </c>
      <c r="F16">
        <v>1795723.546875</v>
      </c>
      <c r="G16">
        <v>1759704.203125</v>
      </c>
      <c r="H16">
        <v>1764228.5</v>
      </c>
      <c r="I16">
        <v>1640820.640625</v>
      </c>
      <c r="J16">
        <v>1618913.25</v>
      </c>
      <c r="K16">
        <v>1646399.1875</v>
      </c>
      <c r="L16">
        <v>1539648.234375</v>
      </c>
      <c r="M16">
        <v>1432589.671875</v>
      </c>
      <c r="N16">
        <v>1339991.953125</v>
      </c>
      <c r="O16">
        <v>1326012.890625</v>
      </c>
      <c r="P16">
        <v>1359443.515625</v>
      </c>
      <c r="Q16">
        <v>1433839.875</v>
      </c>
      <c r="R16">
        <v>1427075.03125</v>
      </c>
      <c r="S16">
        <v>1309094.71875</v>
      </c>
      <c r="T16">
        <v>1134126.9375</v>
      </c>
      <c r="U16">
        <v>1216160.59375</v>
      </c>
      <c r="V16">
        <v>1201265.65625</v>
      </c>
      <c r="W16">
        <v>1171580.796875</v>
      </c>
      <c r="X16">
        <v>1122146.953125</v>
      </c>
      <c r="Y16">
        <v>1127632.6875</v>
      </c>
      <c r="Z16">
        <v>1133341.765625</v>
      </c>
      <c r="AA16">
        <v>1129638.765625</v>
      </c>
      <c r="AB16">
        <v>1119185.75</v>
      </c>
      <c r="AC16">
        <v>1138711.078125</v>
      </c>
      <c r="AD16">
        <v>1126015.71875</v>
      </c>
      <c r="AE16">
        <v>1072524.234375</v>
      </c>
      <c r="AF16">
        <v>1089917.640625</v>
      </c>
    </row>
    <row r="17" spans="1:32" x14ac:dyDescent="0.3">
      <c r="A17" t="s">
        <v>22</v>
      </c>
      <c r="B17" t="s">
        <v>116</v>
      </c>
      <c r="C17" t="s">
        <v>86</v>
      </c>
      <c r="D17" t="s">
        <v>117</v>
      </c>
      <c r="E17" t="s">
        <v>87</v>
      </c>
      <c r="F17">
        <v>2929665.6875</v>
      </c>
      <c r="G17">
        <v>3011263.0625</v>
      </c>
      <c r="H17">
        <v>3011658.875</v>
      </c>
      <c r="I17">
        <v>2833831.25</v>
      </c>
      <c r="J17">
        <v>2746179.8125</v>
      </c>
      <c r="K17">
        <v>2856578.1875</v>
      </c>
      <c r="L17">
        <v>2725036.703125</v>
      </c>
      <c r="M17">
        <v>2565885.375</v>
      </c>
      <c r="N17">
        <v>2531781</v>
      </c>
      <c r="O17">
        <v>2559795.859375</v>
      </c>
      <c r="P17">
        <v>2575162.09375</v>
      </c>
      <c r="Q17">
        <v>2722415.21875</v>
      </c>
      <c r="R17">
        <v>2840045.234375</v>
      </c>
      <c r="S17">
        <v>2853768.015625</v>
      </c>
      <c r="T17">
        <v>2336045.671875</v>
      </c>
      <c r="U17">
        <v>2502920.46875</v>
      </c>
      <c r="V17">
        <v>2529411.5</v>
      </c>
      <c r="W17">
        <v>2537413.34375</v>
      </c>
      <c r="X17">
        <v>2408141.25</v>
      </c>
      <c r="Y17">
        <v>2435015.921875</v>
      </c>
      <c r="Z17">
        <v>2422926.96875</v>
      </c>
      <c r="AA17">
        <v>2421921.828125</v>
      </c>
      <c r="AB17">
        <v>2527522.671875</v>
      </c>
      <c r="AC17">
        <v>2560928.734375</v>
      </c>
      <c r="AD17">
        <v>2490178.0625</v>
      </c>
      <c r="AE17">
        <v>2340982.34375</v>
      </c>
      <c r="AF17">
        <v>2402411.78125</v>
      </c>
    </row>
    <row r="18" spans="1:32" x14ac:dyDescent="0.3">
      <c r="A18" t="s">
        <v>22</v>
      </c>
      <c r="B18" t="s">
        <v>118</v>
      </c>
      <c r="C18" t="s">
        <v>86</v>
      </c>
      <c r="D18" t="s">
        <v>119</v>
      </c>
      <c r="E18" t="s">
        <v>87</v>
      </c>
      <c r="F18">
        <v>2501021.53125</v>
      </c>
      <c r="G18">
        <v>2490893.90625</v>
      </c>
      <c r="H18">
        <v>2572259.75</v>
      </c>
      <c r="I18">
        <v>2408469.4375</v>
      </c>
      <c r="J18">
        <v>2361755.6875</v>
      </c>
      <c r="K18">
        <v>2383410.28125</v>
      </c>
      <c r="L18">
        <v>2336787.40625</v>
      </c>
      <c r="M18">
        <v>2317230.59375</v>
      </c>
      <c r="N18">
        <v>2363770.0625</v>
      </c>
      <c r="O18">
        <v>2398420.375</v>
      </c>
      <c r="P18">
        <v>2465142.46875</v>
      </c>
      <c r="Q18">
        <v>2526213.78125</v>
      </c>
      <c r="R18">
        <v>2548128.53125</v>
      </c>
      <c r="S18">
        <v>2487055.8125</v>
      </c>
      <c r="T18">
        <v>2104288.90625</v>
      </c>
      <c r="U18">
        <v>2237677.65625</v>
      </c>
      <c r="V18">
        <v>2257168.46875</v>
      </c>
      <c r="W18">
        <v>2254259.09375</v>
      </c>
      <c r="X18">
        <v>2214694.46875</v>
      </c>
      <c r="Y18">
        <v>2285750.3125</v>
      </c>
      <c r="Z18">
        <v>2422115.5625</v>
      </c>
      <c r="AA18">
        <v>2482766.0625</v>
      </c>
      <c r="AB18">
        <v>2525551.90625</v>
      </c>
      <c r="AC18">
        <v>2504992.96875</v>
      </c>
      <c r="AD18">
        <v>2428180.90625</v>
      </c>
      <c r="AE18">
        <v>2254851.59375</v>
      </c>
      <c r="AF18">
        <v>2333668.25</v>
      </c>
    </row>
    <row r="19" spans="1:32" x14ac:dyDescent="0.3">
      <c r="A19" t="s">
        <v>22</v>
      </c>
      <c r="B19" t="s">
        <v>120</v>
      </c>
      <c r="C19" t="s">
        <v>86</v>
      </c>
      <c r="D19" t="s">
        <v>121</v>
      </c>
      <c r="E19" t="s">
        <v>87</v>
      </c>
      <c r="F19">
        <v>1409637.1875</v>
      </c>
      <c r="G19">
        <v>1404990.625</v>
      </c>
      <c r="H19">
        <v>1357044.9375</v>
      </c>
      <c r="I19">
        <v>1263975.625</v>
      </c>
      <c r="J19">
        <v>1197858.3125</v>
      </c>
      <c r="K19">
        <v>1175875.21875</v>
      </c>
      <c r="L19">
        <v>1121282.625</v>
      </c>
      <c r="M19">
        <v>1030265.0625</v>
      </c>
      <c r="N19">
        <v>1009859.0625</v>
      </c>
      <c r="O19">
        <v>954654.03125</v>
      </c>
      <c r="P19">
        <v>941319.0625</v>
      </c>
      <c r="Q19">
        <v>973826.84375</v>
      </c>
      <c r="R19">
        <v>989541.5625</v>
      </c>
      <c r="S19">
        <v>941446.46875</v>
      </c>
      <c r="T19">
        <v>875224.375</v>
      </c>
      <c r="U19">
        <v>851065.96875</v>
      </c>
      <c r="V19">
        <v>853893.21875</v>
      </c>
      <c r="W19">
        <v>869264.28125</v>
      </c>
      <c r="X19">
        <v>826054</v>
      </c>
      <c r="Y19">
        <v>809476.6875</v>
      </c>
      <c r="Z19">
        <v>790124.625</v>
      </c>
      <c r="AA19">
        <v>799101.25</v>
      </c>
      <c r="AB19">
        <v>785564.28125</v>
      </c>
      <c r="AC19">
        <v>770531.53125</v>
      </c>
      <c r="AD19">
        <v>747015.03125</v>
      </c>
      <c r="AE19">
        <v>657795.9375</v>
      </c>
      <c r="AF19">
        <v>639350.71875</v>
      </c>
    </row>
    <row r="20" spans="1:32" x14ac:dyDescent="0.3">
      <c r="A20" t="s">
        <v>22</v>
      </c>
      <c r="B20" t="s">
        <v>122</v>
      </c>
      <c r="C20" t="s">
        <v>86</v>
      </c>
      <c r="D20" t="s">
        <v>123</v>
      </c>
      <c r="E20" t="s">
        <v>87</v>
      </c>
      <c r="F20">
        <v>489622.5234375</v>
      </c>
      <c r="G20">
        <v>434027.2578125</v>
      </c>
      <c r="H20">
        <v>404158.03125</v>
      </c>
      <c r="I20">
        <v>414251.4140625</v>
      </c>
      <c r="J20">
        <v>409088.2421875</v>
      </c>
      <c r="K20">
        <v>390113.140625</v>
      </c>
      <c r="L20">
        <v>380078.390625</v>
      </c>
      <c r="M20">
        <v>374512.984375</v>
      </c>
      <c r="N20">
        <v>351398.5078125</v>
      </c>
      <c r="O20">
        <v>351693.328125</v>
      </c>
      <c r="P20">
        <v>396964.4453125</v>
      </c>
      <c r="Q20">
        <v>414850.8125</v>
      </c>
      <c r="R20">
        <v>367925.296875</v>
      </c>
      <c r="S20">
        <v>368754.6953125</v>
      </c>
      <c r="T20">
        <v>384714.109375</v>
      </c>
      <c r="U20">
        <v>387935.8359375</v>
      </c>
      <c r="V20">
        <v>361039.546875</v>
      </c>
      <c r="W20">
        <v>372065.3984375</v>
      </c>
      <c r="X20">
        <v>347312.078125</v>
      </c>
      <c r="Y20">
        <v>340290.3203125</v>
      </c>
      <c r="Z20">
        <v>339814.6796875</v>
      </c>
      <c r="AA20">
        <v>354220.5703125</v>
      </c>
      <c r="AB20">
        <v>328632.6328125</v>
      </c>
      <c r="AC20">
        <v>330379.3984375</v>
      </c>
      <c r="AD20">
        <v>311040.87890625</v>
      </c>
      <c r="AE20">
        <v>360785.0390625</v>
      </c>
      <c r="AF20">
        <v>402968.140625</v>
      </c>
    </row>
    <row r="21" spans="1:32" x14ac:dyDescent="0.3">
      <c r="A21" t="s">
        <v>22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22</v>
      </c>
      <c r="B22" t="s">
        <v>126</v>
      </c>
      <c r="C22" t="s">
        <v>86</v>
      </c>
      <c r="D22" t="s">
        <v>127</v>
      </c>
      <c r="E22" t="s">
        <v>87</v>
      </c>
      <c r="F22">
        <v>700829.62646484398</v>
      </c>
      <c r="G22">
        <v>672876.248046875</v>
      </c>
      <c r="H22">
        <v>676637.60205078102</v>
      </c>
      <c r="I22">
        <v>706300.15966796898</v>
      </c>
      <c r="J22">
        <v>723042.146484375</v>
      </c>
      <c r="K22">
        <v>726965.54199218797</v>
      </c>
      <c r="L22">
        <v>728061.90087890602</v>
      </c>
      <c r="M22">
        <v>731657.30175781203</v>
      </c>
      <c r="N22">
        <v>732958.57080078102</v>
      </c>
      <c r="O22">
        <v>759925.37451171898</v>
      </c>
      <c r="P22">
        <v>814640.6953125</v>
      </c>
      <c r="Q22">
        <v>844043.11328125</v>
      </c>
      <c r="R22">
        <v>807573.11425781203</v>
      </c>
      <c r="S22">
        <v>828832.89501953102</v>
      </c>
      <c r="T22">
        <v>857723.39697265602</v>
      </c>
      <c r="U22">
        <v>878897.84277343797</v>
      </c>
      <c r="V22">
        <v>862246.96972656203</v>
      </c>
      <c r="W22">
        <v>864809.83105468797</v>
      </c>
      <c r="X22">
        <v>835886.01245117199</v>
      </c>
      <c r="Y22">
        <v>824819.03344726597</v>
      </c>
      <c r="Z22">
        <v>825098.58496093797</v>
      </c>
      <c r="AA22">
        <v>833896.81323242199</v>
      </c>
      <c r="AB22">
        <v>813284.46240234398</v>
      </c>
      <c r="AC22">
        <v>824484.85400390602</v>
      </c>
      <c r="AD22">
        <v>825037.66015625</v>
      </c>
      <c r="AE22">
        <v>821450.72827148403</v>
      </c>
      <c r="AF22">
        <v>854141.61083984398</v>
      </c>
    </row>
    <row r="23" spans="1:32" x14ac:dyDescent="0.3">
      <c r="A23" t="s">
        <v>22</v>
      </c>
      <c r="B23" t="s">
        <v>128</v>
      </c>
      <c r="C23" t="s">
        <v>86</v>
      </c>
      <c r="D23" t="s">
        <v>129</v>
      </c>
      <c r="E23" t="s">
        <v>87</v>
      </c>
      <c r="F23">
        <v>12606403.5</v>
      </c>
      <c r="G23">
        <v>12722384</v>
      </c>
      <c r="H23">
        <v>12771569.5</v>
      </c>
      <c r="I23">
        <v>12295307.5</v>
      </c>
      <c r="J23">
        <v>12127904.5</v>
      </c>
      <c r="K23">
        <v>12285426.5</v>
      </c>
      <c r="L23">
        <v>11583292.5</v>
      </c>
      <c r="M23">
        <v>11285837.5</v>
      </c>
      <c r="N23">
        <v>11181792</v>
      </c>
      <c r="O23">
        <v>11512740.5</v>
      </c>
      <c r="P23">
        <v>10897529.5</v>
      </c>
      <c r="Q23">
        <v>10754018.5</v>
      </c>
      <c r="R23">
        <v>10792810.5</v>
      </c>
      <c r="S23">
        <v>10449818.75</v>
      </c>
      <c r="T23">
        <v>9741099.5</v>
      </c>
      <c r="U23">
        <v>9472077.5</v>
      </c>
      <c r="V23">
        <v>9509404.25</v>
      </c>
      <c r="W23">
        <v>9545584.75</v>
      </c>
      <c r="X23">
        <v>9335724.25</v>
      </c>
      <c r="Y23">
        <v>9551003.75</v>
      </c>
      <c r="Z23">
        <v>9428311.5</v>
      </c>
      <c r="AA23">
        <v>9245484.5</v>
      </c>
      <c r="AB23">
        <v>9380461.25</v>
      </c>
      <c r="AC23">
        <v>9209769.5</v>
      </c>
      <c r="AD23">
        <v>9033867.5</v>
      </c>
      <c r="AE23">
        <v>8668665.25</v>
      </c>
      <c r="AF23">
        <v>8579708.5</v>
      </c>
    </row>
    <row r="24" spans="1:32" x14ac:dyDescent="0.3">
      <c r="A24" t="s">
        <v>22</v>
      </c>
      <c r="B24" t="s">
        <v>130</v>
      </c>
      <c r="C24" t="s">
        <v>86</v>
      </c>
      <c r="D24" t="s">
        <v>131</v>
      </c>
      <c r="E24" t="s">
        <v>87</v>
      </c>
      <c r="F24">
        <v>22667601.625</v>
      </c>
      <c r="G24">
        <v>22674548.625</v>
      </c>
      <c r="H24">
        <v>22249170.375</v>
      </c>
      <c r="I24">
        <v>22192880.25</v>
      </c>
      <c r="J24">
        <v>22339859.875</v>
      </c>
      <c r="K24">
        <v>22040293.5</v>
      </c>
      <c r="L24">
        <v>21452832.875</v>
      </c>
      <c r="M24">
        <v>20662496.875</v>
      </c>
      <c r="N24">
        <v>20503297.125</v>
      </c>
      <c r="O24">
        <v>20759051.875</v>
      </c>
      <c r="P24">
        <v>20398207.125</v>
      </c>
      <c r="Q24">
        <v>20161875.875</v>
      </c>
      <c r="R24">
        <v>19842282.125</v>
      </c>
      <c r="S24">
        <v>19381639.5</v>
      </c>
      <c r="T24">
        <v>18730134.6875</v>
      </c>
      <c r="U24">
        <v>18962795.5</v>
      </c>
      <c r="V24">
        <v>18824353.25</v>
      </c>
      <c r="W24">
        <v>18405487.375</v>
      </c>
      <c r="X24">
        <v>18160674.625</v>
      </c>
      <c r="Y24">
        <v>17898599.9375</v>
      </c>
      <c r="Z24">
        <v>18270488.5</v>
      </c>
      <c r="AA24">
        <v>18494397.375</v>
      </c>
      <c r="AB24">
        <v>18548590.9375</v>
      </c>
      <c r="AC24">
        <v>18112914.75</v>
      </c>
      <c r="AD24">
        <v>17641435.3125</v>
      </c>
      <c r="AE24">
        <v>16587053.4375</v>
      </c>
      <c r="AF24">
        <v>16821175.8125</v>
      </c>
    </row>
    <row r="25" spans="1:32" x14ac:dyDescent="0.3">
      <c r="A25" t="s">
        <v>22</v>
      </c>
      <c r="B25" t="s">
        <v>132</v>
      </c>
      <c r="C25" t="s">
        <v>86</v>
      </c>
      <c r="D25" t="s">
        <v>133</v>
      </c>
      <c r="E25" t="s">
        <v>87</v>
      </c>
      <c r="F25">
        <v>1125813.625</v>
      </c>
      <c r="G25">
        <v>1140827.625</v>
      </c>
      <c r="H25">
        <v>1153388.875</v>
      </c>
      <c r="I25">
        <v>1122988.75</v>
      </c>
      <c r="J25">
        <v>1093535.375</v>
      </c>
      <c r="K25">
        <v>1075995</v>
      </c>
      <c r="L25">
        <v>1090999.375</v>
      </c>
      <c r="M25">
        <v>1062374.875</v>
      </c>
      <c r="N25">
        <v>1081923.625</v>
      </c>
      <c r="O25">
        <v>1085375.875</v>
      </c>
      <c r="P25">
        <v>1100051.125</v>
      </c>
      <c r="Q25">
        <v>1145888.375</v>
      </c>
      <c r="R25">
        <v>1113517.625</v>
      </c>
      <c r="S25">
        <v>1067997.5</v>
      </c>
      <c r="T25">
        <v>1045152.1875</v>
      </c>
      <c r="U25">
        <v>1063065.5</v>
      </c>
      <c r="V25">
        <v>1058000.75</v>
      </c>
      <c r="W25">
        <v>1041362.375</v>
      </c>
      <c r="X25">
        <v>1023789.625</v>
      </c>
      <c r="Y25">
        <v>985892.4375</v>
      </c>
      <c r="Z25">
        <v>974660</v>
      </c>
      <c r="AA25">
        <v>948565.875</v>
      </c>
      <c r="AB25">
        <v>937242.9375</v>
      </c>
      <c r="AC25">
        <v>954249.25</v>
      </c>
      <c r="AD25">
        <v>948549.8125</v>
      </c>
      <c r="AE25">
        <v>880336.9375</v>
      </c>
      <c r="AF25">
        <v>880435.3125</v>
      </c>
    </row>
    <row r="26" spans="1:32" x14ac:dyDescent="0.3">
      <c r="A26" t="s">
        <v>22</v>
      </c>
      <c r="B26" t="s">
        <v>134</v>
      </c>
      <c r="C26" t="s">
        <v>86</v>
      </c>
      <c r="D26" t="s">
        <v>135</v>
      </c>
      <c r="E26" t="s">
        <v>87</v>
      </c>
      <c r="F26">
        <v>8599389</v>
      </c>
      <c r="G26">
        <v>8498120</v>
      </c>
      <c r="H26">
        <v>8318099.5</v>
      </c>
      <c r="I26">
        <v>8148311.5</v>
      </c>
      <c r="J26">
        <v>8043445.5</v>
      </c>
      <c r="K26">
        <v>7675867.5</v>
      </c>
      <c r="L26">
        <v>7400606.5</v>
      </c>
      <c r="M26">
        <v>6943779</v>
      </c>
      <c r="N26">
        <v>6843379.5</v>
      </c>
      <c r="O26">
        <v>6863552</v>
      </c>
      <c r="P26">
        <v>6769743</v>
      </c>
      <c r="Q26">
        <v>6709041.5</v>
      </c>
      <c r="R26">
        <v>6703589.5</v>
      </c>
      <c r="S26">
        <v>6595920</v>
      </c>
      <c r="T26">
        <v>6388042.5</v>
      </c>
      <c r="U26">
        <v>6399771</v>
      </c>
      <c r="V26">
        <v>6440326.5</v>
      </c>
      <c r="W26">
        <v>6245933</v>
      </c>
      <c r="X26">
        <v>6172581</v>
      </c>
      <c r="Y26">
        <v>6121220.5</v>
      </c>
      <c r="Z26">
        <v>6345850.5</v>
      </c>
      <c r="AA26">
        <v>6453216.5</v>
      </c>
      <c r="AB26">
        <v>6536008</v>
      </c>
      <c r="AC26">
        <v>6465809.5</v>
      </c>
      <c r="AD26">
        <v>6205205.5</v>
      </c>
      <c r="AE26">
        <v>6082971.5</v>
      </c>
      <c r="AF26">
        <v>6070970.5</v>
      </c>
    </row>
    <row r="27" spans="1:32" x14ac:dyDescent="0.3">
      <c r="A27" t="s">
        <v>22</v>
      </c>
      <c r="B27" t="s">
        <v>136</v>
      </c>
      <c r="C27" t="s">
        <v>86</v>
      </c>
      <c r="D27" t="s">
        <v>137</v>
      </c>
      <c r="E27" t="s">
        <v>87</v>
      </c>
      <c r="F27">
        <v>12942399</v>
      </c>
      <c r="G27">
        <v>13035601</v>
      </c>
      <c r="H27">
        <v>12777682</v>
      </c>
      <c r="I27">
        <v>12921580</v>
      </c>
      <c r="J27">
        <v>13202879</v>
      </c>
      <c r="K27">
        <v>13288431</v>
      </c>
      <c r="L27">
        <v>12961227</v>
      </c>
      <c r="M27">
        <v>12656343</v>
      </c>
      <c r="N27">
        <v>12577994</v>
      </c>
      <c r="O27">
        <v>12810124</v>
      </c>
      <c r="P27">
        <v>12528413</v>
      </c>
      <c r="Q27">
        <v>12306946</v>
      </c>
      <c r="R27">
        <v>12025175</v>
      </c>
      <c r="S27">
        <v>11717722</v>
      </c>
      <c r="T27">
        <v>11296940</v>
      </c>
      <c r="U27">
        <v>11499959</v>
      </c>
      <c r="V27">
        <v>11326026</v>
      </c>
      <c r="W27">
        <v>11118192</v>
      </c>
      <c r="X27">
        <v>10964304</v>
      </c>
      <c r="Y27">
        <v>10791487</v>
      </c>
      <c r="Z27">
        <v>10949978</v>
      </c>
      <c r="AA27">
        <v>11092615</v>
      </c>
      <c r="AB27">
        <v>11075340</v>
      </c>
      <c r="AC27">
        <v>10692856</v>
      </c>
      <c r="AD27">
        <v>10487680</v>
      </c>
      <c r="AE27">
        <v>9623745</v>
      </c>
      <c r="AF27">
        <v>9869770</v>
      </c>
    </row>
    <row r="28" spans="1:32" x14ac:dyDescent="0.3">
      <c r="A28" t="s">
        <v>22</v>
      </c>
      <c r="B28" t="s">
        <v>138</v>
      </c>
      <c r="C28" t="s">
        <v>86</v>
      </c>
      <c r="D28" t="s">
        <v>139</v>
      </c>
      <c r="E28" t="s">
        <v>87</v>
      </c>
      <c r="F28">
        <v>8077803.015625</v>
      </c>
      <c r="G28">
        <v>8240296.171875</v>
      </c>
      <c r="H28">
        <v>8070238.796875</v>
      </c>
      <c r="I28">
        <v>7943539.125</v>
      </c>
      <c r="J28">
        <v>7923196.625</v>
      </c>
      <c r="K28">
        <v>8081876.46875</v>
      </c>
      <c r="L28">
        <v>7822296.59375</v>
      </c>
      <c r="M28">
        <v>7718386.015625</v>
      </c>
      <c r="N28">
        <v>7731136.734375</v>
      </c>
      <c r="O28">
        <v>7631078.90625</v>
      </c>
      <c r="P28">
        <v>7443306.359375</v>
      </c>
      <c r="Q28">
        <v>7732079.96875</v>
      </c>
      <c r="R28">
        <v>7831549.484375</v>
      </c>
      <c r="S28">
        <v>7539911.015625</v>
      </c>
      <c r="T28">
        <v>7419742.34375</v>
      </c>
      <c r="U28">
        <v>7540097.84375</v>
      </c>
      <c r="V28">
        <v>7461292.046875</v>
      </c>
      <c r="W28">
        <v>7630425.5</v>
      </c>
      <c r="X28">
        <v>7683569.921875</v>
      </c>
      <c r="Y28">
        <v>7798836.75</v>
      </c>
      <c r="Z28">
        <v>7664936.6875</v>
      </c>
      <c r="AA28">
        <v>7648151.40625</v>
      </c>
      <c r="AB28">
        <v>7792826.421875</v>
      </c>
      <c r="AC28">
        <v>7625790.1875</v>
      </c>
      <c r="AD28">
        <v>7525653.359375</v>
      </c>
      <c r="AE28">
        <v>7146937.421875</v>
      </c>
      <c r="AF28">
        <v>7290639.9375</v>
      </c>
    </row>
    <row r="29" spans="1:32" x14ac:dyDescent="0.3">
      <c r="A29" t="s">
        <v>22</v>
      </c>
      <c r="B29" t="s">
        <v>140</v>
      </c>
      <c r="C29" t="s">
        <v>86</v>
      </c>
      <c r="D29" t="s">
        <v>141</v>
      </c>
      <c r="E29" t="s">
        <v>87</v>
      </c>
      <c r="F29">
        <v>6236408.8125</v>
      </c>
      <c r="G29">
        <v>6420010.53125</v>
      </c>
      <c r="H29">
        <v>6295907.03125</v>
      </c>
      <c r="I29">
        <v>6203739.8125</v>
      </c>
      <c r="J29">
        <v>6210345.65625</v>
      </c>
      <c r="K29">
        <v>6308006.21875</v>
      </c>
      <c r="L29">
        <v>6071720.6875</v>
      </c>
      <c r="M29">
        <v>5989021.8125</v>
      </c>
      <c r="N29">
        <v>6020029.6875</v>
      </c>
      <c r="O29">
        <v>5947440.125</v>
      </c>
      <c r="P29">
        <v>5788874.03125</v>
      </c>
      <c r="Q29">
        <v>5981335.6875</v>
      </c>
      <c r="R29">
        <v>6022790.5625</v>
      </c>
      <c r="S29">
        <v>5786900.75</v>
      </c>
      <c r="T29">
        <v>5662118.4375</v>
      </c>
      <c r="U29">
        <v>5714531.78125</v>
      </c>
      <c r="V29">
        <v>5663122.28125</v>
      </c>
      <c r="W29">
        <v>5820955.6875</v>
      </c>
      <c r="X29">
        <v>5856386.9375</v>
      </c>
      <c r="Y29">
        <v>5931578.03125</v>
      </c>
      <c r="Z29">
        <v>5811740.0625</v>
      </c>
      <c r="AA29">
        <v>5780735.625</v>
      </c>
      <c r="AB29">
        <v>5899982.5625</v>
      </c>
      <c r="AC29">
        <v>5764059.21875</v>
      </c>
      <c r="AD29">
        <v>5651134.3125</v>
      </c>
      <c r="AE29">
        <v>5377767</v>
      </c>
      <c r="AF29">
        <v>5542104.6875</v>
      </c>
    </row>
    <row r="30" spans="1:32" x14ac:dyDescent="0.3">
      <c r="A30" t="s">
        <v>22</v>
      </c>
      <c r="B30" t="s">
        <v>142</v>
      </c>
      <c r="C30" t="s">
        <v>86</v>
      </c>
      <c r="D30" t="s">
        <v>143</v>
      </c>
      <c r="E30" t="s">
        <v>87</v>
      </c>
      <c r="F30">
        <v>367735.90625</v>
      </c>
      <c r="G30">
        <v>364161.71875</v>
      </c>
      <c r="H30">
        <v>339365.75</v>
      </c>
      <c r="I30">
        <v>319688.125</v>
      </c>
      <c r="J30">
        <v>299006.6875</v>
      </c>
      <c r="K30">
        <v>300765.375</v>
      </c>
      <c r="L30">
        <v>288850.1875</v>
      </c>
      <c r="M30">
        <v>278039.40625</v>
      </c>
      <c r="N30">
        <v>273011.6875</v>
      </c>
      <c r="O30">
        <v>261318.0625</v>
      </c>
      <c r="P30">
        <v>257198.34375</v>
      </c>
      <c r="Q30">
        <v>274618.09375</v>
      </c>
      <c r="R30">
        <v>278478.53125</v>
      </c>
      <c r="S30">
        <v>271759.59375</v>
      </c>
      <c r="T30">
        <v>265691.78125</v>
      </c>
      <c r="U30">
        <v>264047.59375</v>
      </c>
      <c r="V30">
        <v>259709.71875</v>
      </c>
      <c r="W30">
        <v>257408.0625</v>
      </c>
      <c r="X30">
        <v>273944.5625</v>
      </c>
      <c r="Y30">
        <v>279094.1875</v>
      </c>
      <c r="Z30">
        <v>264998.5625</v>
      </c>
      <c r="AA30">
        <v>260640.140625</v>
      </c>
      <c r="AB30">
        <v>266926.59375</v>
      </c>
      <c r="AC30">
        <v>277605.40625</v>
      </c>
      <c r="AD30">
        <v>279111.96875</v>
      </c>
      <c r="AE30">
        <v>253783.359375</v>
      </c>
      <c r="AF30">
        <v>250427.203125</v>
      </c>
    </row>
    <row r="31" spans="1:32" x14ac:dyDescent="0.3">
      <c r="A31" t="s">
        <v>22</v>
      </c>
      <c r="B31" t="s">
        <v>144</v>
      </c>
      <c r="C31" t="s">
        <v>86</v>
      </c>
      <c r="D31" t="s">
        <v>145</v>
      </c>
      <c r="E31" t="s">
        <v>87</v>
      </c>
      <c r="F31">
        <v>199862.421875</v>
      </c>
      <c r="G31">
        <v>198650.984375</v>
      </c>
      <c r="H31">
        <v>186230.265625</v>
      </c>
      <c r="I31">
        <v>174791.6875</v>
      </c>
      <c r="J31">
        <v>164208.90625</v>
      </c>
      <c r="K31">
        <v>169842.3125</v>
      </c>
      <c r="L31">
        <v>170276.65625</v>
      </c>
      <c r="M31">
        <v>167238.484375</v>
      </c>
      <c r="N31">
        <v>163971.734375</v>
      </c>
      <c r="O31">
        <v>155882.71875</v>
      </c>
      <c r="P31">
        <v>151666.046875</v>
      </c>
      <c r="Q31">
        <v>156592.125</v>
      </c>
      <c r="R31">
        <v>171540.828125</v>
      </c>
      <c r="S31">
        <v>179107.671875</v>
      </c>
      <c r="T31">
        <v>183149.75</v>
      </c>
      <c r="U31">
        <v>194925.34375</v>
      </c>
      <c r="V31">
        <v>204320.734375</v>
      </c>
      <c r="W31">
        <v>218095.3125</v>
      </c>
      <c r="X31">
        <v>201249.484375</v>
      </c>
      <c r="Y31">
        <v>175322.65625</v>
      </c>
      <c r="Z31">
        <v>171393</v>
      </c>
      <c r="AA31">
        <v>166114.140625</v>
      </c>
      <c r="AB31">
        <v>164018.015625</v>
      </c>
      <c r="AC31">
        <v>161914.5625</v>
      </c>
      <c r="AD31">
        <v>160188.078125</v>
      </c>
      <c r="AE31">
        <v>157263.3125</v>
      </c>
      <c r="AF31">
        <v>157746.171875</v>
      </c>
    </row>
    <row r="32" spans="1:32" x14ac:dyDescent="0.3">
      <c r="A32" t="s">
        <v>22</v>
      </c>
      <c r="B32" t="s">
        <v>146</v>
      </c>
      <c r="C32" t="s">
        <v>86</v>
      </c>
      <c r="D32" t="s">
        <v>147</v>
      </c>
      <c r="E32" t="s">
        <v>87</v>
      </c>
      <c r="F32">
        <v>678721.1875</v>
      </c>
      <c r="G32">
        <v>679140.125</v>
      </c>
      <c r="H32">
        <v>656497.5</v>
      </c>
      <c r="I32">
        <v>638661.3125</v>
      </c>
      <c r="J32">
        <v>632004.5625</v>
      </c>
      <c r="K32">
        <v>662398.5625</v>
      </c>
      <c r="L32">
        <v>656387.25</v>
      </c>
      <c r="M32">
        <v>646413.0625</v>
      </c>
      <c r="N32">
        <v>635934.1875</v>
      </c>
      <c r="O32">
        <v>628560.75</v>
      </c>
      <c r="P32">
        <v>616482.75</v>
      </c>
      <c r="Q32">
        <v>659750.9375</v>
      </c>
      <c r="R32">
        <v>689577.9375</v>
      </c>
      <c r="S32">
        <v>673478.25</v>
      </c>
      <c r="T32">
        <v>671086.5625</v>
      </c>
      <c r="U32">
        <v>683638.5</v>
      </c>
      <c r="V32">
        <v>662913.875</v>
      </c>
      <c r="W32">
        <v>660201.125</v>
      </c>
      <c r="X32">
        <v>673051</v>
      </c>
      <c r="Y32">
        <v>705508.8125</v>
      </c>
      <c r="Z32">
        <v>701533.75</v>
      </c>
      <c r="AA32">
        <v>713109.125</v>
      </c>
      <c r="AB32">
        <v>734657.5625</v>
      </c>
      <c r="AC32">
        <v>717617</v>
      </c>
      <c r="AD32">
        <v>765084.5</v>
      </c>
      <c r="AE32">
        <v>720110.0625</v>
      </c>
      <c r="AF32">
        <v>708868</v>
      </c>
    </row>
    <row r="33" spans="1:32" x14ac:dyDescent="0.3">
      <c r="A33" t="s">
        <v>22</v>
      </c>
      <c r="B33" t="s">
        <v>148</v>
      </c>
      <c r="C33" t="s">
        <v>86</v>
      </c>
      <c r="D33" t="s">
        <v>149</v>
      </c>
      <c r="E33" t="s">
        <v>87</v>
      </c>
      <c r="F33">
        <v>595074.6875</v>
      </c>
      <c r="G33">
        <v>578332.8125</v>
      </c>
      <c r="H33">
        <v>592238.25</v>
      </c>
      <c r="I33">
        <v>606658.1875</v>
      </c>
      <c r="J33">
        <v>617630.8125</v>
      </c>
      <c r="K33">
        <v>640864</v>
      </c>
      <c r="L33">
        <v>635061.8125</v>
      </c>
      <c r="M33">
        <v>637673.25</v>
      </c>
      <c r="N33">
        <v>638189.4375</v>
      </c>
      <c r="O33">
        <v>637877.25</v>
      </c>
      <c r="P33">
        <v>629085.1875</v>
      </c>
      <c r="Q33">
        <v>659783.125</v>
      </c>
      <c r="R33">
        <v>669161.625</v>
      </c>
      <c r="S33">
        <v>628664.75</v>
      </c>
      <c r="T33">
        <v>637695.8125</v>
      </c>
      <c r="U33">
        <v>682954.625</v>
      </c>
      <c r="V33">
        <v>671225.4375</v>
      </c>
      <c r="W33">
        <v>673765.3125</v>
      </c>
      <c r="X33">
        <v>678937.9375</v>
      </c>
      <c r="Y33">
        <v>707333.0625</v>
      </c>
      <c r="Z33">
        <v>715271.3125</v>
      </c>
      <c r="AA33">
        <v>727552.375</v>
      </c>
      <c r="AB33">
        <v>727241.6875</v>
      </c>
      <c r="AC33">
        <v>704594</v>
      </c>
      <c r="AD33">
        <v>670134.5</v>
      </c>
      <c r="AE33">
        <v>638013.6875</v>
      </c>
      <c r="AF33">
        <v>631493.875</v>
      </c>
    </row>
    <row r="34" spans="1:32" x14ac:dyDescent="0.3">
      <c r="A34" t="s">
        <v>22</v>
      </c>
      <c r="B34" t="s">
        <v>150</v>
      </c>
      <c r="C34" t="s">
        <v>86</v>
      </c>
      <c r="D34" t="s">
        <v>151</v>
      </c>
      <c r="E34" t="s">
        <v>87</v>
      </c>
      <c r="F34">
        <v>7731822.5</v>
      </c>
      <c r="G34">
        <v>7937214.5</v>
      </c>
      <c r="H34">
        <v>7785184.25</v>
      </c>
      <c r="I34">
        <v>7718330.125</v>
      </c>
      <c r="J34">
        <v>7746535.625</v>
      </c>
      <c r="K34">
        <v>7773393.625</v>
      </c>
      <c r="L34">
        <v>7570769.625</v>
      </c>
      <c r="M34">
        <v>7622754.875</v>
      </c>
      <c r="N34">
        <v>7349624.5</v>
      </c>
      <c r="O34">
        <v>7532193.625</v>
      </c>
      <c r="P34">
        <v>7401774.5</v>
      </c>
      <c r="Q34">
        <v>7404625.875</v>
      </c>
      <c r="R34">
        <v>7275585.625</v>
      </c>
      <c r="S34">
        <v>7106777.875</v>
      </c>
      <c r="T34">
        <v>7010578</v>
      </c>
      <c r="U34">
        <v>7034750.25</v>
      </c>
      <c r="V34">
        <v>6764656.125</v>
      </c>
      <c r="W34">
        <v>6738384.875</v>
      </c>
      <c r="X34">
        <v>6808673</v>
      </c>
      <c r="Y34">
        <v>6711316.75</v>
      </c>
      <c r="Z34">
        <v>6642137.5625</v>
      </c>
      <c r="AA34">
        <v>6759668.125</v>
      </c>
      <c r="AB34">
        <v>6578851.5</v>
      </c>
      <c r="AC34">
        <v>6626309.25</v>
      </c>
      <c r="AD34">
        <v>6599086.125</v>
      </c>
      <c r="AE34">
        <v>5697504.125</v>
      </c>
      <c r="AF34">
        <v>5357489.375</v>
      </c>
    </row>
    <row r="35" spans="1:32" x14ac:dyDescent="0.3">
      <c r="A35" t="s">
        <v>22</v>
      </c>
      <c r="B35" t="s">
        <v>152</v>
      </c>
      <c r="C35" t="s">
        <v>86</v>
      </c>
      <c r="D35" t="s">
        <v>153</v>
      </c>
      <c r="E35" t="s">
        <v>87</v>
      </c>
      <c r="F35">
        <v>2397709.1015625</v>
      </c>
      <c r="G35">
        <v>2419861.21875</v>
      </c>
      <c r="H35">
        <v>2462678.9453125</v>
      </c>
      <c r="I35">
        <v>2562274.09375</v>
      </c>
      <c r="J35">
        <v>2576418.34375</v>
      </c>
      <c r="K35">
        <v>2796738.8046875</v>
      </c>
      <c r="L35">
        <v>2869221.0234375</v>
      </c>
      <c r="M35">
        <v>2816583.3203125</v>
      </c>
      <c r="N35">
        <v>2901219.2109375</v>
      </c>
      <c r="O35">
        <v>2901247.0625</v>
      </c>
      <c r="P35">
        <v>3065417.5</v>
      </c>
      <c r="Q35">
        <v>3237036.390625</v>
      </c>
      <c r="R35">
        <v>3218689.1875</v>
      </c>
      <c r="S35">
        <v>3268334.7578125</v>
      </c>
      <c r="T35">
        <v>3186755.09375</v>
      </c>
      <c r="U35">
        <v>3291403.9921875</v>
      </c>
      <c r="V35">
        <v>3220573.9375</v>
      </c>
      <c r="W35">
        <v>3049549.453125</v>
      </c>
      <c r="X35">
        <v>3049769.75</v>
      </c>
      <c r="Y35">
        <v>3131723.34375</v>
      </c>
      <c r="Z35">
        <v>3048819.9375</v>
      </c>
      <c r="AA35">
        <v>3150216.9765625</v>
      </c>
      <c r="AB35">
        <v>3278404.375</v>
      </c>
      <c r="AC35">
        <v>3366929.578125</v>
      </c>
      <c r="AD35">
        <v>3332797.453125</v>
      </c>
      <c r="AE35">
        <v>3397314.546875</v>
      </c>
      <c r="AF35">
        <v>3491680.5546875</v>
      </c>
    </row>
    <row r="36" spans="1:32" x14ac:dyDescent="0.3">
      <c r="A36" t="s">
        <v>22</v>
      </c>
      <c r="B36" t="s">
        <v>154</v>
      </c>
      <c r="C36" t="s">
        <v>86</v>
      </c>
      <c r="D36" t="s">
        <v>155</v>
      </c>
      <c r="E36" t="s">
        <v>87</v>
      </c>
      <c r="F36">
        <v>743330.9453125</v>
      </c>
      <c r="G36">
        <v>748050.59375</v>
      </c>
      <c r="H36">
        <v>745857.3203125</v>
      </c>
      <c r="I36">
        <v>729850.09375</v>
      </c>
      <c r="J36">
        <v>729665.90625</v>
      </c>
      <c r="K36">
        <v>738838.5546875</v>
      </c>
      <c r="L36">
        <v>735629.1796875</v>
      </c>
      <c r="M36">
        <v>726644.6953125</v>
      </c>
      <c r="N36">
        <v>731603.3359375</v>
      </c>
      <c r="O36">
        <v>708238.65625</v>
      </c>
      <c r="P36">
        <v>711592.84375</v>
      </c>
      <c r="Q36">
        <v>724249.703125</v>
      </c>
      <c r="R36">
        <v>719899.40625</v>
      </c>
      <c r="S36">
        <v>727515.4140625</v>
      </c>
      <c r="T36">
        <v>709427.09375</v>
      </c>
      <c r="U36">
        <v>731221.0859375</v>
      </c>
      <c r="V36">
        <v>714559.65625</v>
      </c>
      <c r="W36">
        <v>646382.265625</v>
      </c>
      <c r="X36">
        <v>620190.28125</v>
      </c>
      <c r="Y36">
        <v>623937.46875</v>
      </c>
      <c r="Z36">
        <v>618871.09375</v>
      </c>
      <c r="AA36">
        <v>623578.5703125</v>
      </c>
      <c r="AB36">
        <v>637228.25</v>
      </c>
      <c r="AC36">
        <v>653571.328125</v>
      </c>
      <c r="AD36">
        <v>663907.640625</v>
      </c>
      <c r="AE36">
        <v>656646.984375</v>
      </c>
      <c r="AF36">
        <v>652852.6171875</v>
      </c>
    </row>
    <row r="37" spans="1:32" x14ac:dyDescent="0.3">
      <c r="A37" t="s">
        <v>22</v>
      </c>
      <c r="B37" t="s">
        <v>156</v>
      </c>
      <c r="C37" t="s">
        <v>86</v>
      </c>
      <c r="D37" t="s">
        <v>157</v>
      </c>
      <c r="E37" t="s">
        <v>87</v>
      </c>
      <c r="F37">
        <v>356956.40625</v>
      </c>
      <c r="G37">
        <v>383937.5</v>
      </c>
      <c r="H37">
        <v>373761.75</v>
      </c>
      <c r="I37">
        <v>366123</v>
      </c>
      <c r="J37">
        <v>377197.3125</v>
      </c>
      <c r="K37">
        <v>454793.25</v>
      </c>
      <c r="L37">
        <v>461778.84375</v>
      </c>
      <c r="M37">
        <v>410652.75</v>
      </c>
      <c r="N37">
        <v>395425.25</v>
      </c>
      <c r="O37">
        <v>370279.53125</v>
      </c>
      <c r="P37">
        <v>420888.65625</v>
      </c>
      <c r="Q37">
        <v>474274.9375</v>
      </c>
      <c r="R37">
        <v>477340.90625</v>
      </c>
      <c r="S37">
        <v>484276.46875</v>
      </c>
      <c r="T37">
        <v>463306.625</v>
      </c>
      <c r="U37">
        <v>465243.03125</v>
      </c>
      <c r="V37">
        <v>457866.03125</v>
      </c>
      <c r="W37">
        <v>464141.8125</v>
      </c>
      <c r="X37">
        <v>466483.71875</v>
      </c>
      <c r="Y37">
        <v>468926.625</v>
      </c>
      <c r="Z37">
        <v>443968.21875</v>
      </c>
      <c r="AA37">
        <v>485156.03125</v>
      </c>
      <c r="AB37">
        <v>524799.875</v>
      </c>
      <c r="AC37">
        <v>548394</v>
      </c>
      <c r="AD37">
        <v>534362.5625</v>
      </c>
      <c r="AE37">
        <v>568664.5625</v>
      </c>
      <c r="AF37">
        <v>618671.9375</v>
      </c>
    </row>
    <row r="38" spans="1:32" x14ac:dyDescent="0.3">
      <c r="A38" t="s">
        <v>22</v>
      </c>
      <c r="B38" t="s">
        <v>158</v>
      </c>
      <c r="C38" t="s">
        <v>86</v>
      </c>
      <c r="D38" t="s">
        <v>159</v>
      </c>
      <c r="E38" t="s">
        <v>87</v>
      </c>
      <c r="F38">
        <v>1297421.75</v>
      </c>
      <c r="G38">
        <v>1287873.125</v>
      </c>
      <c r="H38">
        <v>1343059.875</v>
      </c>
      <c r="I38">
        <v>1466301</v>
      </c>
      <c r="J38">
        <v>1469555.125</v>
      </c>
      <c r="K38">
        <v>1603107</v>
      </c>
      <c r="L38">
        <v>1671813</v>
      </c>
      <c r="M38">
        <v>1679285.875</v>
      </c>
      <c r="N38">
        <v>1774190.625</v>
      </c>
      <c r="O38">
        <v>1822728.875</v>
      </c>
      <c r="P38">
        <v>1932936</v>
      </c>
      <c r="Q38">
        <v>2038511.75</v>
      </c>
      <c r="R38">
        <v>2021448.875</v>
      </c>
      <c r="S38">
        <v>2056542.875</v>
      </c>
      <c r="T38">
        <v>2014021.375</v>
      </c>
      <c r="U38">
        <v>2094939.875</v>
      </c>
      <c r="V38">
        <v>2048148.25</v>
      </c>
      <c r="W38">
        <v>1939025.375</v>
      </c>
      <c r="X38">
        <v>1963095.75</v>
      </c>
      <c r="Y38">
        <v>2038859.25</v>
      </c>
      <c r="Z38">
        <v>1985980.625</v>
      </c>
      <c r="AA38">
        <v>2041482.375</v>
      </c>
      <c r="AB38">
        <v>2116376.25</v>
      </c>
      <c r="AC38">
        <v>2164964.25</v>
      </c>
      <c r="AD38">
        <v>2134527.25</v>
      </c>
      <c r="AE38">
        <v>2172003</v>
      </c>
      <c r="AF38">
        <v>2220156</v>
      </c>
    </row>
    <row r="39" spans="1:32" x14ac:dyDescent="0.3">
      <c r="A39" t="s">
        <v>22</v>
      </c>
      <c r="B39" t="s">
        <v>160</v>
      </c>
      <c r="C39" t="s">
        <v>86</v>
      </c>
      <c r="D39" t="s">
        <v>161</v>
      </c>
      <c r="E39" t="s">
        <v>87</v>
      </c>
      <c r="F39">
        <v>3603434.5</v>
      </c>
      <c r="G39">
        <v>3451429.25</v>
      </c>
      <c r="H39">
        <v>3305620.5</v>
      </c>
      <c r="I39">
        <v>3353679.5</v>
      </c>
      <c r="J39">
        <v>3183250</v>
      </c>
      <c r="K39">
        <v>3134249.375</v>
      </c>
      <c r="L39">
        <v>2940155.125</v>
      </c>
      <c r="M39">
        <v>2897632.25</v>
      </c>
      <c r="N39">
        <v>2783399.5</v>
      </c>
      <c r="O39">
        <v>2685510.125</v>
      </c>
      <c r="P39">
        <v>2675007.75</v>
      </c>
      <c r="Q39">
        <v>2702288.625</v>
      </c>
      <c r="R39">
        <v>2744583.75</v>
      </c>
      <c r="S39">
        <v>2827048.75</v>
      </c>
      <c r="T39">
        <v>2744757.625</v>
      </c>
      <c r="U39">
        <v>2739609</v>
      </c>
      <c r="V39">
        <v>2713726.5</v>
      </c>
      <c r="W39">
        <v>2737645.75</v>
      </c>
      <c r="X39">
        <v>2579616.125</v>
      </c>
      <c r="Y39">
        <v>2439894.8125</v>
      </c>
      <c r="Z39">
        <v>2503962.75</v>
      </c>
      <c r="AA39">
        <v>2573555.375</v>
      </c>
      <c r="AB39">
        <v>2630744</v>
      </c>
      <c r="AC39">
        <v>2594626.625</v>
      </c>
      <c r="AD39">
        <v>2547901.5</v>
      </c>
      <c r="AE39">
        <v>2575132.875</v>
      </c>
      <c r="AF39">
        <v>2577412.875</v>
      </c>
    </row>
    <row r="40" spans="1:32" x14ac:dyDescent="0.3">
      <c r="A40" t="s">
        <v>22</v>
      </c>
      <c r="B40" t="s">
        <v>162</v>
      </c>
      <c r="C40" t="s">
        <v>86</v>
      </c>
      <c r="D40" t="s">
        <v>163</v>
      </c>
      <c r="E40" t="s">
        <v>87</v>
      </c>
      <c r="F40">
        <v>1385090.75</v>
      </c>
      <c r="G40">
        <v>1377085.625</v>
      </c>
      <c r="H40">
        <v>1362436</v>
      </c>
      <c r="I40">
        <v>1421716.25</v>
      </c>
      <c r="J40">
        <v>1383811</v>
      </c>
      <c r="K40">
        <v>1424252.75</v>
      </c>
      <c r="L40">
        <v>1385501.75</v>
      </c>
      <c r="M40">
        <v>1427996.375</v>
      </c>
      <c r="N40">
        <v>1413994.25</v>
      </c>
      <c r="O40">
        <v>1444676.125</v>
      </c>
      <c r="P40">
        <v>1475055.375</v>
      </c>
      <c r="Q40">
        <v>1573254</v>
      </c>
      <c r="R40">
        <v>1634536.875</v>
      </c>
      <c r="S40">
        <v>1749259.75</v>
      </c>
      <c r="T40">
        <v>1748860.375</v>
      </c>
      <c r="U40">
        <v>1736133.5</v>
      </c>
      <c r="V40">
        <v>1681473.25</v>
      </c>
      <c r="W40">
        <v>1770894.375</v>
      </c>
      <c r="X40">
        <v>1684417.5</v>
      </c>
      <c r="Y40">
        <v>1625833</v>
      </c>
      <c r="Z40">
        <v>1691190.125</v>
      </c>
      <c r="AA40">
        <v>1738703.25</v>
      </c>
      <c r="AB40">
        <v>1866297.75</v>
      </c>
      <c r="AC40">
        <v>1884298.875</v>
      </c>
      <c r="AD40">
        <v>1869461.875</v>
      </c>
      <c r="AE40">
        <v>1896077.625</v>
      </c>
      <c r="AF40">
        <v>1936376.375</v>
      </c>
    </row>
    <row r="41" spans="1:32" x14ac:dyDescent="0.3">
      <c r="A41" t="s">
        <v>22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22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22</v>
      </c>
      <c r="B43" t="s">
        <v>168</v>
      </c>
      <c r="C43" t="s">
        <v>86</v>
      </c>
      <c r="D43" t="s">
        <v>169</v>
      </c>
      <c r="E43" t="s">
        <v>87</v>
      </c>
      <c r="F43">
        <v>6421120.96875</v>
      </c>
      <c r="G43">
        <v>6508801.25</v>
      </c>
      <c r="H43">
        <v>6676088.0625</v>
      </c>
      <c r="I43">
        <v>6758204.5625</v>
      </c>
      <c r="J43">
        <v>6753081.53125</v>
      </c>
      <c r="K43">
        <v>7009669.53125</v>
      </c>
      <c r="L43">
        <v>7106681.125</v>
      </c>
      <c r="M43">
        <v>7174383.5625</v>
      </c>
      <c r="N43">
        <v>7577458.46875</v>
      </c>
      <c r="O43">
        <v>8062368.515625</v>
      </c>
      <c r="P43">
        <v>8325236.890625</v>
      </c>
      <c r="Q43">
        <v>8712004.953125</v>
      </c>
      <c r="R43">
        <v>8674383.453125</v>
      </c>
      <c r="S43">
        <v>8747096.578125</v>
      </c>
      <c r="T43">
        <v>8129538.75</v>
      </c>
      <c r="U43">
        <v>8016511.859375</v>
      </c>
      <c r="V43">
        <v>8218287.15625</v>
      </c>
      <c r="W43">
        <v>9236325.71875</v>
      </c>
      <c r="X43">
        <v>9176428.890625</v>
      </c>
      <c r="Y43">
        <v>9244621.21875</v>
      </c>
      <c r="Z43">
        <v>9445597.84375</v>
      </c>
      <c r="AA43">
        <v>9680852.65625</v>
      </c>
      <c r="AB43">
        <v>9878869.4375</v>
      </c>
      <c r="AC43">
        <v>10051592.59375</v>
      </c>
      <c r="AD43">
        <v>10053982.53125</v>
      </c>
      <c r="AE43">
        <v>9480509.53125</v>
      </c>
      <c r="AF43">
        <v>9938539.875</v>
      </c>
    </row>
    <row r="44" spans="1:32" x14ac:dyDescent="0.3">
      <c r="A44" t="s">
        <v>22</v>
      </c>
      <c r="B44" t="s">
        <v>170</v>
      </c>
      <c r="C44" t="s">
        <v>86</v>
      </c>
      <c r="D44" t="s">
        <v>171</v>
      </c>
      <c r="E44" t="s">
        <v>87</v>
      </c>
      <c r="F44">
        <v>108282452.118164</v>
      </c>
      <c r="G44">
        <v>108333371.44824199</v>
      </c>
      <c r="H44">
        <v>106556210.549805</v>
      </c>
      <c r="I44">
        <v>104101332.84521499</v>
      </c>
      <c r="J44">
        <v>102755324.90527301</v>
      </c>
      <c r="K44">
        <v>103241713.416016</v>
      </c>
      <c r="L44">
        <v>100222766.035156</v>
      </c>
      <c r="M44">
        <v>97322942.958007798</v>
      </c>
      <c r="N44">
        <v>96577638.813476607</v>
      </c>
      <c r="O44">
        <v>97315097.257324204</v>
      </c>
      <c r="P44">
        <v>96339777.453125</v>
      </c>
      <c r="Q44">
        <v>97645006.714355499</v>
      </c>
      <c r="R44">
        <v>96795390.584960893</v>
      </c>
      <c r="S44">
        <v>94709891.271972701</v>
      </c>
      <c r="T44">
        <v>89527416.006835893</v>
      </c>
      <c r="U44">
        <v>90170078.550781205</v>
      </c>
      <c r="V44">
        <v>89345753.755371094</v>
      </c>
      <c r="W44">
        <v>89796581.422851607</v>
      </c>
      <c r="X44">
        <v>88052331.008544907</v>
      </c>
      <c r="Y44">
        <v>87852003.471923798</v>
      </c>
      <c r="Z44">
        <v>87855177.697753906</v>
      </c>
      <c r="AA44">
        <v>88254538.338134795</v>
      </c>
      <c r="AB44">
        <v>89278160.768310502</v>
      </c>
      <c r="AC44">
        <v>88862195.633300796</v>
      </c>
      <c r="AD44">
        <v>87408680.120605499</v>
      </c>
      <c r="AE44">
        <v>82344673.482666001</v>
      </c>
      <c r="AF44">
        <v>83169686.348876998</v>
      </c>
    </row>
    <row r="45" spans="1:32" x14ac:dyDescent="0.3">
      <c r="A45" t="s">
        <v>22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22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22</v>
      </c>
      <c r="B47" t="s">
        <v>176</v>
      </c>
      <c r="C47" t="s">
        <v>86</v>
      </c>
      <c r="D47" t="s">
        <v>177</v>
      </c>
      <c r="E47" t="s">
        <v>87</v>
      </c>
      <c r="F47">
        <v>4489511</v>
      </c>
      <c r="G47">
        <v>4269851</v>
      </c>
      <c r="H47">
        <v>4227430.5</v>
      </c>
      <c r="I47">
        <v>4293173</v>
      </c>
      <c r="J47">
        <v>4228775.5</v>
      </c>
      <c r="K47">
        <v>4353160.5</v>
      </c>
      <c r="L47">
        <v>4171074.5</v>
      </c>
      <c r="M47">
        <v>4285549.5</v>
      </c>
      <c r="N47">
        <v>4508453</v>
      </c>
      <c r="O47">
        <v>4659995</v>
      </c>
      <c r="P47">
        <v>4557960</v>
      </c>
      <c r="Q47">
        <v>4523944</v>
      </c>
      <c r="R47">
        <v>4514566</v>
      </c>
      <c r="S47">
        <v>4351431.5</v>
      </c>
      <c r="T47">
        <v>4350995</v>
      </c>
      <c r="U47">
        <v>4276164</v>
      </c>
      <c r="V47">
        <v>4272435.5</v>
      </c>
      <c r="W47">
        <v>4326489.5</v>
      </c>
      <c r="X47">
        <v>4291901</v>
      </c>
      <c r="Y47">
        <v>4303143.5</v>
      </c>
      <c r="Z47">
        <v>4247559</v>
      </c>
      <c r="AA47">
        <v>4198757</v>
      </c>
      <c r="AB47">
        <v>4274220.5</v>
      </c>
      <c r="AC47">
        <v>4167700</v>
      </c>
      <c r="AD47">
        <v>4330755</v>
      </c>
      <c r="AE47">
        <v>4287901</v>
      </c>
      <c r="AF47">
        <v>4291160.5</v>
      </c>
    </row>
    <row r="48" spans="1:32" x14ac:dyDescent="0.3">
      <c r="A48" t="s">
        <v>22</v>
      </c>
      <c r="B48" t="s">
        <v>178</v>
      </c>
      <c r="C48" t="s">
        <v>86</v>
      </c>
      <c r="D48" t="s">
        <v>179</v>
      </c>
      <c r="E48" t="s">
        <v>87</v>
      </c>
      <c r="F48">
        <v>13658480</v>
      </c>
      <c r="G48">
        <v>13655283.125</v>
      </c>
      <c r="H48">
        <v>13979055.125</v>
      </c>
      <c r="I48">
        <v>14472630.5</v>
      </c>
      <c r="J48">
        <v>14570701.375</v>
      </c>
      <c r="K48">
        <v>15066268</v>
      </c>
      <c r="L48">
        <v>15027795.25</v>
      </c>
      <c r="M48">
        <v>15417446.5</v>
      </c>
      <c r="N48">
        <v>16369762.625</v>
      </c>
      <c r="O48">
        <v>17354507.5</v>
      </c>
      <c r="P48">
        <v>17653311</v>
      </c>
      <c r="Q48">
        <v>18180984.125</v>
      </c>
      <c r="R48">
        <v>17892568</v>
      </c>
      <c r="S48">
        <v>17856140.125</v>
      </c>
      <c r="T48">
        <v>18362257.75</v>
      </c>
      <c r="U48">
        <v>18841401.25</v>
      </c>
      <c r="V48">
        <v>19122570.875</v>
      </c>
      <c r="W48">
        <v>19575381</v>
      </c>
      <c r="X48">
        <v>19885097</v>
      </c>
      <c r="Y48">
        <v>20196460</v>
      </c>
      <c r="Z48">
        <v>20478418.25</v>
      </c>
      <c r="AA48">
        <v>20783686.75</v>
      </c>
      <c r="AB48">
        <v>21373691.75</v>
      </c>
      <c r="AC48">
        <v>21301986.5</v>
      </c>
      <c r="AD48">
        <v>21498131.5</v>
      </c>
      <c r="AE48">
        <v>20944010.25</v>
      </c>
      <c r="AF48">
        <v>21416481</v>
      </c>
    </row>
    <row r="49" spans="1:32" x14ac:dyDescent="0.3">
      <c r="A49" t="s">
        <v>22</v>
      </c>
      <c r="B49" t="s">
        <v>180</v>
      </c>
      <c r="C49" t="s">
        <v>86</v>
      </c>
      <c r="D49" t="s">
        <v>181</v>
      </c>
      <c r="E49" t="s">
        <v>87</v>
      </c>
      <c r="F49">
        <v>3515489.75</v>
      </c>
      <c r="G49">
        <v>3440502.75</v>
      </c>
      <c r="H49">
        <v>3525072.75</v>
      </c>
      <c r="I49">
        <v>3619789</v>
      </c>
      <c r="J49">
        <v>3591816.5</v>
      </c>
      <c r="K49">
        <v>3539997.5</v>
      </c>
      <c r="L49">
        <v>3452194.5</v>
      </c>
      <c r="M49">
        <v>3405155.25</v>
      </c>
      <c r="N49">
        <v>3610588.5</v>
      </c>
      <c r="O49">
        <v>3829902.75</v>
      </c>
      <c r="P49">
        <v>3819479.75</v>
      </c>
      <c r="Q49">
        <v>3871046.25</v>
      </c>
      <c r="R49">
        <v>3736618.25</v>
      </c>
      <c r="S49">
        <v>3784949.5</v>
      </c>
      <c r="T49">
        <v>3888602.75</v>
      </c>
      <c r="U49">
        <v>3972606.25</v>
      </c>
      <c r="V49">
        <v>3967542.25</v>
      </c>
      <c r="W49">
        <v>3906640.5</v>
      </c>
      <c r="X49">
        <v>3834385.25</v>
      </c>
      <c r="Y49">
        <v>3862503</v>
      </c>
      <c r="Z49">
        <v>3949944.25</v>
      </c>
      <c r="AA49">
        <v>4035732.5</v>
      </c>
      <c r="AB49">
        <v>4109985.25</v>
      </c>
      <c r="AC49">
        <v>4114737.5</v>
      </c>
      <c r="AD49">
        <v>4040361.75</v>
      </c>
      <c r="AE49">
        <v>3911233.25</v>
      </c>
      <c r="AF49">
        <v>3988595.75</v>
      </c>
    </row>
    <row r="50" spans="1:32" x14ac:dyDescent="0.3">
      <c r="A50" t="s">
        <v>22</v>
      </c>
      <c r="B50" t="s">
        <v>182</v>
      </c>
      <c r="C50" t="s">
        <v>86</v>
      </c>
      <c r="D50" t="s">
        <v>183</v>
      </c>
      <c r="E50" t="s">
        <v>87</v>
      </c>
      <c r="F50">
        <v>5653479.25</v>
      </c>
      <c r="G50">
        <v>5944929.375</v>
      </c>
      <c r="H50">
        <v>6226551.875</v>
      </c>
      <c r="I50">
        <v>6559668.5</v>
      </c>
      <c r="J50">
        <v>6750109.375</v>
      </c>
      <c r="K50">
        <v>7173110</v>
      </c>
      <c r="L50">
        <v>7404526.25</v>
      </c>
      <c r="M50">
        <v>7726741.75</v>
      </c>
      <c r="N50">
        <v>8250721.125</v>
      </c>
      <c r="O50">
        <v>8864609.75</v>
      </c>
      <c r="P50">
        <v>9275871.25</v>
      </c>
      <c r="Q50">
        <v>9785993.875</v>
      </c>
      <c r="R50">
        <v>9641383.75</v>
      </c>
      <c r="S50">
        <v>9719759.125</v>
      </c>
      <c r="T50">
        <v>10122660</v>
      </c>
      <c r="U50">
        <v>10592631</v>
      </c>
      <c r="V50">
        <v>10882593.125</v>
      </c>
      <c r="W50">
        <v>11342251</v>
      </c>
      <c r="X50">
        <v>11758810.75</v>
      </c>
      <c r="Y50">
        <v>12030813.5</v>
      </c>
      <c r="Z50">
        <v>12280915</v>
      </c>
      <c r="AA50">
        <v>12549197.25</v>
      </c>
      <c r="AB50">
        <v>12989486</v>
      </c>
      <c r="AC50">
        <v>13019549</v>
      </c>
      <c r="AD50">
        <v>13127014.75</v>
      </c>
      <c r="AE50">
        <v>12744876</v>
      </c>
      <c r="AF50">
        <v>13136724.75</v>
      </c>
    </row>
    <row r="51" spans="1:32" x14ac:dyDescent="0.3">
      <c r="A51" t="s">
        <v>22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22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22</v>
      </c>
      <c r="B53" t="s">
        <v>188</v>
      </c>
      <c r="C53" t="s">
        <v>86</v>
      </c>
      <c r="D53" t="s">
        <v>189</v>
      </c>
      <c r="E53" t="s">
        <v>87</v>
      </c>
      <c r="F53">
        <v>1720041.625</v>
      </c>
      <c r="G53">
        <v>1776872</v>
      </c>
      <c r="H53">
        <v>1686446.375</v>
      </c>
      <c r="I53">
        <v>1600461.75</v>
      </c>
      <c r="J53">
        <v>1567924</v>
      </c>
      <c r="K53">
        <v>1575804.125</v>
      </c>
      <c r="L53">
        <v>1526575.25</v>
      </c>
      <c r="M53">
        <v>1550952.5</v>
      </c>
      <c r="N53">
        <v>1537010.625</v>
      </c>
      <c r="O53">
        <v>1554531.875</v>
      </c>
      <c r="P53">
        <v>1475409.875</v>
      </c>
      <c r="Q53">
        <v>1509179.75</v>
      </c>
      <c r="R53">
        <v>1443671.25</v>
      </c>
      <c r="S53">
        <v>1465735.625</v>
      </c>
      <c r="T53">
        <v>1501562.625</v>
      </c>
      <c r="U53">
        <v>1510479.25</v>
      </c>
      <c r="V53">
        <v>1457024.75</v>
      </c>
      <c r="W53">
        <v>1450381.25</v>
      </c>
      <c r="X53">
        <v>1396190</v>
      </c>
      <c r="Y53">
        <v>1372755.375</v>
      </c>
      <c r="Z53">
        <v>1353805.75</v>
      </c>
      <c r="AA53">
        <v>1394982.875</v>
      </c>
      <c r="AB53">
        <v>1452192.875</v>
      </c>
      <c r="AC53">
        <v>1474936.25</v>
      </c>
      <c r="AD53">
        <v>1477200.5</v>
      </c>
      <c r="AE53">
        <v>1357121.125</v>
      </c>
      <c r="AF53">
        <v>1352527.375</v>
      </c>
    </row>
    <row r="54" spans="1:32" x14ac:dyDescent="0.3">
      <c r="A54" t="s">
        <v>22</v>
      </c>
      <c r="B54" t="s">
        <v>190</v>
      </c>
      <c r="C54" t="s">
        <v>86</v>
      </c>
      <c r="D54" t="s">
        <v>191</v>
      </c>
      <c r="E54" t="s">
        <v>87</v>
      </c>
      <c r="F54">
        <v>7318226.25</v>
      </c>
      <c r="G54">
        <v>7288261.5</v>
      </c>
      <c r="H54">
        <v>7031046.25</v>
      </c>
      <c r="I54">
        <v>6841635</v>
      </c>
      <c r="J54">
        <v>6623221.75</v>
      </c>
      <c r="K54">
        <v>6782802.25</v>
      </c>
      <c r="L54">
        <v>6817029</v>
      </c>
      <c r="M54">
        <v>6831209.25</v>
      </c>
      <c r="N54">
        <v>6816111.75</v>
      </c>
      <c r="O54">
        <v>6937918.875</v>
      </c>
      <c r="P54">
        <v>6965951.625</v>
      </c>
      <c r="Q54">
        <v>7339284.125</v>
      </c>
      <c r="R54">
        <v>6990261.75</v>
      </c>
      <c r="S54">
        <v>6930243.625</v>
      </c>
      <c r="T54">
        <v>6918813.25</v>
      </c>
      <c r="U54">
        <v>6998307.5</v>
      </c>
      <c r="V54">
        <v>6871727.875</v>
      </c>
      <c r="W54">
        <v>6839127.875</v>
      </c>
      <c r="X54">
        <v>6662947.375</v>
      </c>
      <c r="Y54">
        <v>6539797.25</v>
      </c>
      <c r="Z54">
        <v>6405494.375</v>
      </c>
      <c r="AA54">
        <v>6363500.25</v>
      </c>
      <c r="AB54">
        <v>6497051.625</v>
      </c>
      <c r="AC54">
        <v>6563491.875</v>
      </c>
      <c r="AD54">
        <v>6583456.125</v>
      </c>
      <c r="AE54">
        <v>6159335.25</v>
      </c>
      <c r="AF54">
        <v>6172554.375</v>
      </c>
    </row>
    <row r="55" spans="1:32" x14ac:dyDescent="0.3">
      <c r="A55" t="s">
        <v>22</v>
      </c>
      <c r="B55" t="s">
        <v>192</v>
      </c>
      <c r="C55" t="s">
        <v>86</v>
      </c>
      <c r="D55" t="s">
        <v>193</v>
      </c>
      <c r="E55" t="s">
        <v>87</v>
      </c>
      <c r="F55">
        <v>5598184.625</v>
      </c>
      <c r="G55">
        <v>5511389.5</v>
      </c>
      <c r="H55">
        <v>5344599.875</v>
      </c>
      <c r="I55">
        <v>5241173.25</v>
      </c>
      <c r="J55">
        <v>5055297.75</v>
      </c>
      <c r="K55">
        <v>5206998.125</v>
      </c>
      <c r="L55">
        <v>5290453.75</v>
      </c>
      <c r="M55">
        <v>5280256.75</v>
      </c>
      <c r="N55">
        <v>5279101.125</v>
      </c>
      <c r="O55">
        <v>5383387</v>
      </c>
      <c r="P55">
        <v>5490541.75</v>
      </c>
      <c r="Q55">
        <v>5830104.375</v>
      </c>
      <c r="R55">
        <v>5546590.5</v>
      </c>
      <c r="S55">
        <v>5464508</v>
      </c>
      <c r="T55">
        <v>5417250.625</v>
      </c>
      <c r="U55">
        <v>5487828.25</v>
      </c>
      <c r="V55">
        <v>5414703.125</v>
      </c>
      <c r="W55">
        <v>5388746.625</v>
      </c>
      <c r="X55">
        <v>5266757.375</v>
      </c>
      <c r="Y55">
        <v>5167041.875</v>
      </c>
      <c r="Z55">
        <v>5051688.625</v>
      </c>
      <c r="AA55">
        <v>4968517.375</v>
      </c>
      <c r="AB55">
        <v>5044858.75</v>
      </c>
      <c r="AC55">
        <v>5088555.625</v>
      </c>
      <c r="AD55">
        <v>5106255.625</v>
      </c>
      <c r="AE55">
        <v>4802214.125</v>
      </c>
      <c r="AF55">
        <v>4820027</v>
      </c>
    </row>
    <row r="56" spans="1:32" x14ac:dyDescent="0.3">
      <c r="A56" t="s">
        <v>22</v>
      </c>
      <c r="B56" t="s">
        <v>194</v>
      </c>
      <c r="C56" t="s">
        <v>86</v>
      </c>
      <c r="D56" t="s">
        <v>195</v>
      </c>
      <c r="E56" t="s">
        <v>87</v>
      </c>
      <c r="F56">
        <v>23518.109375</v>
      </c>
      <c r="G56">
        <v>23277.283203125</v>
      </c>
      <c r="H56">
        <v>22879.095703125</v>
      </c>
      <c r="I56">
        <v>22644.814453125</v>
      </c>
      <c r="J56">
        <v>21879.142578125</v>
      </c>
      <c r="K56">
        <v>21363.4609375</v>
      </c>
      <c r="L56">
        <v>20653.73828125</v>
      </c>
      <c r="M56">
        <v>18948.423828125</v>
      </c>
      <c r="N56">
        <v>18050.22265625</v>
      </c>
      <c r="O56">
        <v>16937.55078125</v>
      </c>
      <c r="P56">
        <v>17234.353515625</v>
      </c>
      <c r="Q56">
        <v>17879.3984375</v>
      </c>
      <c r="R56">
        <v>17087.587890625</v>
      </c>
      <c r="S56">
        <v>16775.49609375</v>
      </c>
      <c r="T56">
        <v>16680.462890625</v>
      </c>
      <c r="U56">
        <v>17203.46875</v>
      </c>
      <c r="V56">
        <v>17417.779296875</v>
      </c>
      <c r="W56">
        <v>17654.814453125</v>
      </c>
      <c r="X56">
        <v>18226.52734375</v>
      </c>
      <c r="Y56">
        <v>18866.462890625</v>
      </c>
      <c r="Z56">
        <v>17516.30859375</v>
      </c>
      <c r="AA56">
        <v>16315.6552734375</v>
      </c>
      <c r="AB56">
        <v>16431.134765625</v>
      </c>
      <c r="AC56">
        <v>16501.515625</v>
      </c>
      <c r="AD56">
        <v>16208.20703125</v>
      </c>
      <c r="AE56">
        <v>15343.1279296875</v>
      </c>
      <c r="AF56">
        <v>15525.115234375</v>
      </c>
    </row>
    <row r="57" spans="1:32" x14ac:dyDescent="0.3">
      <c r="A57" t="s">
        <v>22</v>
      </c>
      <c r="B57" t="s">
        <v>196</v>
      </c>
      <c r="C57" t="s">
        <v>86</v>
      </c>
      <c r="D57" t="s">
        <v>197</v>
      </c>
      <c r="E57" t="s">
        <v>87</v>
      </c>
      <c r="F57">
        <v>123349540.977539</v>
      </c>
      <c r="G57">
        <v>123389017.481445</v>
      </c>
      <c r="H57">
        <v>121920580.77050801</v>
      </c>
      <c r="I57">
        <v>120018324.409668</v>
      </c>
      <c r="J57">
        <v>118731716.42285199</v>
      </c>
      <c r="K57">
        <v>119753597.62695301</v>
      </c>
      <c r="L57">
        <v>116656716.77343801</v>
      </c>
      <c r="M57">
        <v>114187334.256836</v>
      </c>
      <c r="N57">
        <v>114379445.91113301</v>
      </c>
      <c r="O57">
        <v>116131218.43310501</v>
      </c>
      <c r="P57">
        <v>115485378.181641</v>
      </c>
      <c r="Q57">
        <v>117417124.237793</v>
      </c>
      <c r="R57">
        <v>116339583.04785199</v>
      </c>
      <c r="S57">
        <v>114332066.643066</v>
      </c>
      <c r="T57">
        <v>109655214.59472699</v>
      </c>
      <c r="U57">
        <v>110764816.769531</v>
      </c>
      <c r="V57">
        <v>110167215.659668</v>
      </c>
      <c r="W57">
        <v>111160511.612305</v>
      </c>
      <c r="X57">
        <v>109640072.035889</v>
      </c>
      <c r="Y57">
        <v>109693162.93481401</v>
      </c>
      <c r="Z57">
        <v>110042302.381348</v>
      </c>
      <c r="AA57">
        <v>110793243.99340799</v>
      </c>
      <c r="AB57">
        <v>112534581.40307599</v>
      </c>
      <c r="AC57">
        <v>112064982.523926</v>
      </c>
      <c r="AD57">
        <v>110792481.702637</v>
      </c>
      <c r="AE57">
        <v>105200104.485596</v>
      </c>
      <c r="AF57">
        <v>106538068.839111</v>
      </c>
    </row>
    <row r="58" spans="1:32" x14ac:dyDescent="0.3">
      <c r="A58" t="s">
        <v>22</v>
      </c>
      <c r="B58" t="s">
        <v>198</v>
      </c>
      <c r="C58" t="s">
        <v>86</v>
      </c>
      <c r="D58" t="s">
        <v>199</v>
      </c>
      <c r="E58" t="s">
        <v>87</v>
      </c>
      <c r="F58">
        <v>123326022.868164</v>
      </c>
      <c r="G58">
        <v>123365740.19824199</v>
      </c>
      <c r="H58">
        <v>121897701.674805</v>
      </c>
      <c r="I58">
        <v>119995679.59521499</v>
      </c>
      <c r="J58">
        <v>118709837.28027301</v>
      </c>
      <c r="K58">
        <v>119732234.166016</v>
      </c>
      <c r="L58">
        <v>116636063.035156</v>
      </c>
      <c r="M58">
        <v>114168385.83300801</v>
      </c>
      <c r="N58">
        <v>114361395.68847699</v>
      </c>
      <c r="O58">
        <v>116114280.882324</v>
      </c>
      <c r="P58">
        <v>115468143.828125</v>
      </c>
      <c r="Q58">
        <v>117399244.83935501</v>
      </c>
      <c r="R58">
        <v>116322495.459961</v>
      </c>
      <c r="S58">
        <v>114315291.146973</v>
      </c>
      <c r="T58">
        <v>109638534.131836</v>
      </c>
      <c r="U58">
        <v>110747613.300781</v>
      </c>
      <c r="V58">
        <v>110149797.880371</v>
      </c>
      <c r="W58">
        <v>111142856.79785199</v>
      </c>
      <c r="X58">
        <v>109621845.508545</v>
      </c>
      <c r="Y58">
        <v>109674296.47192401</v>
      </c>
      <c r="Z58">
        <v>110024786.072754</v>
      </c>
      <c r="AA58">
        <v>110776928.338135</v>
      </c>
      <c r="AB58">
        <v>112518150.26831</v>
      </c>
      <c r="AC58">
        <v>112048481.008301</v>
      </c>
      <c r="AD58">
        <v>110776273.49560501</v>
      </c>
      <c r="AE58">
        <v>105184761.357666</v>
      </c>
      <c r="AF58">
        <v>106522543.723877</v>
      </c>
    </row>
    <row r="59" spans="1:32" x14ac:dyDescent="0.3">
      <c r="A59" t="s">
        <v>22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24</v>
      </c>
      <c r="B2" t="s">
        <v>84</v>
      </c>
      <c r="C2" t="s">
        <v>86</v>
      </c>
      <c r="D2" t="s">
        <v>85</v>
      </c>
      <c r="E2" t="s">
        <v>87</v>
      </c>
      <c r="F2">
        <v>846194.390625</v>
      </c>
      <c r="G2">
        <v>860008.828125</v>
      </c>
      <c r="H2">
        <v>840471.3359375</v>
      </c>
      <c r="I2">
        <v>869220.09375</v>
      </c>
      <c r="J2">
        <v>866423.8828125</v>
      </c>
      <c r="K2">
        <v>914875.765625</v>
      </c>
      <c r="L2">
        <v>895792.1796875</v>
      </c>
      <c r="M2">
        <v>893753.6640625</v>
      </c>
      <c r="N2">
        <v>904093.234375</v>
      </c>
      <c r="O2">
        <v>888733.921875</v>
      </c>
      <c r="P2">
        <v>897854.0859375</v>
      </c>
      <c r="Q2">
        <v>967798.8046875</v>
      </c>
      <c r="R2">
        <v>1023077.2890625</v>
      </c>
      <c r="S2">
        <v>1061351.890625</v>
      </c>
      <c r="T2">
        <v>1042133.0078125</v>
      </c>
      <c r="U2">
        <v>1064719.6796875</v>
      </c>
      <c r="V2">
        <v>1085529.1953125</v>
      </c>
      <c r="W2">
        <v>1089177.0703125</v>
      </c>
      <c r="X2">
        <v>1057053.4453125</v>
      </c>
      <c r="Y2">
        <v>1061304.9296875</v>
      </c>
      <c r="Z2">
        <v>1094045.0234375</v>
      </c>
      <c r="AA2">
        <v>1129376.0078125</v>
      </c>
      <c r="AB2">
        <v>1168949.84375</v>
      </c>
      <c r="AC2">
        <v>1226828.453125</v>
      </c>
      <c r="AD2">
        <v>1243308.9609375</v>
      </c>
      <c r="AE2">
        <v>1214617.46875</v>
      </c>
      <c r="AF2">
        <v>1174733.4375</v>
      </c>
    </row>
    <row r="3" spans="1:32" x14ac:dyDescent="0.3">
      <c r="A3" t="s">
        <v>24</v>
      </c>
      <c r="B3" t="s">
        <v>88</v>
      </c>
      <c r="C3" t="s">
        <v>86</v>
      </c>
      <c r="D3" t="s">
        <v>89</v>
      </c>
      <c r="E3" t="s">
        <v>87</v>
      </c>
      <c r="F3">
        <v>158216.609375</v>
      </c>
      <c r="G3">
        <v>159092.15625</v>
      </c>
      <c r="H3">
        <v>174982.125</v>
      </c>
      <c r="I3">
        <v>158076.65625</v>
      </c>
      <c r="J3">
        <v>151937.78125</v>
      </c>
      <c r="K3">
        <v>149471.421875</v>
      </c>
      <c r="L3">
        <v>144223.234375</v>
      </c>
      <c r="M3">
        <v>121825.625</v>
      </c>
      <c r="N3">
        <v>121681.453125</v>
      </c>
      <c r="O3">
        <v>97041.6484375</v>
      </c>
      <c r="P3">
        <v>96007.8359375</v>
      </c>
      <c r="Q3">
        <v>96232.71875</v>
      </c>
      <c r="R3">
        <v>97149.25</v>
      </c>
      <c r="S3">
        <v>77013.828125</v>
      </c>
      <c r="T3">
        <v>90338.15625</v>
      </c>
      <c r="U3">
        <v>89266.4140625</v>
      </c>
      <c r="V3">
        <v>77510.609375</v>
      </c>
      <c r="W3">
        <v>78687.5078125</v>
      </c>
      <c r="X3">
        <v>78717.6328125</v>
      </c>
      <c r="Y3">
        <v>101090.453125</v>
      </c>
      <c r="Z3">
        <v>100446.3671875</v>
      </c>
      <c r="AA3">
        <v>80505.75</v>
      </c>
      <c r="AB3">
        <v>98229.96875</v>
      </c>
      <c r="AC3">
        <v>78933.203125</v>
      </c>
      <c r="AD3">
        <v>79828.5625</v>
      </c>
      <c r="AE3">
        <v>78809.28125</v>
      </c>
      <c r="AF3">
        <v>77722.15625</v>
      </c>
    </row>
    <row r="4" spans="1:32" x14ac:dyDescent="0.3">
      <c r="A4" t="s">
        <v>24</v>
      </c>
      <c r="B4" t="s">
        <v>90</v>
      </c>
      <c r="C4" t="s">
        <v>86</v>
      </c>
      <c r="D4" t="s">
        <v>91</v>
      </c>
      <c r="E4" t="s">
        <v>87</v>
      </c>
      <c r="F4">
        <v>25698104.970214799</v>
      </c>
      <c r="G4">
        <v>25671169.458007801</v>
      </c>
      <c r="H4">
        <v>25386131.600097701</v>
      </c>
      <c r="I4">
        <v>23984899.294921901</v>
      </c>
      <c r="J4">
        <v>23369206.161132801</v>
      </c>
      <c r="K4">
        <v>23573547.059570301</v>
      </c>
      <c r="L4">
        <v>22623891.873535201</v>
      </c>
      <c r="M4">
        <v>21603707.296875</v>
      </c>
      <c r="N4">
        <v>21179902.0869141</v>
      </c>
      <c r="O4">
        <v>20886248.9287109</v>
      </c>
      <c r="P4">
        <v>20751566.130859401</v>
      </c>
      <c r="Q4">
        <v>21540438.051757801</v>
      </c>
      <c r="R4">
        <v>21541550.509277299</v>
      </c>
      <c r="S4">
        <v>20876413.7885742</v>
      </c>
      <c r="T4">
        <v>18333447.4130859</v>
      </c>
      <c r="U4">
        <v>19092164.5556641</v>
      </c>
      <c r="V4">
        <v>18931731.951660201</v>
      </c>
      <c r="W4">
        <v>18964055.0859375</v>
      </c>
      <c r="X4">
        <v>18250954.1025391</v>
      </c>
      <c r="Y4">
        <v>18220919.8759766</v>
      </c>
      <c r="Z4">
        <v>18262159.313964799</v>
      </c>
      <c r="AA4">
        <v>18332645.318847701</v>
      </c>
      <c r="AB4">
        <v>18649477.6330566</v>
      </c>
      <c r="AC4">
        <v>18691564.380859401</v>
      </c>
      <c r="AD4">
        <v>18322357.154785201</v>
      </c>
      <c r="AE4">
        <v>17083898.399902299</v>
      </c>
      <c r="AF4">
        <v>17255971.7194824</v>
      </c>
    </row>
    <row r="5" spans="1:32" x14ac:dyDescent="0.3">
      <c r="A5" t="s">
        <v>24</v>
      </c>
      <c r="B5" t="s">
        <v>92</v>
      </c>
      <c r="C5" t="s">
        <v>86</v>
      </c>
      <c r="D5" t="s">
        <v>93</v>
      </c>
      <c r="E5" t="s">
        <v>87</v>
      </c>
      <c r="F5">
        <v>3222966.5703125</v>
      </c>
      <c r="G5">
        <v>3250824.6816406199</v>
      </c>
      <c r="H5">
        <v>3155304.0058593801</v>
      </c>
      <c r="I5">
        <v>3104203.2050781199</v>
      </c>
      <c r="J5">
        <v>3077435.4433593801</v>
      </c>
      <c r="K5">
        <v>3103692.08984375</v>
      </c>
      <c r="L5">
        <v>3083200.19140625</v>
      </c>
      <c r="M5">
        <v>3073227.18359375</v>
      </c>
      <c r="N5">
        <v>3015216.9667968801</v>
      </c>
      <c r="O5">
        <v>2990306.953125</v>
      </c>
      <c r="P5">
        <v>2968928.3886718801</v>
      </c>
      <c r="Q5">
        <v>3015318.3623046898</v>
      </c>
      <c r="R5">
        <v>2926026.8740234398</v>
      </c>
      <c r="S5">
        <v>2875906.98828125</v>
      </c>
      <c r="T5">
        <v>2723324.8081054701</v>
      </c>
      <c r="U5">
        <v>2832034.9667968801</v>
      </c>
      <c r="V5">
        <v>2710143.13134766</v>
      </c>
      <c r="W5">
        <v>2851168.0517578102</v>
      </c>
      <c r="X5">
        <v>2778159.5419921898</v>
      </c>
      <c r="Y5">
        <v>2777575.2861328102</v>
      </c>
      <c r="Z5">
        <v>2777443.64697266</v>
      </c>
      <c r="AA5">
        <v>2761068.0268554701</v>
      </c>
      <c r="AB5">
        <v>2817347.1643066402</v>
      </c>
      <c r="AC5">
        <v>2776627.3427734398</v>
      </c>
      <c r="AD5">
        <v>2722239.51416016</v>
      </c>
      <c r="AE5">
        <v>2551183.6528320299</v>
      </c>
      <c r="AF5">
        <v>2561364.0925293001</v>
      </c>
    </row>
    <row r="6" spans="1:32" x14ac:dyDescent="0.3">
      <c r="A6" t="s">
        <v>24</v>
      </c>
      <c r="B6" t="s">
        <v>94</v>
      </c>
      <c r="C6" t="s">
        <v>86</v>
      </c>
      <c r="D6" t="s">
        <v>95</v>
      </c>
      <c r="E6" t="s">
        <v>87</v>
      </c>
      <c r="F6">
        <v>2022943.0859375</v>
      </c>
      <c r="G6">
        <v>1954818.78125</v>
      </c>
      <c r="H6">
        <v>1817083.1875</v>
      </c>
      <c r="I6">
        <v>1618953.6796875</v>
      </c>
      <c r="J6">
        <v>1483295.828125</v>
      </c>
      <c r="K6">
        <v>1348516.3125</v>
      </c>
      <c r="L6">
        <v>1247268.6953125</v>
      </c>
      <c r="M6">
        <v>1128962</v>
      </c>
      <c r="N6">
        <v>1066946.328125</v>
      </c>
      <c r="O6">
        <v>993927.9609375</v>
      </c>
      <c r="P6">
        <v>931637.984375</v>
      </c>
      <c r="Q6">
        <v>960301.453125</v>
      </c>
      <c r="R6">
        <v>926885.6875</v>
      </c>
      <c r="S6">
        <v>878315.71875</v>
      </c>
      <c r="T6">
        <v>779633.5</v>
      </c>
      <c r="U6">
        <v>777514.9375</v>
      </c>
      <c r="V6">
        <v>763807.875</v>
      </c>
      <c r="W6">
        <v>767039.69140625</v>
      </c>
      <c r="X6">
        <v>714245.484375</v>
      </c>
      <c r="Y6">
        <v>684119.85546875</v>
      </c>
      <c r="Z6">
        <v>658010.5703125</v>
      </c>
      <c r="AA6">
        <v>652645.77734375</v>
      </c>
      <c r="AB6">
        <v>641823.8515625</v>
      </c>
      <c r="AC6">
        <v>618845.7265625</v>
      </c>
      <c r="AD6">
        <v>597375.14453125</v>
      </c>
      <c r="AE6">
        <v>497336.9921875</v>
      </c>
      <c r="AF6">
        <v>456295.626953125</v>
      </c>
    </row>
    <row r="7" spans="1:32" x14ac:dyDescent="0.3">
      <c r="A7" t="s">
        <v>24</v>
      </c>
      <c r="B7" t="s">
        <v>96</v>
      </c>
      <c r="C7" t="s">
        <v>86</v>
      </c>
      <c r="D7" t="s">
        <v>97</v>
      </c>
      <c r="E7" t="s">
        <v>87</v>
      </c>
      <c r="F7">
        <v>2423687.640625</v>
      </c>
      <c r="G7">
        <v>2438005.453125</v>
      </c>
      <c r="H7">
        <v>2352250.09375</v>
      </c>
      <c r="I7">
        <v>2244177.671875</v>
      </c>
      <c r="J7">
        <v>2173225.84375</v>
      </c>
      <c r="K7">
        <v>2148463.234375</v>
      </c>
      <c r="L7">
        <v>2092560.625</v>
      </c>
      <c r="M7">
        <v>2016437.625</v>
      </c>
      <c r="N7">
        <v>1967901</v>
      </c>
      <c r="O7">
        <v>1909644.46875</v>
      </c>
      <c r="P7">
        <v>1866454.171875</v>
      </c>
      <c r="Q7">
        <v>1894330.125</v>
      </c>
      <c r="R7">
        <v>1806141.59375</v>
      </c>
      <c r="S7">
        <v>1722901.84375</v>
      </c>
      <c r="T7">
        <v>1588640.9375</v>
      </c>
      <c r="U7">
        <v>1578594.78125</v>
      </c>
      <c r="V7">
        <v>1528000.578125</v>
      </c>
      <c r="W7">
        <v>1568228.03125</v>
      </c>
      <c r="X7">
        <v>1478347.34375</v>
      </c>
      <c r="Y7">
        <v>1439413.65625</v>
      </c>
      <c r="Z7">
        <v>1417817.6796875</v>
      </c>
      <c r="AA7">
        <v>1402253.5390625</v>
      </c>
      <c r="AB7">
        <v>1396386.03125</v>
      </c>
      <c r="AC7">
        <v>1366022.5859375</v>
      </c>
      <c r="AD7">
        <v>1335172.828125</v>
      </c>
      <c r="AE7">
        <v>1206908.640625</v>
      </c>
      <c r="AF7">
        <v>1184611.9765625</v>
      </c>
    </row>
    <row r="8" spans="1:32" x14ac:dyDescent="0.3">
      <c r="A8" t="s">
        <v>24</v>
      </c>
      <c r="B8" t="s">
        <v>98</v>
      </c>
      <c r="C8" t="s">
        <v>86</v>
      </c>
      <c r="D8" t="s">
        <v>99</v>
      </c>
      <c r="E8" t="s">
        <v>87</v>
      </c>
      <c r="F8">
        <v>95020.181640625</v>
      </c>
      <c r="G8">
        <v>94383.36328125</v>
      </c>
      <c r="H8">
        <v>93540.078125</v>
      </c>
      <c r="I8">
        <v>90930.3671875</v>
      </c>
      <c r="J8">
        <v>86793.5546875</v>
      </c>
      <c r="K8">
        <v>83373.08203125</v>
      </c>
      <c r="L8">
        <v>81198.794921875</v>
      </c>
      <c r="M8">
        <v>77222.076171875</v>
      </c>
      <c r="N8">
        <v>75280.697265625</v>
      </c>
      <c r="O8">
        <v>72189.796875</v>
      </c>
      <c r="P8">
        <v>70965.626953125</v>
      </c>
      <c r="Q8">
        <v>71313.564453125</v>
      </c>
      <c r="R8">
        <v>68046.55078125</v>
      </c>
      <c r="S8">
        <v>68443.576171875</v>
      </c>
      <c r="T8">
        <v>64897.005859375</v>
      </c>
      <c r="U8">
        <v>68298.8359375</v>
      </c>
      <c r="V8">
        <v>73366.66796875</v>
      </c>
      <c r="W8">
        <v>69305.51953125</v>
      </c>
      <c r="X8">
        <v>66756.30078125</v>
      </c>
      <c r="Y8">
        <v>68697.142578125</v>
      </c>
      <c r="Z8">
        <v>67252.302734375</v>
      </c>
      <c r="AA8">
        <v>69332.91015625</v>
      </c>
      <c r="AB8">
        <v>71174.37890625</v>
      </c>
      <c r="AC8">
        <v>72264.21484375</v>
      </c>
      <c r="AD8">
        <v>73121.712890625</v>
      </c>
      <c r="AE8">
        <v>76722.779296875</v>
      </c>
      <c r="AF8">
        <v>81547.751953125</v>
      </c>
    </row>
    <row r="9" spans="1:32" x14ac:dyDescent="0.3">
      <c r="A9" t="s">
        <v>24</v>
      </c>
      <c r="B9" t="s">
        <v>100</v>
      </c>
      <c r="C9" t="s">
        <v>86</v>
      </c>
      <c r="D9" t="s">
        <v>101</v>
      </c>
      <c r="E9" t="s">
        <v>87</v>
      </c>
      <c r="F9">
        <v>814168.43652343797</v>
      </c>
      <c r="G9">
        <v>815949.51806640602</v>
      </c>
      <c r="H9">
        <v>814748.37353515602</v>
      </c>
      <c r="I9">
        <v>787526.46923828102</v>
      </c>
      <c r="J9">
        <v>785360.990234375</v>
      </c>
      <c r="K9">
        <v>786106.314453125</v>
      </c>
      <c r="L9">
        <v>776715.302734375</v>
      </c>
      <c r="M9">
        <v>753858.65527343797</v>
      </c>
      <c r="N9">
        <v>732058.32763671898</v>
      </c>
      <c r="O9">
        <v>723168.775390625</v>
      </c>
      <c r="P9">
        <v>738781.88378906203</v>
      </c>
      <c r="Q9">
        <v>756236.28515625</v>
      </c>
      <c r="R9">
        <v>732801.96972656203</v>
      </c>
      <c r="S9">
        <v>726795.97753906203</v>
      </c>
      <c r="T9">
        <v>674502.85107421898</v>
      </c>
      <c r="U9">
        <v>687589.03613281203</v>
      </c>
      <c r="V9">
        <v>701081.69921875</v>
      </c>
      <c r="W9">
        <v>688496.26855468797</v>
      </c>
      <c r="X9">
        <v>657642.224609375</v>
      </c>
      <c r="Y9">
        <v>650469.1484375</v>
      </c>
      <c r="Z9">
        <v>663813.64160156203</v>
      </c>
      <c r="AA9">
        <v>679288.794921875</v>
      </c>
      <c r="AB9">
        <v>703658.65332031203</v>
      </c>
      <c r="AC9">
        <v>720671.70019531203</v>
      </c>
      <c r="AD9">
        <v>717923.541015625</v>
      </c>
      <c r="AE9">
        <v>726929.28515625</v>
      </c>
      <c r="AF9">
        <v>740132.845703125</v>
      </c>
    </row>
    <row r="10" spans="1:32" x14ac:dyDescent="0.3">
      <c r="A10" t="s">
        <v>24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24</v>
      </c>
      <c r="B11" t="s">
        <v>104</v>
      </c>
      <c r="C11" t="s">
        <v>86</v>
      </c>
      <c r="D11" t="s">
        <v>105</v>
      </c>
      <c r="E11" t="s">
        <v>87</v>
      </c>
      <c r="F11">
        <v>297938.1875</v>
      </c>
      <c r="G11">
        <v>303067.5625</v>
      </c>
      <c r="H11">
        <v>300469.90625</v>
      </c>
      <c r="I11">
        <v>288193.53125</v>
      </c>
      <c r="J11">
        <v>294990.28125</v>
      </c>
      <c r="K11">
        <v>297612.71875</v>
      </c>
      <c r="L11">
        <v>303775.3125</v>
      </c>
      <c r="M11">
        <v>302566.53125</v>
      </c>
      <c r="N11">
        <v>290980.09375</v>
      </c>
      <c r="O11">
        <v>294154.34375</v>
      </c>
      <c r="P11">
        <v>296403</v>
      </c>
      <c r="Q11">
        <v>303537.59375</v>
      </c>
      <c r="R11">
        <v>277064.71875</v>
      </c>
      <c r="S11">
        <v>269668.125</v>
      </c>
      <c r="T11">
        <v>258224.15625</v>
      </c>
      <c r="U11">
        <v>268580.59375</v>
      </c>
      <c r="V11">
        <v>265106.21875</v>
      </c>
      <c r="W11">
        <v>273673.46875</v>
      </c>
      <c r="X11">
        <v>265827</v>
      </c>
      <c r="Y11">
        <v>273384.53125</v>
      </c>
      <c r="Z11">
        <v>275345.90625</v>
      </c>
      <c r="AA11">
        <v>278486.4375</v>
      </c>
      <c r="AB11">
        <v>279203.375</v>
      </c>
      <c r="AC11">
        <v>279040.9375</v>
      </c>
      <c r="AD11">
        <v>279339.25</v>
      </c>
      <c r="AE11">
        <v>282833.78125</v>
      </c>
      <c r="AF11">
        <v>285891.4375</v>
      </c>
    </row>
    <row r="12" spans="1:32" x14ac:dyDescent="0.3">
      <c r="A12" t="s">
        <v>24</v>
      </c>
      <c r="B12" t="s">
        <v>106</v>
      </c>
      <c r="C12" t="s">
        <v>86</v>
      </c>
      <c r="D12" t="s">
        <v>107</v>
      </c>
      <c r="E12" t="s">
        <v>87</v>
      </c>
      <c r="F12">
        <v>2435623.640625</v>
      </c>
      <c r="G12">
        <v>2423277.890625</v>
      </c>
      <c r="H12">
        <v>2372214</v>
      </c>
      <c r="I12">
        <v>2229514.578125</v>
      </c>
      <c r="J12">
        <v>2180139.109375</v>
      </c>
      <c r="K12">
        <v>2205359.515625</v>
      </c>
      <c r="L12">
        <v>2131647</v>
      </c>
      <c r="M12">
        <v>2026300.453125</v>
      </c>
      <c r="N12">
        <v>2001117.7109375</v>
      </c>
      <c r="O12">
        <v>1958689.7265625</v>
      </c>
      <c r="P12">
        <v>1927134.2109375</v>
      </c>
      <c r="Q12">
        <v>1984405.8671875</v>
      </c>
      <c r="R12">
        <v>2022365.25</v>
      </c>
      <c r="S12">
        <v>1929726.53125</v>
      </c>
      <c r="T12">
        <v>1712905.3515625</v>
      </c>
      <c r="U12">
        <v>1798777.6171875</v>
      </c>
      <c r="V12">
        <v>1803943.546875</v>
      </c>
      <c r="W12">
        <v>1837198.2734375</v>
      </c>
      <c r="X12">
        <v>1823829.5078125</v>
      </c>
      <c r="Y12">
        <v>1792673.0546875</v>
      </c>
      <c r="Z12">
        <v>1807834.4765625</v>
      </c>
      <c r="AA12">
        <v>1812972.078125</v>
      </c>
      <c r="AB12">
        <v>1848410.171875</v>
      </c>
      <c r="AC12">
        <v>1882605.7890625</v>
      </c>
      <c r="AD12">
        <v>1860091.5703125</v>
      </c>
      <c r="AE12">
        <v>1734292.328125</v>
      </c>
      <c r="AF12">
        <v>1752286.48828125</v>
      </c>
    </row>
    <row r="13" spans="1:32" x14ac:dyDescent="0.3">
      <c r="A13" t="s">
        <v>24</v>
      </c>
      <c r="B13" t="s">
        <v>108</v>
      </c>
      <c r="C13" t="s">
        <v>86</v>
      </c>
      <c r="D13" t="s">
        <v>109</v>
      </c>
      <c r="E13" t="s">
        <v>87</v>
      </c>
      <c r="F13">
        <v>3176496.5708007799</v>
      </c>
      <c r="G13">
        <v>3182029.3012695299</v>
      </c>
      <c r="H13">
        <v>3169854.4238281199</v>
      </c>
      <c r="I13">
        <v>2900261.1362304701</v>
      </c>
      <c r="J13">
        <v>2760617.8837890602</v>
      </c>
      <c r="K13">
        <v>2869113.9912109398</v>
      </c>
      <c r="L13">
        <v>2749499.17822266</v>
      </c>
      <c r="M13">
        <v>2644204.4560546898</v>
      </c>
      <c r="N13">
        <v>2574113.77880859</v>
      </c>
      <c r="O13">
        <v>2518882.8369140602</v>
      </c>
      <c r="P13">
        <v>2540860.6455078102</v>
      </c>
      <c r="Q13">
        <v>2673775.94140625</v>
      </c>
      <c r="R13">
        <v>2686571.2299804701</v>
      </c>
      <c r="S13">
        <v>2613941.7661132799</v>
      </c>
      <c r="T13">
        <v>2215761.1425781199</v>
      </c>
      <c r="U13">
        <v>2341064.4941406199</v>
      </c>
      <c r="V13">
        <v>2346010.3339843801</v>
      </c>
      <c r="W13">
        <v>2417412.984375</v>
      </c>
      <c r="X13">
        <v>2352352.2441406199</v>
      </c>
      <c r="Y13">
        <v>2374118.7373046898</v>
      </c>
      <c r="Z13">
        <v>2305885.62109375</v>
      </c>
      <c r="AA13">
        <v>2343516.0791015602</v>
      </c>
      <c r="AB13">
        <v>2399701.1826171898</v>
      </c>
      <c r="AC13">
        <v>2436645.0957031199</v>
      </c>
      <c r="AD13">
        <v>2395558.0722656199</v>
      </c>
      <c r="AE13">
        <v>2175025.3564453102</v>
      </c>
      <c r="AF13">
        <v>2202270.2714843801</v>
      </c>
    </row>
    <row r="14" spans="1:32" x14ac:dyDescent="0.3">
      <c r="A14" t="s">
        <v>24</v>
      </c>
      <c r="B14" t="s">
        <v>110</v>
      </c>
      <c r="C14" t="s">
        <v>86</v>
      </c>
      <c r="D14" t="s">
        <v>111</v>
      </c>
      <c r="E14" t="s">
        <v>87</v>
      </c>
      <c r="F14">
        <v>3253802.984375</v>
      </c>
      <c r="G14">
        <v>3204200.71875</v>
      </c>
      <c r="H14">
        <v>3259994.640625</v>
      </c>
      <c r="I14">
        <v>3163433.203125</v>
      </c>
      <c r="J14">
        <v>3170951.3203125</v>
      </c>
      <c r="K14">
        <v>3233157.91015625</v>
      </c>
      <c r="L14">
        <v>2955462.2421875</v>
      </c>
      <c r="M14">
        <v>2704798.76953125</v>
      </c>
      <c r="N14">
        <v>2656295.37109375</v>
      </c>
      <c r="O14">
        <v>2611006.83203125</v>
      </c>
      <c r="P14">
        <v>2481464.234375</v>
      </c>
      <c r="Q14">
        <v>2628522.953125</v>
      </c>
      <c r="R14">
        <v>2691369.4628906199</v>
      </c>
      <c r="S14">
        <v>2564382.24609375</v>
      </c>
      <c r="T14">
        <v>2169119.45703125</v>
      </c>
      <c r="U14">
        <v>2227094.55859375</v>
      </c>
      <c r="V14">
        <v>2196390.3535156199</v>
      </c>
      <c r="W14">
        <v>1946777.71875</v>
      </c>
      <c r="X14">
        <v>1809472.0644531201</v>
      </c>
      <c r="Y14">
        <v>1770288.7138671901</v>
      </c>
      <c r="Z14">
        <v>1751674.5625</v>
      </c>
      <c r="AA14">
        <v>1747960.42578125</v>
      </c>
      <c r="AB14">
        <v>1776301.66796875</v>
      </c>
      <c r="AC14">
        <v>1800256.86328125</v>
      </c>
      <c r="AD14">
        <v>1765160.1152343799</v>
      </c>
      <c r="AE14">
        <v>1711958.2871093799</v>
      </c>
      <c r="AF14">
        <v>1741274.4628906201</v>
      </c>
    </row>
    <row r="15" spans="1:32" x14ac:dyDescent="0.3">
      <c r="A15" t="s">
        <v>24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24</v>
      </c>
      <c r="B16" t="s">
        <v>114</v>
      </c>
      <c r="C16" t="s">
        <v>86</v>
      </c>
      <c r="D16" t="s">
        <v>115</v>
      </c>
      <c r="E16" t="s">
        <v>87</v>
      </c>
      <c r="F16">
        <v>1707112.359375</v>
      </c>
      <c r="G16">
        <v>1677089.125</v>
      </c>
      <c r="H16">
        <v>1682814.078125</v>
      </c>
      <c r="I16">
        <v>1569442.390625</v>
      </c>
      <c r="J16">
        <v>1549105.421875</v>
      </c>
      <c r="K16">
        <v>1577410.234375</v>
      </c>
      <c r="L16">
        <v>1475338.703125</v>
      </c>
      <c r="M16">
        <v>1372747.703125</v>
      </c>
      <c r="N16">
        <v>1282550.953125</v>
      </c>
      <c r="O16">
        <v>1268907.328125</v>
      </c>
      <c r="P16">
        <v>1300764.203125</v>
      </c>
      <c r="Q16">
        <v>1379204.953125</v>
      </c>
      <c r="R16">
        <v>1377179.65625</v>
      </c>
      <c r="S16">
        <v>1268370.359375</v>
      </c>
      <c r="T16">
        <v>1103787.984375</v>
      </c>
      <c r="U16">
        <v>1188257.375</v>
      </c>
      <c r="V16">
        <v>1172971.203125</v>
      </c>
      <c r="W16">
        <v>1145104.703125</v>
      </c>
      <c r="X16">
        <v>1097307.921875</v>
      </c>
      <c r="Y16">
        <v>1102249.21875</v>
      </c>
      <c r="Z16">
        <v>1111419.46875</v>
      </c>
      <c r="AA16">
        <v>1106621.265625</v>
      </c>
      <c r="AB16">
        <v>1096993.53125</v>
      </c>
      <c r="AC16">
        <v>1116588.984375</v>
      </c>
      <c r="AD16">
        <v>1105948.3125</v>
      </c>
      <c r="AE16">
        <v>1052648.875</v>
      </c>
      <c r="AF16">
        <v>1068577.828125</v>
      </c>
    </row>
    <row r="17" spans="1:32" x14ac:dyDescent="0.3">
      <c r="A17" t="s">
        <v>24</v>
      </c>
      <c r="B17" t="s">
        <v>116</v>
      </c>
      <c r="C17" t="s">
        <v>86</v>
      </c>
      <c r="D17" t="s">
        <v>117</v>
      </c>
      <c r="E17" t="s">
        <v>87</v>
      </c>
      <c r="F17">
        <v>2781109.625</v>
      </c>
      <c r="G17">
        <v>2864028.96875</v>
      </c>
      <c r="H17">
        <v>2863909.25</v>
      </c>
      <c r="I17">
        <v>2702748.5</v>
      </c>
      <c r="J17">
        <v>2619590.296875</v>
      </c>
      <c r="K17">
        <v>2727097.28125</v>
      </c>
      <c r="L17">
        <v>2607123.578125</v>
      </c>
      <c r="M17">
        <v>2460298.53125</v>
      </c>
      <c r="N17">
        <v>2433487.703125</v>
      </c>
      <c r="O17">
        <v>2463427.53125</v>
      </c>
      <c r="P17">
        <v>2482830.4375</v>
      </c>
      <c r="Q17">
        <v>2631434.015625</v>
      </c>
      <c r="R17">
        <v>2749158.265625</v>
      </c>
      <c r="S17">
        <v>2768037.96875</v>
      </c>
      <c r="T17">
        <v>2271600.46875</v>
      </c>
      <c r="U17">
        <v>2438250.953125</v>
      </c>
      <c r="V17">
        <v>2465257.90625</v>
      </c>
      <c r="W17">
        <v>2475720</v>
      </c>
      <c r="X17">
        <v>2351758.46875</v>
      </c>
      <c r="Y17">
        <v>2378989.8125</v>
      </c>
      <c r="Z17">
        <v>2375696.046875</v>
      </c>
      <c r="AA17">
        <v>2371703.109375</v>
      </c>
      <c r="AB17">
        <v>2477361.53125</v>
      </c>
      <c r="AC17">
        <v>2511702.21875</v>
      </c>
      <c r="AD17">
        <v>2446465.625</v>
      </c>
      <c r="AE17">
        <v>2298386.296875</v>
      </c>
      <c r="AF17">
        <v>2356592.078125</v>
      </c>
    </row>
    <row r="18" spans="1:32" x14ac:dyDescent="0.3">
      <c r="A18" t="s">
        <v>24</v>
      </c>
      <c r="B18" t="s">
        <v>118</v>
      </c>
      <c r="C18" t="s">
        <v>86</v>
      </c>
      <c r="D18" t="s">
        <v>119</v>
      </c>
      <c r="E18" t="s">
        <v>87</v>
      </c>
      <c r="F18">
        <v>2441149.9375</v>
      </c>
      <c r="G18">
        <v>2433503.71875</v>
      </c>
      <c r="H18">
        <v>2513986.78125</v>
      </c>
      <c r="I18">
        <v>2357347.90625</v>
      </c>
      <c r="J18">
        <v>2311575.875</v>
      </c>
      <c r="K18">
        <v>2333578.03125</v>
      </c>
      <c r="L18">
        <v>2291154.375</v>
      </c>
      <c r="M18">
        <v>2274644.6875</v>
      </c>
      <c r="N18">
        <v>2323756</v>
      </c>
      <c r="O18">
        <v>2360152.34375</v>
      </c>
      <c r="P18">
        <v>2428569.875</v>
      </c>
      <c r="Q18">
        <v>2490980.03125</v>
      </c>
      <c r="R18">
        <v>2512626.75</v>
      </c>
      <c r="S18">
        <v>2454545.40625</v>
      </c>
      <c r="T18">
        <v>2078631.3125</v>
      </c>
      <c r="U18">
        <v>2211076.40625</v>
      </c>
      <c r="V18">
        <v>2229837.3125</v>
      </c>
      <c r="W18">
        <v>2229109</v>
      </c>
      <c r="X18">
        <v>2191215.21875</v>
      </c>
      <c r="Y18">
        <v>2261673.3125</v>
      </c>
      <c r="Z18">
        <v>2400135.40625</v>
      </c>
      <c r="AA18">
        <v>2458444.15625</v>
      </c>
      <c r="AB18">
        <v>2501285.28125</v>
      </c>
      <c r="AC18">
        <v>2480662.21875</v>
      </c>
      <c r="AD18">
        <v>2405961.03125</v>
      </c>
      <c r="AE18">
        <v>2232615.84375</v>
      </c>
      <c r="AF18">
        <v>2309558.34375</v>
      </c>
    </row>
    <row r="19" spans="1:32" x14ac:dyDescent="0.3">
      <c r="A19" t="s">
        <v>24</v>
      </c>
      <c r="B19" t="s">
        <v>120</v>
      </c>
      <c r="C19" t="s">
        <v>86</v>
      </c>
      <c r="D19" t="s">
        <v>121</v>
      </c>
      <c r="E19" t="s">
        <v>87</v>
      </c>
      <c r="F19">
        <v>1026085.75</v>
      </c>
      <c r="G19">
        <v>1029990.375</v>
      </c>
      <c r="H19">
        <v>989962.78125</v>
      </c>
      <c r="I19">
        <v>928166.65625</v>
      </c>
      <c r="J19">
        <v>876124.3125</v>
      </c>
      <c r="K19">
        <v>860066.34375</v>
      </c>
      <c r="L19">
        <v>828947.875</v>
      </c>
      <c r="M19">
        <v>768438.625</v>
      </c>
      <c r="N19">
        <v>760197.15625</v>
      </c>
      <c r="O19">
        <v>721790.03125</v>
      </c>
      <c r="P19">
        <v>716771.46875</v>
      </c>
      <c r="Q19">
        <v>751076.90625</v>
      </c>
      <c r="R19">
        <v>765312.5</v>
      </c>
      <c r="S19">
        <v>735377.28125</v>
      </c>
      <c r="T19">
        <v>692418.4375</v>
      </c>
      <c r="U19">
        <v>675030</v>
      </c>
      <c r="V19">
        <v>675815.125</v>
      </c>
      <c r="W19">
        <v>694821.375</v>
      </c>
      <c r="X19">
        <v>664040.78125</v>
      </c>
      <c r="Y19">
        <v>647267.40625</v>
      </c>
      <c r="Z19">
        <v>649829.984375</v>
      </c>
      <c r="AA19">
        <v>648352.71875</v>
      </c>
      <c r="AB19">
        <v>639830.8125</v>
      </c>
      <c r="AC19">
        <v>629630.703125</v>
      </c>
      <c r="AD19">
        <v>618000.4375</v>
      </c>
      <c r="AE19">
        <v>537056.28125</v>
      </c>
      <c r="AF19">
        <v>515568.515625</v>
      </c>
    </row>
    <row r="20" spans="1:32" x14ac:dyDescent="0.3">
      <c r="A20" t="s">
        <v>24</v>
      </c>
      <c r="B20" t="s">
        <v>122</v>
      </c>
      <c r="C20" t="s">
        <v>86</v>
      </c>
      <c r="D20" t="s">
        <v>123</v>
      </c>
      <c r="E20" t="s">
        <v>87</v>
      </c>
      <c r="F20">
        <v>489622.5234375</v>
      </c>
      <c r="G20">
        <v>434027.2578125</v>
      </c>
      <c r="H20">
        <v>404158.03125</v>
      </c>
      <c r="I20">
        <v>414251.4140625</v>
      </c>
      <c r="J20">
        <v>409088.2421875</v>
      </c>
      <c r="K20">
        <v>390113.140625</v>
      </c>
      <c r="L20">
        <v>380078.390625</v>
      </c>
      <c r="M20">
        <v>374512.984375</v>
      </c>
      <c r="N20">
        <v>351398.5078125</v>
      </c>
      <c r="O20">
        <v>351693.328125</v>
      </c>
      <c r="P20">
        <v>396964.4453125</v>
      </c>
      <c r="Q20">
        <v>414850.8125</v>
      </c>
      <c r="R20">
        <v>367925.296875</v>
      </c>
      <c r="S20">
        <v>368754.6953125</v>
      </c>
      <c r="T20">
        <v>384714.109375</v>
      </c>
      <c r="U20">
        <v>387935.8359375</v>
      </c>
      <c r="V20">
        <v>361039.546875</v>
      </c>
      <c r="W20">
        <v>372065.3984375</v>
      </c>
      <c r="X20">
        <v>347312.078125</v>
      </c>
      <c r="Y20">
        <v>340290.3203125</v>
      </c>
      <c r="Z20">
        <v>339814.6796875</v>
      </c>
      <c r="AA20">
        <v>354220.5703125</v>
      </c>
      <c r="AB20">
        <v>328632.6328125</v>
      </c>
      <c r="AC20">
        <v>330379.3984375</v>
      </c>
      <c r="AD20">
        <v>311040.87890625</v>
      </c>
      <c r="AE20">
        <v>360785.0390625</v>
      </c>
      <c r="AF20">
        <v>402968.140625</v>
      </c>
    </row>
    <row r="21" spans="1:32" x14ac:dyDescent="0.3">
      <c r="A21" t="s">
        <v>24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24</v>
      </c>
      <c r="B22" t="s">
        <v>126</v>
      </c>
      <c r="C22" t="s">
        <v>86</v>
      </c>
      <c r="D22" t="s">
        <v>127</v>
      </c>
      <c r="E22" t="s">
        <v>87</v>
      </c>
      <c r="F22">
        <v>679278.09521484398</v>
      </c>
      <c r="G22">
        <v>651835.404296875</v>
      </c>
      <c r="H22">
        <v>655493.63330078102</v>
      </c>
      <c r="I22">
        <v>685715.37841796898</v>
      </c>
      <c r="J22">
        <v>702710.552734375</v>
      </c>
      <c r="K22">
        <v>707256.54199218797</v>
      </c>
      <c r="L22">
        <v>709452.18212890602</v>
      </c>
      <c r="M22">
        <v>713320.61425781203</v>
      </c>
      <c r="N22">
        <v>714579.41455078102</v>
      </c>
      <c r="O22">
        <v>740996.90576171898</v>
      </c>
      <c r="P22">
        <v>796116.1953125</v>
      </c>
      <c r="Q22">
        <v>826277.92578125</v>
      </c>
      <c r="R22">
        <v>790972.30175781203</v>
      </c>
      <c r="S22">
        <v>812119.14501953102</v>
      </c>
      <c r="T22">
        <v>842612.45947265602</v>
      </c>
      <c r="U22">
        <v>864062.71777343797</v>
      </c>
      <c r="V22">
        <v>847669.28222656203</v>
      </c>
      <c r="W22">
        <v>849355.45605468797</v>
      </c>
      <c r="X22">
        <v>820541.07495117199</v>
      </c>
      <c r="Y22">
        <v>809197.40844726597</v>
      </c>
      <c r="Z22">
        <v>809969.45996093797</v>
      </c>
      <c r="AA22">
        <v>819557.06323242199</v>
      </c>
      <c r="AB22">
        <v>799358.27490234398</v>
      </c>
      <c r="AC22">
        <v>810372.16650390602</v>
      </c>
      <c r="AD22">
        <v>811232.09765625</v>
      </c>
      <c r="AE22">
        <v>809003.04077148403</v>
      </c>
      <c r="AF22">
        <v>841766.42333984398</v>
      </c>
    </row>
    <row r="23" spans="1:32" x14ac:dyDescent="0.3">
      <c r="A23" t="s">
        <v>24</v>
      </c>
      <c r="B23" t="s">
        <v>128</v>
      </c>
      <c r="C23" t="s">
        <v>86</v>
      </c>
      <c r="D23" t="s">
        <v>129</v>
      </c>
      <c r="E23" t="s">
        <v>87</v>
      </c>
      <c r="F23">
        <v>10240282.5</v>
      </c>
      <c r="G23">
        <v>10365541</v>
      </c>
      <c r="H23">
        <v>10268949</v>
      </c>
      <c r="I23">
        <v>10092873</v>
      </c>
      <c r="J23">
        <v>9930621.25</v>
      </c>
      <c r="K23">
        <v>10132155.5</v>
      </c>
      <c r="L23">
        <v>9575900.75</v>
      </c>
      <c r="M23">
        <v>9311129.5</v>
      </c>
      <c r="N23">
        <v>9212680.75</v>
      </c>
      <c r="O23">
        <v>9425848.25</v>
      </c>
      <c r="P23">
        <v>8878316.75</v>
      </c>
      <c r="Q23">
        <v>8824327.5</v>
      </c>
      <c r="R23">
        <v>8857575.75</v>
      </c>
      <c r="S23">
        <v>8578210.5</v>
      </c>
      <c r="T23">
        <v>8041480.75</v>
      </c>
      <c r="U23">
        <v>7793330</v>
      </c>
      <c r="V23">
        <v>7804711.75</v>
      </c>
      <c r="W23">
        <v>7821834</v>
      </c>
      <c r="X23">
        <v>7656325</v>
      </c>
      <c r="Y23">
        <v>7823313.75</v>
      </c>
      <c r="Z23">
        <v>7749775.5</v>
      </c>
      <c r="AA23">
        <v>7643745.75</v>
      </c>
      <c r="AB23">
        <v>7748489.25</v>
      </c>
      <c r="AC23">
        <v>7636863.5</v>
      </c>
      <c r="AD23">
        <v>7496130.25</v>
      </c>
      <c r="AE23">
        <v>7214974</v>
      </c>
      <c r="AF23">
        <v>7136219.25</v>
      </c>
    </row>
    <row r="24" spans="1:32" x14ac:dyDescent="0.3">
      <c r="A24" t="s">
        <v>24</v>
      </c>
      <c r="B24" t="s">
        <v>130</v>
      </c>
      <c r="C24" t="s">
        <v>86</v>
      </c>
      <c r="D24" t="s">
        <v>131</v>
      </c>
      <c r="E24" t="s">
        <v>87</v>
      </c>
      <c r="F24">
        <v>17339631.375</v>
      </c>
      <c r="G24">
        <v>17490801.125</v>
      </c>
      <c r="H24">
        <v>17190723.8125</v>
      </c>
      <c r="I24">
        <v>17218096.9375</v>
      </c>
      <c r="J24">
        <v>17339943.6875</v>
      </c>
      <c r="K24">
        <v>17327613.125</v>
      </c>
      <c r="L24">
        <v>17177424.3125</v>
      </c>
      <c r="M24">
        <v>16676885.1875</v>
      </c>
      <c r="N24">
        <v>16656218.4375</v>
      </c>
      <c r="O24">
        <v>17010504.875</v>
      </c>
      <c r="P24">
        <v>16822633.4375</v>
      </c>
      <c r="Q24">
        <v>16877344.0625</v>
      </c>
      <c r="R24">
        <v>16755429.4375</v>
      </c>
      <c r="S24">
        <v>16446853.8125</v>
      </c>
      <c r="T24">
        <v>15990911.9375</v>
      </c>
      <c r="U24">
        <v>16306091.8125</v>
      </c>
      <c r="V24">
        <v>16246720.75</v>
      </c>
      <c r="W24">
        <v>15959291.4375</v>
      </c>
      <c r="X24">
        <v>15796818</v>
      </c>
      <c r="Y24">
        <v>15574707.1875</v>
      </c>
      <c r="Z24">
        <v>16062025.625</v>
      </c>
      <c r="AA24">
        <v>16325972.875</v>
      </c>
      <c r="AB24">
        <v>16495578.75</v>
      </c>
      <c r="AC24">
        <v>16120986.9375</v>
      </c>
      <c r="AD24">
        <v>15721125.0625</v>
      </c>
      <c r="AE24">
        <v>14912365.25</v>
      </c>
      <c r="AF24">
        <v>15197301.6875</v>
      </c>
    </row>
    <row r="25" spans="1:32" x14ac:dyDescent="0.3">
      <c r="A25" t="s">
        <v>24</v>
      </c>
      <c r="B25" t="s">
        <v>132</v>
      </c>
      <c r="C25" t="s">
        <v>86</v>
      </c>
      <c r="D25" t="s">
        <v>133</v>
      </c>
      <c r="E25" t="s">
        <v>87</v>
      </c>
      <c r="F25">
        <v>867743.875</v>
      </c>
      <c r="G25">
        <v>890466.625</v>
      </c>
      <c r="H25">
        <v>902170.8125</v>
      </c>
      <c r="I25">
        <v>884290.9375</v>
      </c>
      <c r="J25">
        <v>861395.1875</v>
      </c>
      <c r="K25">
        <v>853447.625</v>
      </c>
      <c r="L25">
        <v>873547.3125</v>
      </c>
      <c r="M25">
        <v>850305.1875</v>
      </c>
      <c r="N25">
        <v>867678.4375</v>
      </c>
      <c r="O25">
        <v>865498.875</v>
      </c>
      <c r="P25">
        <v>879172.4375</v>
      </c>
      <c r="Q25">
        <v>930934.0625</v>
      </c>
      <c r="R25">
        <v>911405.9375</v>
      </c>
      <c r="S25">
        <v>869696.3125</v>
      </c>
      <c r="T25">
        <v>862990.4375</v>
      </c>
      <c r="U25">
        <v>880539.3125</v>
      </c>
      <c r="V25">
        <v>880881.25</v>
      </c>
      <c r="W25">
        <v>859084.9375</v>
      </c>
      <c r="X25">
        <v>845368</v>
      </c>
      <c r="Y25">
        <v>808000.6875</v>
      </c>
      <c r="Z25">
        <v>799396.125</v>
      </c>
      <c r="AA25">
        <v>782715.375</v>
      </c>
      <c r="AB25">
        <v>773172.75</v>
      </c>
      <c r="AC25">
        <v>788446.4375</v>
      </c>
      <c r="AD25">
        <v>787842.5625</v>
      </c>
      <c r="AE25">
        <v>734796.25</v>
      </c>
      <c r="AF25">
        <v>734509.6875</v>
      </c>
    </row>
    <row r="26" spans="1:32" x14ac:dyDescent="0.3">
      <c r="A26" t="s">
        <v>24</v>
      </c>
      <c r="B26" t="s">
        <v>134</v>
      </c>
      <c r="C26" t="s">
        <v>86</v>
      </c>
      <c r="D26" t="s">
        <v>135</v>
      </c>
      <c r="E26" t="s">
        <v>87</v>
      </c>
      <c r="F26">
        <v>7887912.5</v>
      </c>
      <c r="G26">
        <v>7832937.5</v>
      </c>
      <c r="H26">
        <v>7664447</v>
      </c>
      <c r="I26">
        <v>7518205</v>
      </c>
      <c r="J26">
        <v>7424680.5</v>
      </c>
      <c r="K26">
        <v>7113988.5</v>
      </c>
      <c r="L26">
        <v>6882420</v>
      </c>
      <c r="M26">
        <v>6456900</v>
      </c>
      <c r="N26">
        <v>6365490</v>
      </c>
      <c r="O26">
        <v>6387921</v>
      </c>
      <c r="P26">
        <v>6307140</v>
      </c>
      <c r="Q26">
        <v>6282641</v>
      </c>
      <c r="R26">
        <v>6300620.5</v>
      </c>
      <c r="S26">
        <v>6217807.5</v>
      </c>
      <c r="T26">
        <v>6031121.5</v>
      </c>
      <c r="U26">
        <v>6055856.5</v>
      </c>
      <c r="V26">
        <v>6101610.5</v>
      </c>
      <c r="W26">
        <v>5922835.5</v>
      </c>
      <c r="X26">
        <v>5855352</v>
      </c>
      <c r="Y26">
        <v>5805794.5</v>
      </c>
      <c r="Z26">
        <v>6042433.5</v>
      </c>
      <c r="AA26">
        <v>6155266.5</v>
      </c>
      <c r="AB26">
        <v>6250767</v>
      </c>
      <c r="AC26">
        <v>6184972.5</v>
      </c>
      <c r="AD26">
        <v>5937287.5</v>
      </c>
      <c r="AE26">
        <v>5837074.5</v>
      </c>
      <c r="AF26">
        <v>5838943</v>
      </c>
    </row>
    <row r="27" spans="1:32" x14ac:dyDescent="0.3">
      <c r="A27" t="s">
        <v>24</v>
      </c>
      <c r="B27" t="s">
        <v>136</v>
      </c>
      <c r="C27" t="s">
        <v>86</v>
      </c>
      <c r="D27" t="s">
        <v>137</v>
      </c>
      <c r="E27" t="s">
        <v>87</v>
      </c>
      <c r="F27">
        <v>8583975</v>
      </c>
      <c r="G27">
        <v>8767397</v>
      </c>
      <c r="H27">
        <v>8624106</v>
      </c>
      <c r="I27">
        <v>8815601</v>
      </c>
      <c r="J27">
        <v>9053868</v>
      </c>
      <c r="K27">
        <v>9360177</v>
      </c>
      <c r="L27">
        <v>9421457</v>
      </c>
      <c r="M27">
        <v>9369680</v>
      </c>
      <c r="N27">
        <v>9423050</v>
      </c>
      <c r="O27">
        <v>9757085</v>
      </c>
      <c r="P27">
        <v>9636321</v>
      </c>
      <c r="Q27">
        <v>9663769</v>
      </c>
      <c r="R27">
        <v>9543403</v>
      </c>
      <c r="S27">
        <v>9359350</v>
      </c>
      <c r="T27">
        <v>9096800</v>
      </c>
      <c r="U27">
        <v>9369696</v>
      </c>
      <c r="V27">
        <v>9264229</v>
      </c>
      <c r="W27">
        <v>9177371</v>
      </c>
      <c r="X27">
        <v>9096098</v>
      </c>
      <c r="Y27">
        <v>8960912</v>
      </c>
      <c r="Z27">
        <v>9220196</v>
      </c>
      <c r="AA27">
        <v>9387991</v>
      </c>
      <c r="AB27">
        <v>9471639</v>
      </c>
      <c r="AC27">
        <v>9147568</v>
      </c>
      <c r="AD27">
        <v>8995995</v>
      </c>
      <c r="AE27">
        <v>8340494.5</v>
      </c>
      <c r="AF27">
        <v>8623849</v>
      </c>
    </row>
    <row r="28" spans="1:32" x14ac:dyDescent="0.3">
      <c r="A28" t="s">
        <v>24</v>
      </c>
      <c r="B28" t="s">
        <v>138</v>
      </c>
      <c r="C28" t="s">
        <v>86</v>
      </c>
      <c r="D28" t="s">
        <v>139</v>
      </c>
      <c r="E28" t="s">
        <v>87</v>
      </c>
      <c r="F28">
        <v>7574147.828125</v>
      </c>
      <c r="G28">
        <v>7730821.859375</v>
      </c>
      <c r="H28">
        <v>7578560.453125</v>
      </c>
      <c r="I28">
        <v>7474662.75</v>
      </c>
      <c r="J28">
        <v>7453410.90625</v>
      </c>
      <c r="K28">
        <v>7606379.40625</v>
      </c>
      <c r="L28">
        <v>7381169.78125</v>
      </c>
      <c r="M28">
        <v>7309015.890625</v>
      </c>
      <c r="N28">
        <v>7320559.734375</v>
      </c>
      <c r="O28">
        <v>7213032.609375</v>
      </c>
      <c r="P28">
        <v>7043742.46875</v>
      </c>
      <c r="Q28">
        <v>7337221.03125</v>
      </c>
      <c r="R28">
        <v>7446213.609375</v>
      </c>
      <c r="S28">
        <v>7184279.578125</v>
      </c>
      <c r="T28">
        <v>7096650.34375</v>
      </c>
      <c r="U28">
        <v>7231706.96875</v>
      </c>
      <c r="V28">
        <v>7156833.875</v>
      </c>
      <c r="W28">
        <v>7308175.375</v>
      </c>
      <c r="X28">
        <v>7393580.734375</v>
      </c>
      <c r="Y28">
        <v>7466909.3125</v>
      </c>
      <c r="Z28">
        <v>7385583.5625</v>
      </c>
      <c r="AA28">
        <v>7351818.890625</v>
      </c>
      <c r="AB28">
        <v>7455699.078125</v>
      </c>
      <c r="AC28">
        <v>7318656.9375</v>
      </c>
      <c r="AD28">
        <v>7230161.265625</v>
      </c>
      <c r="AE28">
        <v>6864566.5625</v>
      </c>
      <c r="AF28">
        <v>7002493.09375</v>
      </c>
    </row>
    <row r="29" spans="1:32" x14ac:dyDescent="0.3">
      <c r="A29" t="s">
        <v>24</v>
      </c>
      <c r="B29" t="s">
        <v>140</v>
      </c>
      <c r="C29" t="s">
        <v>86</v>
      </c>
      <c r="D29" t="s">
        <v>141</v>
      </c>
      <c r="E29" t="s">
        <v>87</v>
      </c>
      <c r="F29">
        <v>5753111.8125</v>
      </c>
      <c r="G29">
        <v>5930921.53125</v>
      </c>
      <c r="H29">
        <v>5823849.53125</v>
      </c>
      <c r="I29">
        <v>5753619.3125</v>
      </c>
      <c r="J29">
        <v>5758998.15625</v>
      </c>
      <c r="K29">
        <v>5850940.71875</v>
      </c>
      <c r="L29">
        <v>5646519.6875</v>
      </c>
      <c r="M29">
        <v>5593752.8125</v>
      </c>
      <c r="N29">
        <v>5624136.1875</v>
      </c>
      <c r="O29">
        <v>5543628.125</v>
      </c>
      <c r="P29">
        <v>5402084.53125</v>
      </c>
      <c r="Q29">
        <v>5599086.1875</v>
      </c>
      <c r="R29">
        <v>5651993.0625</v>
      </c>
      <c r="S29">
        <v>5444742.75</v>
      </c>
      <c r="T29">
        <v>5350296.9375</v>
      </c>
      <c r="U29">
        <v>5417088.28125</v>
      </c>
      <c r="V29">
        <v>5369864.78125</v>
      </c>
      <c r="W29">
        <v>5512394.1875</v>
      </c>
      <c r="X29">
        <v>5577482.4375</v>
      </c>
      <c r="Y29">
        <v>5614613.53125</v>
      </c>
      <c r="Z29">
        <v>5543710.0625</v>
      </c>
      <c r="AA29">
        <v>5497116.625</v>
      </c>
      <c r="AB29">
        <v>5579074.5625</v>
      </c>
      <c r="AC29">
        <v>5470391.71875</v>
      </c>
      <c r="AD29">
        <v>5367578.8125</v>
      </c>
      <c r="AE29">
        <v>5107263.5</v>
      </c>
      <c r="AF29">
        <v>5265783.1875</v>
      </c>
    </row>
    <row r="30" spans="1:32" x14ac:dyDescent="0.3">
      <c r="A30" t="s">
        <v>24</v>
      </c>
      <c r="B30" t="s">
        <v>142</v>
      </c>
      <c r="C30" t="s">
        <v>86</v>
      </c>
      <c r="D30" t="s">
        <v>143</v>
      </c>
      <c r="E30" t="s">
        <v>87</v>
      </c>
      <c r="F30">
        <v>361536.53125</v>
      </c>
      <c r="G30">
        <v>358155.78125</v>
      </c>
      <c r="H30">
        <v>333625.65625</v>
      </c>
      <c r="I30">
        <v>314296.1875</v>
      </c>
      <c r="J30">
        <v>293802.09375</v>
      </c>
      <c r="K30">
        <v>295689.625</v>
      </c>
      <c r="L30">
        <v>284525.5</v>
      </c>
      <c r="M30">
        <v>274386.84375</v>
      </c>
      <c r="N30">
        <v>269413.625</v>
      </c>
      <c r="O30">
        <v>257983.015625</v>
      </c>
      <c r="P30">
        <v>254368.640625</v>
      </c>
      <c r="Q30">
        <v>271876.21875</v>
      </c>
      <c r="R30">
        <v>275586.90625</v>
      </c>
      <c r="S30">
        <v>269079.96875</v>
      </c>
      <c r="T30">
        <v>263439.15625</v>
      </c>
      <c r="U30">
        <v>261914.71875</v>
      </c>
      <c r="V30">
        <v>257668.734375</v>
      </c>
      <c r="W30">
        <v>255175.625</v>
      </c>
      <c r="X30">
        <v>272074.875</v>
      </c>
      <c r="Y30">
        <v>276825.3125</v>
      </c>
      <c r="Z30">
        <v>263320.75</v>
      </c>
      <c r="AA30">
        <v>258711.3125</v>
      </c>
      <c r="AB30">
        <v>264516</v>
      </c>
      <c r="AC30">
        <v>275371.65625</v>
      </c>
      <c r="AD30">
        <v>277032.25</v>
      </c>
      <c r="AE30">
        <v>251482.8125</v>
      </c>
      <c r="AF30">
        <v>248293.421875</v>
      </c>
    </row>
    <row r="31" spans="1:32" x14ac:dyDescent="0.3">
      <c r="A31" t="s">
        <v>24</v>
      </c>
      <c r="B31" t="s">
        <v>144</v>
      </c>
      <c r="C31" t="s">
        <v>86</v>
      </c>
      <c r="D31" t="s">
        <v>145</v>
      </c>
      <c r="E31" t="s">
        <v>87</v>
      </c>
      <c r="F31">
        <v>199862.421875</v>
      </c>
      <c r="G31">
        <v>198650.984375</v>
      </c>
      <c r="H31">
        <v>186230.265625</v>
      </c>
      <c r="I31">
        <v>174791.6875</v>
      </c>
      <c r="J31">
        <v>164208.90625</v>
      </c>
      <c r="K31">
        <v>169842.3125</v>
      </c>
      <c r="L31">
        <v>170276.65625</v>
      </c>
      <c r="M31">
        <v>167238.484375</v>
      </c>
      <c r="N31">
        <v>163971.734375</v>
      </c>
      <c r="O31">
        <v>155882.71875</v>
      </c>
      <c r="P31">
        <v>151666.046875</v>
      </c>
      <c r="Q31">
        <v>156592.125</v>
      </c>
      <c r="R31">
        <v>171540.828125</v>
      </c>
      <c r="S31">
        <v>179107.671875</v>
      </c>
      <c r="T31">
        <v>183149.75</v>
      </c>
      <c r="U31">
        <v>194925.34375</v>
      </c>
      <c r="V31">
        <v>204320.734375</v>
      </c>
      <c r="W31">
        <v>218095.3125</v>
      </c>
      <c r="X31">
        <v>201249.484375</v>
      </c>
      <c r="Y31">
        <v>175322.65625</v>
      </c>
      <c r="Z31">
        <v>171393</v>
      </c>
      <c r="AA31">
        <v>166114.140625</v>
      </c>
      <c r="AB31">
        <v>164018.015625</v>
      </c>
      <c r="AC31">
        <v>161914.5625</v>
      </c>
      <c r="AD31">
        <v>160188.078125</v>
      </c>
      <c r="AE31">
        <v>157263.3125</v>
      </c>
      <c r="AF31">
        <v>157746.171875</v>
      </c>
    </row>
    <row r="32" spans="1:32" x14ac:dyDescent="0.3">
      <c r="A32" t="s">
        <v>24</v>
      </c>
      <c r="B32" t="s">
        <v>146</v>
      </c>
      <c r="C32" t="s">
        <v>86</v>
      </c>
      <c r="D32" t="s">
        <v>147</v>
      </c>
      <c r="E32" t="s">
        <v>87</v>
      </c>
      <c r="F32">
        <v>664562.375</v>
      </c>
      <c r="G32">
        <v>664760.75</v>
      </c>
      <c r="H32">
        <v>642616.75</v>
      </c>
      <c r="I32">
        <v>625297.375</v>
      </c>
      <c r="J32">
        <v>618770.9375</v>
      </c>
      <c r="K32">
        <v>649042.75</v>
      </c>
      <c r="L32">
        <v>644786.125</v>
      </c>
      <c r="M32">
        <v>635964.5</v>
      </c>
      <c r="N32">
        <v>624848.75</v>
      </c>
      <c r="O32">
        <v>617661.5</v>
      </c>
      <c r="P32">
        <v>606538.0625</v>
      </c>
      <c r="Q32">
        <v>649904.875</v>
      </c>
      <c r="R32">
        <v>677973.25</v>
      </c>
      <c r="S32">
        <v>662743.5625</v>
      </c>
      <c r="T32">
        <v>662149.3125</v>
      </c>
      <c r="U32">
        <v>674927.8125</v>
      </c>
      <c r="V32">
        <v>653874.125</v>
      </c>
      <c r="W32">
        <v>648878.9375</v>
      </c>
      <c r="X32">
        <v>663979.125</v>
      </c>
      <c r="Y32">
        <v>692991.0625</v>
      </c>
      <c r="Z32">
        <v>692066.25</v>
      </c>
      <c r="AA32">
        <v>702537.4375</v>
      </c>
      <c r="AB32">
        <v>721112.0625</v>
      </c>
      <c r="AC32">
        <v>706651.25</v>
      </c>
      <c r="AD32">
        <v>755517.875</v>
      </c>
      <c r="AE32">
        <v>710851.625</v>
      </c>
      <c r="AF32">
        <v>699487.875</v>
      </c>
    </row>
    <row r="33" spans="1:32" x14ac:dyDescent="0.3">
      <c r="A33" t="s">
        <v>24</v>
      </c>
      <c r="B33" t="s">
        <v>148</v>
      </c>
      <c r="C33" t="s">
        <v>86</v>
      </c>
      <c r="D33" t="s">
        <v>149</v>
      </c>
      <c r="E33" t="s">
        <v>87</v>
      </c>
      <c r="F33">
        <v>595074.6875</v>
      </c>
      <c r="G33">
        <v>578332.8125</v>
      </c>
      <c r="H33">
        <v>592238.25</v>
      </c>
      <c r="I33">
        <v>606658.1875</v>
      </c>
      <c r="J33">
        <v>617630.8125</v>
      </c>
      <c r="K33">
        <v>640864</v>
      </c>
      <c r="L33">
        <v>635061.8125</v>
      </c>
      <c r="M33">
        <v>637673.25</v>
      </c>
      <c r="N33">
        <v>638189.4375</v>
      </c>
      <c r="O33">
        <v>637877.25</v>
      </c>
      <c r="P33">
        <v>629085.1875</v>
      </c>
      <c r="Q33">
        <v>659761.625</v>
      </c>
      <c r="R33">
        <v>669119.5625</v>
      </c>
      <c r="S33">
        <v>628605.625</v>
      </c>
      <c r="T33">
        <v>637615.1875</v>
      </c>
      <c r="U33">
        <v>682850.8125</v>
      </c>
      <c r="V33">
        <v>671105.5</v>
      </c>
      <c r="W33">
        <v>673631.3125</v>
      </c>
      <c r="X33">
        <v>678794.8125</v>
      </c>
      <c r="Y33">
        <v>707156.75</v>
      </c>
      <c r="Z33">
        <v>715093.5</v>
      </c>
      <c r="AA33">
        <v>727339.375</v>
      </c>
      <c r="AB33">
        <v>726978.4375</v>
      </c>
      <c r="AC33">
        <v>704327.75</v>
      </c>
      <c r="AD33">
        <v>669844.25</v>
      </c>
      <c r="AE33">
        <v>637705.3125</v>
      </c>
      <c r="AF33">
        <v>631182.4375</v>
      </c>
    </row>
    <row r="34" spans="1:32" x14ac:dyDescent="0.3">
      <c r="A34" t="s">
        <v>24</v>
      </c>
      <c r="B34" t="s">
        <v>150</v>
      </c>
      <c r="C34" t="s">
        <v>86</v>
      </c>
      <c r="D34" t="s">
        <v>151</v>
      </c>
      <c r="E34" t="s">
        <v>87</v>
      </c>
      <c r="F34">
        <v>5291343.875</v>
      </c>
      <c r="G34">
        <v>5533711.375</v>
      </c>
      <c r="H34">
        <v>5435561.25</v>
      </c>
      <c r="I34">
        <v>5444115.625</v>
      </c>
      <c r="J34">
        <v>5521215.375</v>
      </c>
      <c r="K34">
        <v>5634909.875</v>
      </c>
      <c r="L34">
        <v>5642994.75</v>
      </c>
      <c r="M34">
        <v>5711971.375</v>
      </c>
      <c r="N34">
        <v>5502485.125</v>
      </c>
      <c r="O34">
        <v>5630232.25</v>
      </c>
      <c r="P34">
        <v>5578255.75</v>
      </c>
      <c r="Q34">
        <v>5712878.25</v>
      </c>
      <c r="R34">
        <v>5695426</v>
      </c>
      <c r="S34">
        <v>5574240.5</v>
      </c>
      <c r="T34">
        <v>5560463.625</v>
      </c>
      <c r="U34">
        <v>5611544.5</v>
      </c>
      <c r="V34">
        <v>5382005.875</v>
      </c>
      <c r="W34">
        <v>5411327.4375</v>
      </c>
      <c r="X34">
        <v>5501342.625</v>
      </c>
      <c r="Y34">
        <v>5440504.375</v>
      </c>
      <c r="Z34">
        <v>5415143.0625</v>
      </c>
      <c r="AA34">
        <v>5534991.4375</v>
      </c>
      <c r="AB34">
        <v>5435543.1875</v>
      </c>
      <c r="AC34">
        <v>5505162.5</v>
      </c>
      <c r="AD34">
        <v>5486575.875</v>
      </c>
      <c r="AE34">
        <v>4728719.25</v>
      </c>
      <c r="AF34">
        <v>4420859.4375</v>
      </c>
    </row>
    <row r="35" spans="1:32" x14ac:dyDescent="0.3">
      <c r="A35" t="s">
        <v>24</v>
      </c>
      <c r="B35" t="s">
        <v>152</v>
      </c>
      <c r="C35" t="s">
        <v>86</v>
      </c>
      <c r="D35" t="s">
        <v>153</v>
      </c>
      <c r="E35" t="s">
        <v>87</v>
      </c>
      <c r="F35">
        <v>2332912.1484375</v>
      </c>
      <c r="G35">
        <v>2348958.203125</v>
      </c>
      <c r="H35">
        <v>2381597.7109375</v>
      </c>
      <c r="I35">
        <v>2475270.8125</v>
      </c>
      <c r="J35">
        <v>2482443.125</v>
      </c>
      <c r="K35">
        <v>2697603.8984375</v>
      </c>
      <c r="L35">
        <v>2765796.984375</v>
      </c>
      <c r="M35">
        <v>2707732.609375</v>
      </c>
      <c r="N35">
        <v>2780569.8125</v>
      </c>
      <c r="O35">
        <v>2771605.171875</v>
      </c>
      <c r="P35">
        <v>2928742.125</v>
      </c>
      <c r="Q35">
        <v>3103434.4765625</v>
      </c>
      <c r="R35">
        <v>3081415.9765625</v>
      </c>
      <c r="S35">
        <v>3131760.171875</v>
      </c>
      <c r="T35">
        <v>3063810.1953125</v>
      </c>
      <c r="U35">
        <v>3169165.6171875</v>
      </c>
      <c r="V35">
        <v>3095716.4296875</v>
      </c>
      <c r="W35">
        <v>2907509.4765625</v>
      </c>
      <c r="X35">
        <v>2911076.015625</v>
      </c>
      <c r="Y35">
        <v>2969743.1484375</v>
      </c>
      <c r="Z35">
        <v>2902074.9296875</v>
      </c>
      <c r="AA35">
        <v>2992602.9765625</v>
      </c>
      <c r="AB35">
        <v>3093046.03125</v>
      </c>
      <c r="AC35">
        <v>3177423.0859375</v>
      </c>
      <c r="AD35">
        <v>3146938.9921875</v>
      </c>
      <c r="AE35">
        <v>3202058.9921875</v>
      </c>
      <c r="AF35">
        <v>3291406.890625</v>
      </c>
    </row>
    <row r="36" spans="1:32" x14ac:dyDescent="0.3">
      <c r="A36" t="s">
        <v>24</v>
      </c>
      <c r="B36" t="s">
        <v>154</v>
      </c>
      <c r="C36" t="s">
        <v>86</v>
      </c>
      <c r="D36" t="s">
        <v>155</v>
      </c>
      <c r="E36" t="s">
        <v>87</v>
      </c>
      <c r="F36">
        <v>717813.8046875</v>
      </c>
      <c r="G36">
        <v>722187.609375</v>
      </c>
      <c r="H36">
        <v>718473.7109375</v>
      </c>
      <c r="I36">
        <v>702556.0625</v>
      </c>
      <c r="J36">
        <v>701382.53125</v>
      </c>
      <c r="K36">
        <v>710310.9921875</v>
      </c>
      <c r="L36">
        <v>704397.046875</v>
      </c>
      <c r="M36">
        <v>692114.828125</v>
      </c>
      <c r="N36">
        <v>693526</v>
      </c>
      <c r="O36">
        <v>667987.765625</v>
      </c>
      <c r="P36">
        <v>668668.03125</v>
      </c>
      <c r="Q36">
        <v>680727.6640625</v>
      </c>
      <c r="R36">
        <v>677027.2578125</v>
      </c>
      <c r="S36">
        <v>683483.609375</v>
      </c>
      <c r="T36">
        <v>667267.2890625</v>
      </c>
      <c r="U36">
        <v>687385.7734375</v>
      </c>
      <c r="V36">
        <v>670170.1484375</v>
      </c>
      <c r="W36">
        <v>599213.1640625</v>
      </c>
      <c r="X36">
        <v>571822.984375</v>
      </c>
      <c r="Y36">
        <v>572738.9921875</v>
      </c>
      <c r="Z36">
        <v>568831.0546875</v>
      </c>
      <c r="AA36">
        <v>570373.3828125</v>
      </c>
      <c r="AB36">
        <v>578966.40625</v>
      </c>
      <c r="AC36">
        <v>589820.4921875</v>
      </c>
      <c r="AD36">
        <v>597620.7734375</v>
      </c>
      <c r="AE36">
        <v>588198.4921875</v>
      </c>
      <c r="AF36">
        <v>583627.953125</v>
      </c>
    </row>
    <row r="37" spans="1:32" x14ac:dyDescent="0.3">
      <c r="A37" t="s">
        <v>24</v>
      </c>
      <c r="B37" t="s">
        <v>156</v>
      </c>
      <c r="C37" t="s">
        <v>86</v>
      </c>
      <c r="D37" t="s">
        <v>157</v>
      </c>
      <c r="E37" t="s">
        <v>87</v>
      </c>
      <c r="F37">
        <v>347479.34375</v>
      </c>
      <c r="G37">
        <v>373811.84375</v>
      </c>
      <c r="H37">
        <v>362623.5</v>
      </c>
      <c r="I37">
        <v>354245.125</v>
      </c>
      <c r="J37">
        <v>364548.09375</v>
      </c>
      <c r="K37">
        <v>441544.65625</v>
      </c>
      <c r="L37">
        <v>447410.3125</v>
      </c>
      <c r="M37">
        <v>395428.28125</v>
      </c>
      <c r="N37">
        <v>374726.4375</v>
      </c>
      <c r="O37">
        <v>346376.15625</v>
      </c>
      <c r="P37">
        <v>394744.59375</v>
      </c>
      <c r="Q37">
        <v>448433.9375</v>
      </c>
      <c r="R37">
        <v>442891.09375</v>
      </c>
      <c r="S37">
        <v>451055.4375</v>
      </c>
      <c r="T37">
        <v>435933.78125</v>
      </c>
      <c r="U37">
        <v>439258.21875</v>
      </c>
      <c r="V37">
        <v>430805.03125</v>
      </c>
      <c r="W37">
        <v>425492.6875</v>
      </c>
      <c r="X37">
        <v>437171.03125</v>
      </c>
      <c r="Y37">
        <v>424892.15625</v>
      </c>
      <c r="Z37">
        <v>413192.75</v>
      </c>
      <c r="AA37">
        <v>449175.84375</v>
      </c>
      <c r="AB37">
        <v>472568.5</v>
      </c>
      <c r="AC37">
        <v>504344.71875</v>
      </c>
      <c r="AD37">
        <v>499045.96875</v>
      </c>
      <c r="AE37">
        <v>529269.75</v>
      </c>
      <c r="AF37">
        <v>575369.9375</v>
      </c>
    </row>
    <row r="38" spans="1:32" x14ac:dyDescent="0.3">
      <c r="A38" t="s">
        <v>24</v>
      </c>
      <c r="B38" t="s">
        <v>158</v>
      </c>
      <c r="C38" t="s">
        <v>86</v>
      </c>
      <c r="D38" t="s">
        <v>159</v>
      </c>
      <c r="E38" t="s">
        <v>87</v>
      </c>
      <c r="F38">
        <v>1267619</v>
      </c>
      <c r="G38">
        <v>1252958.75</v>
      </c>
      <c r="H38">
        <v>1300500.5</v>
      </c>
      <c r="I38">
        <v>1418469.625</v>
      </c>
      <c r="J38">
        <v>1416512.5</v>
      </c>
      <c r="K38">
        <v>1545748.25</v>
      </c>
      <c r="L38">
        <v>1613989.625</v>
      </c>
      <c r="M38">
        <v>1620189.5</v>
      </c>
      <c r="N38">
        <v>1712317.375</v>
      </c>
      <c r="O38">
        <v>1757241.25</v>
      </c>
      <c r="P38">
        <v>1865329.5</v>
      </c>
      <c r="Q38">
        <v>1974272.875</v>
      </c>
      <c r="R38">
        <v>1961497.625</v>
      </c>
      <c r="S38">
        <v>1997221.125</v>
      </c>
      <c r="T38">
        <v>1960609.125</v>
      </c>
      <c r="U38">
        <v>2042521.625</v>
      </c>
      <c r="V38">
        <v>1994741.25</v>
      </c>
      <c r="W38">
        <v>1882803.625</v>
      </c>
      <c r="X38">
        <v>1902082</v>
      </c>
      <c r="Y38">
        <v>1972112</v>
      </c>
      <c r="Z38">
        <v>1920051.125</v>
      </c>
      <c r="AA38">
        <v>1973053.75</v>
      </c>
      <c r="AB38">
        <v>2041511.125</v>
      </c>
      <c r="AC38">
        <v>2083257.875</v>
      </c>
      <c r="AD38">
        <v>2050272.25</v>
      </c>
      <c r="AE38">
        <v>2084590.75</v>
      </c>
      <c r="AF38">
        <v>2132409</v>
      </c>
    </row>
    <row r="39" spans="1:32" x14ac:dyDescent="0.3">
      <c r="A39" t="s">
        <v>24</v>
      </c>
      <c r="B39" t="s">
        <v>160</v>
      </c>
      <c r="C39" t="s">
        <v>86</v>
      </c>
      <c r="D39" t="s">
        <v>161</v>
      </c>
      <c r="E39" t="s">
        <v>87</v>
      </c>
      <c r="F39">
        <v>3502467</v>
      </c>
      <c r="G39">
        <v>3351824.875</v>
      </c>
      <c r="H39">
        <v>3200893.25</v>
      </c>
      <c r="I39">
        <v>3238660.75</v>
      </c>
      <c r="J39">
        <v>3067893.375</v>
      </c>
      <c r="K39">
        <v>3018230.625</v>
      </c>
      <c r="L39">
        <v>2835213</v>
      </c>
      <c r="M39">
        <v>2798260.875</v>
      </c>
      <c r="N39">
        <v>2680320.0625</v>
      </c>
      <c r="O39">
        <v>2584823.75</v>
      </c>
      <c r="P39">
        <v>2568427.125</v>
      </c>
      <c r="Q39">
        <v>2615296.375</v>
      </c>
      <c r="R39">
        <v>2666389.75</v>
      </c>
      <c r="S39">
        <v>2742810.125</v>
      </c>
      <c r="T39">
        <v>2681302</v>
      </c>
      <c r="U39">
        <v>2679866</v>
      </c>
      <c r="V39">
        <v>2660769.25</v>
      </c>
      <c r="W39">
        <v>2685505.25</v>
      </c>
      <c r="X39">
        <v>2532755.875</v>
      </c>
      <c r="Y39">
        <v>2395272.1875</v>
      </c>
      <c r="Z39">
        <v>2463164.6875</v>
      </c>
      <c r="AA39">
        <v>2534854.875</v>
      </c>
      <c r="AB39">
        <v>2593261.875</v>
      </c>
      <c r="AC39">
        <v>2558084.5</v>
      </c>
      <c r="AD39">
        <v>2516703.875</v>
      </c>
      <c r="AE39">
        <v>2542826.25</v>
      </c>
      <c r="AF39">
        <v>2549117.75</v>
      </c>
    </row>
    <row r="40" spans="1:32" x14ac:dyDescent="0.3">
      <c r="A40" t="s">
        <v>24</v>
      </c>
      <c r="B40" t="s">
        <v>162</v>
      </c>
      <c r="C40" t="s">
        <v>86</v>
      </c>
      <c r="D40" t="s">
        <v>163</v>
      </c>
      <c r="E40" t="s">
        <v>87</v>
      </c>
      <c r="F40">
        <v>1151437.875</v>
      </c>
      <c r="G40">
        <v>1156327.875</v>
      </c>
      <c r="H40">
        <v>1139370.375</v>
      </c>
      <c r="I40">
        <v>1186969.875</v>
      </c>
      <c r="J40">
        <v>1155282.375</v>
      </c>
      <c r="K40">
        <v>1194519.25</v>
      </c>
      <c r="L40">
        <v>1167296.375</v>
      </c>
      <c r="M40">
        <v>1205679.25</v>
      </c>
      <c r="N40">
        <v>1179936.875</v>
      </c>
      <c r="O40">
        <v>1201853.625</v>
      </c>
      <c r="P40">
        <v>1219993.875</v>
      </c>
      <c r="Q40">
        <v>1323480</v>
      </c>
      <c r="R40">
        <v>1397043.375</v>
      </c>
      <c r="S40">
        <v>1465556.375</v>
      </c>
      <c r="T40">
        <v>1512477.5</v>
      </c>
      <c r="U40">
        <v>1482568</v>
      </c>
      <c r="V40">
        <v>1458985.75</v>
      </c>
      <c r="W40">
        <v>1542805.25</v>
      </c>
      <c r="X40">
        <v>1481397.75</v>
      </c>
      <c r="Y40">
        <v>1420655.625</v>
      </c>
      <c r="Z40">
        <v>1499423</v>
      </c>
      <c r="AA40">
        <v>1554561.875</v>
      </c>
      <c r="AB40">
        <v>1676854.875</v>
      </c>
      <c r="AC40">
        <v>1691463.5</v>
      </c>
      <c r="AD40">
        <v>1693061.125</v>
      </c>
      <c r="AE40">
        <v>1706673.75</v>
      </c>
      <c r="AF40">
        <v>1771466.125</v>
      </c>
    </row>
    <row r="41" spans="1:32" x14ac:dyDescent="0.3">
      <c r="A41" t="s">
        <v>24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24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24</v>
      </c>
      <c r="B43" t="s">
        <v>168</v>
      </c>
      <c r="C43" t="s">
        <v>86</v>
      </c>
      <c r="D43" t="s">
        <v>169</v>
      </c>
      <c r="E43" t="s">
        <v>87</v>
      </c>
      <c r="F43">
        <v>5263475.578125</v>
      </c>
      <c r="G43">
        <v>5376618.5625</v>
      </c>
      <c r="H43">
        <v>5528110.59375</v>
      </c>
      <c r="I43">
        <v>5623402</v>
      </c>
      <c r="J43">
        <v>5615223.8125</v>
      </c>
      <c r="K43">
        <v>5870580.078125</v>
      </c>
      <c r="L43">
        <v>6011479.546875</v>
      </c>
      <c r="M43">
        <v>6095474.859375</v>
      </c>
      <c r="N43">
        <v>6471242.109375</v>
      </c>
      <c r="O43">
        <v>6913367.65625</v>
      </c>
      <c r="P43">
        <v>7161883.609375</v>
      </c>
      <c r="Q43">
        <v>7583691.6875</v>
      </c>
      <c r="R43">
        <v>7623600.734375</v>
      </c>
      <c r="S43">
        <v>7710642.96875</v>
      </c>
      <c r="T43">
        <v>7168870.75</v>
      </c>
      <c r="U43">
        <v>7078340.15625</v>
      </c>
      <c r="V43">
        <v>7288955.375</v>
      </c>
      <c r="W43">
        <v>8254387.28125</v>
      </c>
      <c r="X43">
        <v>8201915.015625</v>
      </c>
      <c r="Y43">
        <v>8258241.046875</v>
      </c>
      <c r="Z43">
        <v>8490219.1875</v>
      </c>
      <c r="AA43">
        <v>8741756.71875</v>
      </c>
      <c r="AB43">
        <v>8924399.046875</v>
      </c>
      <c r="AC43">
        <v>9067997.828125</v>
      </c>
      <c r="AD43">
        <v>9080385.71875</v>
      </c>
      <c r="AE43">
        <v>8555167.6875</v>
      </c>
      <c r="AF43">
        <v>8984429.109375</v>
      </c>
    </row>
    <row r="44" spans="1:32" x14ac:dyDescent="0.3">
      <c r="A44" t="s">
        <v>24</v>
      </c>
      <c r="B44" t="s">
        <v>170</v>
      </c>
      <c r="C44" t="s">
        <v>86</v>
      </c>
      <c r="D44" t="s">
        <v>171</v>
      </c>
      <c r="E44" t="s">
        <v>87</v>
      </c>
      <c r="F44">
        <v>84924172.643554702</v>
      </c>
      <c r="G44">
        <v>85488720.479492202</v>
      </c>
      <c r="H44">
        <v>84341166.483398393</v>
      </c>
      <c r="I44">
        <v>82834938.524902299</v>
      </c>
      <c r="J44">
        <v>81885661.838867202</v>
      </c>
      <c r="K44">
        <v>83179352.9375</v>
      </c>
      <c r="L44">
        <v>81407044.985351607</v>
      </c>
      <c r="M44">
        <v>79619195.106445298</v>
      </c>
      <c r="N44">
        <v>79175095.103027299</v>
      </c>
      <c r="O44">
        <v>79893127.420410201</v>
      </c>
      <c r="P44">
        <v>79341892.333984405</v>
      </c>
      <c r="Q44">
        <v>81702519.196289107</v>
      </c>
      <c r="R44">
        <v>81524070.154785201</v>
      </c>
      <c r="S44">
        <v>80103299.003906205</v>
      </c>
      <c r="T44">
        <v>75922020.122558594</v>
      </c>
      <c r="U44">
        <v>77107494.8828125</v>
      </c>
      <c r="V44">
        <v>76576413.765136704</v>
      </c>
      <c r="W44">
        <v>77262078.776367202</v>
      </c>
      <c r="X44">
        <v>75935919.349365205</v>
      </c>
      <c r="Y44">
        <v>75725751.995361298</v>
      </c>
      <c r="Z44">
        <v>76253800.023925796</v>
      </c>
      <c r="AA44">
        <v>77033122.608642593</v>
      </c>
      <c r="AB44">
        <v>78092391.947021499</v>
      </c>
      <c r="AC44">
        <v>77877344.641113296</v>
      </c>
      <c r="AD44">
        <v>76864929.818847701</v>
      </c>
      <c r="AE44">
        <v>72636173.971923798</v>
      </c>
      <c r="AF44">
        <v>73391859.095947295</v>
      </c>
    </row>
    <row r="45" spans="1:32" x14ac:dyDescent="0.3">
      <c r="A45" t="s">
        <v>24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24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24</v>
      </c>
      <c r="B47" t="s">
        <v>176</v>
      </c>
      <c r="C47" t="s">
        <v>86</v>
      </c>
      <c r="D47" t="s">
        <v>177</v>
      </c>
      <c r="E47" t="s">
        <v>87</v>
      </c>
      <c r="F47">
        <v>4489511</v>
      </c>
      <c r="G47">
        <v>4269851</v>
      </c>
      <c r="H47">
        <v>4227430.5</v>
      </c>
      <c r="I47">
        <v>4293173</v>
      </c>
      <c r="J47">
        <v>4228775.5</v>
      </c>
      <c r="K47">
        <v>4353160.5</v>
      </c>
      <c r="L47">
        <v>4171074.5</v>
      </c>
      <c r="M47">
        <v>4285549.5</v>
      </c>
      <c r="N47">
        <v>4508453</v>
      </c>
      <c r="O47">
        <v>4659995</v>
      </c>
      <c r="P47">
        <v>4557960</v>
      </c>
      <c r="Q47">
        <v>4523944</v>
      </c>
      <c r="R47">
        <v>4514566</v>
      </c>
      <c r="S47">
        <v>4351431.5</v>
      </c>
      <c r="T47">
        <v>4350995</v>
      </c>
      <c r="U47">
        <v>4276164</v>
      </c>
      <c r="V47">
        <v>4272435.5</v>
      </c>
      <c r="W47">
        <v>4326489.5</v>
      </c>
      <c r="X47">
        <v>4291901</v>
      </c>
      <c r="Y47">
        <v>4303143.5</v>
      </c>
      <c r="Z47">
        <v>4247559</v>
      </c>
      <c r="AA47">
        <v>4198757</v>
      </c>
      <c r="AB47">
        <v>4274220.5</v>
      </c>
      <c r="AC47">
        <v>4167700</v>
      </c>
      <c r="AD47">
        <v>4330755</v>
      </c>
      <c r="AE47">
        <v>4287901</v>
      </c>
      <c r="AF47">
        <v>4291160.5</v>
      </c>
    </row>
    <row r="48" spans="1:32" x14ac:dyDescent="0.3">
      <c r="A48" t="s">
        <v>24</v>
      </c>
      <c r="B48" t="s">
        <v>178</v>
      </c>
      <c r="C48" t="s">
        <v>86</v>
      </c>
      <c r="D48" t="s">
        <v>179</v>
      </c>
      <c r="E48" t="s">
        <v>87</v>
      </c>
      <c r="F48">
        <v>13088584.875</v>
      </c>
      <c r="G48">
        <v>13096984.875</v>
      </c>
      <c r="H48">
        <v>13417741.375</v>
      </c>
      <c r="I48">
        <v>13911975</v>
      </c>
      <c r="J48">
        <v>14010736.75</v>
      </c>
      <c r="K48">
        <v>14512176.875</v>
      </c>
      <c r="L48">
        <v>14490648.375</v>
      </c>
      <c r="M48">
        <v>14881554</v>
      </c>
      <c r="N48">
        <v>15817318.375</v>
      </c>
      <c r="O48">
        <v>16770228.625</v>
      </c>
      <c r="P48">
        <v>17060156</v>
      </c>
      <c r="Q48">
        <v>17596947.25</v>
      </c>
      <c r="R48">
        <v>17332074</v>
      </c>
      <c r="S48">
        <v>17300916.5</v>
      </c>
      <c r="T48">
        <v>17825173.25</v>
      </c>
      <c r="U48">
        <v>18305488.875</v>
      </c>
      <c r="V48">
        <v>18601623.75</v>
      </c>
      <c r="W48">
        <v>19039931.25</v>
      </c>
      <c r="X48">
        <v>19359134.875</v>
      </c>
      <c r="Y48">
        <v>19668042.25</v>
      </c>
      <c r="Z48">
        <v>19972290.25</v>
      </c>
      <c r="AA48">
        <v>20303717.75</v>
      </c>
      <c r="AB48">
        <v>20884974.25</v>
      </c>
      <c r="AC48">
        <v>20811817.75</v>
      </c>
      <c r="AD48">
        <v>21023418.5</v>
      </c>
      <c r="AE48">
        <v>20492622.25</v>
      </c>
      <c r="AF48">
        <v>20964138.75</v>
      </c>
    </row>
    <row r="49" spans="1:32" x14ac:dyDescent="0.3">
      <c r="A49" t="s">
        <v>24</v>
      </c>
      <c r="B49" t="s">
        <v>180</v>
      </c>
      <c r="C49" t="s">
        <v>86</v>
      </c>
      <c r="D49" t="s">
        <v>181</v>
      </c>
      <c r="E49" t="s">
        <v>87</v>
      </c>
      <c r="F49">
        <v>3515489.75</v>
      </c>
      <c r="G49">
        <v>3440502.75</v>
      </c>
      <c r="H49">
        <v>3525072.75</v>
      </c>
      <c r="I49">
        <v>3619789</v>
      </c>
      <c r="J49">
        <v>3591816.5</v>
      </c>
      <c r="K49">
        <v>3539997.5</v>
      </c>
      <c r="L49">
        <v>3452194.5</v>
      </c>
      <c r="M49">
        <v>3405155.25</v>
      </c>
      <c r="N49">
        <v>3610588.5</v>
      </c>
      <c r="O49">
        <v>3829902.75</v>
      </c>
      <c r="P49">
        <v>3819479.75</v>
      </c>
      <c r="Q49">
        <v>3871046.25</v>
      </c>
      <c r="R49">
        <v>3736618.25</v>
      </c>
      <c r="S49">
        <v>3784949.5</v>
      </c>
      <c r="T49">
        <v>3888602.75</v>
      </c>
      <c r="U49">
        <v>3972606.25</v>
      </c>
      <c r="V49">
        <v>3967542.25</v>
      </c>
      <c r="W49">
        <v>3906640.5</v>
      </c>
      <c r="X49">
        <v>3834385.25</v>
      </c>
      <c r="Y49">
        <v>3862503</v>
      </c>
      <c r="Z49">
        <v>3949944.25</v>
      </c>
      <c r="AA49">
        <v>4035732.5</v>
      </c>
      <c r="AB49">
        <v>4109985.25</v>
      </c>
      <c r="AC49">
        <v>4114737.5</v>
      </c>
      <c r="AD49">
        <v>4040361.75</v>
      </c>
      <c r="AE49">
        <v>3911233.25</v>
      </c>
      <c r="AF49">
        <v>3988595.75</v>
      </c>
    </row>
    <row r="50" spans="1:32" x14ac:dyDescent="0.3">
      <c r="A50" t="s">
        <v>24</v>
      </c>
      <c r="B50" t="s">
        <v>182</v>
      </c>
      <c r="C50" t="s">
        <v>86</v>
      </c>
      <c r="D50" t="s">
        <v>183</v>
      </c>
      <c r="E50" t="s">
        <v>87</v>
      </c>
      <c r="F50">
        <v>5083584.125</v>
      </c>
      <c r="G50">
        <v>5386631.125</v>
      </c>
      <c r="H50">
        <v>5665238.125</v>
      </c>
      <c r="I50">
        <v>5999013</v>
      </c>
      <c r="J50">
        <v>6190144.75</v>
      </c>
      <c r="K50">
        <v>6619018.875</v>
      </c>
      <c r="L50">
        <v>6867379.375</v>
      </c>
      <c r="M50">
        <v>7190849.25</v>
      </c>
      <c r="N50">
        <v>7698276.875</v>
      </c>
      <c r="O50">
        <v>8280330.875</v>
      </c>
      <c r="P50">
        <v>8682716.25</v>
      </c>
      <c r="Q50">
        <v>9201957</v>
      </c>
      <c r="R50">
        <v>9080889.75</v>
      </c>
      <c r="S50">
        <v>9164535.5</v>
      </c>
      <c r="T50">
        <v>9585575.5</v>
      </c>
      <c r="U50">
        <v>10056718.625</v>
      </c>
      <c r="V50">
        <v>10361646</v>
      </c>
      <c r="W50">
        <v>10806801.25</v>
      </c>
      <c r="X50">
        <v>11232848.625</v>
      </c>
      <c r="Y50">
        <v>11502395.75</v>
      </c>
      <c r="Z50">
        <v>11774787</v>
      </c>
      <c r="AA50">
        <v>12069228.25</v>
      </c>
      <c r="AB50">
        <v>12500768.5</v>
      </c>
      <c r="AC50">
        <v>12529380.25</v>
      </c>
      <c r="AD50">
        <v>12652301.75</v>
      </c>
      <c r="AE50">
        <v>12293488</v>
      </c>
      <c r="AF50">
        <v>12684382.5</v>
      </c>
    </row>
    <row r="51" spans="1:32" x14ac:dyDescent="0.3">
      <c r="A51" t="s">
        <v>24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24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24</v>
      </c>
      <c r="B53" t="s">
        <v>188</v>
      </c>
      <c r="C53" t="s">
        <v>86</v>
      </c>
      <c r="D53" t="s">
        <v>189</v>
      </c>
      <c r="E53" t="s">
        <v>87</v>
      </c>
      <c r="F53">
        <v>1520290.125</v>
      </c>
      <c r="G53">
        <v>1580445.125</v>
      </c>
      <c r="H53">
        <v>1491097.375</v>
      </c>
      <c r="I53">
        <v>1408594.5</v>
      </c>
      <c r="J53">
        <v>1375436.25</v>
      </c>
      <c r="K53">
        <v>1385416.25</v>
      </c>
      <c r="L53">
        <v>1350717.5</v>
      </c>
      <c r="M53">
        <v>1379454</v>
      </c>
      <c r="N53">
        <v>1366263.25</v>
      </c>
      <c r="O53">
        <v>1382552.375</v>
      </c>
      <c r="P53">
        <v>1309862.25</v>
      </c>
      <c r="Q53">
        <v>1343816.375</v>
      </c>
      <c r="R53">
        <v>1289088.375</v>
      </c>
      <c r="S53">
        <v>1310648.875</v>
      </c>
      <c r="T53">
        <v>1358794.5</v>
      </c>
      <c r="U53">
        <v>1369157.375</v>
      </c>
      <c r="V53">
        <v>1316074.25</v>
      </c>
      <c r="W53">
        <v>1299891.25</v>
      </c>
      <c r="X53">
        <v>1245072.75</v>
      </c>
      <c r="Y53">
        <v>1217972</v>
      </c>
      <c r="Z53">
        <v>1204939.75</v>
      </c>
      <c r="AA53">
        <v>1246901.875</v>
      </c>
      <c r="AB53">
        <v>1296981.25</v>
      </c>
      <c r="AC53">
        <v>1311850.125</v>
      </c>
      <c r="AD53">
        <v>1313802.5</v>
      </c>
      <c r="AE53">
        <v>1200658</v>
      </c>
      <c r="AF53">
        <v>1191130.625</v>
      </c>
    </row>
    <row r="54" spans="1:32" x14ac:dyDescent="0.3">
      <c r="A54" t="s">
        <v>24</v>
      </c>
      <c r="B54" t="s">
        <v>190</v>
      </c>
      <c r="C54" t="s">
        <v>86</v>
      </c>
      <c r="D54" t="s">
        <v>191</v>
      </c>
      <c r="E54" t="s">
        <v>87</v>
      </c>
      <c r="F54">
        <v>5508495.75</v>
      </c>
      <c r="G54">
        <v>5514310.375</v>
      </c>
      <c r="H54">
        <v>5295533.6875</v>
      </c>
      <c r="I54">
        <v>5155693.8125</v>
      </c>
      <c r="J54">
        <v>4975543.6875</v>
      </c>
      <c r="K54">
        <v>5156616.5</v>
      </c>
      <c r="L54">
        <v>5263628</v>
      </c>
      <c r="M54">
        <v>5301604.625</v>
      </c>
      <c r="N54">
        <v>5279364.375</v>
      </c>
      <c r="O54">
        <v>5378998.125</v>
      </c>
      <c r="P54">
        <v>5421382.375</v>
      </c>
      <c r="Q54">
        <v>5802727.5</v>
      </c>
      <c r="R54">
        <v>5577344.25</v>
      </c>
      <c r="S54">
        <v>5538848</v>
      </c>
      <c r="T54">
        <v>5625285.375</v>
      </c>
      <c r="U54">
        <v>5739300.625</v>
      </c>
      <c r="V54">
        <v>5637219.875</v>
      </c>
      <c r="W54">
        <v>5560708</v>
      </c>
      <c r="X54">
        <v>5387527.75</v>
      </c>
      <c r="Y54">
        <v>5264258</v>
      </c>
      <c r="Z54">
        <v>5179378.625</v>
      </c>
      <c r="AA54">
        <v>5191074.375</v>
      </c>
      <c r="AB54">
        <v>5301726.375</v>
      </c>
      <c r="AC54">
        <v>5354091.75</v>
      </c>
      <c r="AD54">
        <v>5419141.125</v>
      </c>
      <c r="AE54">
        <v>5068382.75</v>
      </c>
      <c r="AF54">
        <v>5056870</v>
      </c>
    </row>
    <row r="55" spans="1:32" x14ac:dyDescent="0.3">
      <c r="A55" t="s">
        <v>24</v>
      </c>
      <c r="B55" t="s">
        <v>192</v>
      </c>
      <c r="C55" t="s">
        <v>86</v>
      </c>
      <c r="D55" t="s">
        <v>193</v>
      </c>
      <c r="E55" t="s">
        <v>87</v>
      </c>
      <c r="F55">
        <v>3988205.625</v>
      </c>
      <c r="G55">
        <v>3933865.25</v>
      </c>
      <c r="H55">
        <v>3804436.3125</v>
      </c>
      <c r="I55">
        <v>3747099.3125</v>
      </c>
      <c r="J55">
        <v>3600107.4375</v>
      </c>
      <c r="K55">
        <v>3771200.25</v>
      </c>
      <c r="L55">
        <v>3912910.5</v>
      </c>
      <c r="M55">
        <v>3922150.625</v>
      </c>
      <c r="N55">
        <v>3913101.125</v>
      </c>
      <c r="O55">
        <v>3996445.75</v>
      </c>
      <c r="P55">
        <v>4111520.125</v>
      </c>
      <c r="Q55">
        <v>4458911.125</v>
      </c>
      <c r="R55">
        <v>4288255.875</v>
      </c>
      <c r="S55">
        <v>4228199.125</v>
      </c>
      <c r="T55">
        <v>4266490.875</v>
      </c>
      <c r="U55">
        <v>4370143.25</v>
      </c>
      <c r="V55">
        <v>4321145.625</v>
      </c>
      <c r="W55">
        <v>4260816.75</v>
      </c>
      <c r="X55">
        <v>4142455</v>
      </c>
      <c r="Y55">
        <v>4046286</v>
      </c>
      <c r="Z55">
        <v>3974438.875</v>
      </c>
      <c r="AA55">
        <v>3944172.5</v>
      </c>
      <c r="AB55">
        <v>4004745.125</v>
      </c>
      <c r="AC55">
        <v>4042241.625</v>
      </c>
      <c r="AD55">
        <v>4105338.625</v>
      </c>
      <c r="AE55">
        <v>3867724.75</v>
      </c>
      <c r="AF55">
        <v>3865739.375</v>
      </c>
    </row>
    <row r="56" spans="1:32" x14ac:dyDescent="0.3">
      <c r="A56" t="s">
        <v>24</v>
      </c>
      <c r="B56" t="s">
        <v>194</v>
      </c>
      <c r="C56" t="s">
        <v>86</v>
      </c>
      <c r="D56" t="s">
        <v>195</v>
      </c>
      <c r="E56" t="s">
        <v>87</v>
      </c>
      <c r="F56">
        <v>23503.19921875</v>
      </c>
      <c r="G56">
        <v>23239.47265625</v>
      </c>
      <c r="H56">
        <v>22817.21875</v>
      </c>
      <c r="I56">
        <v>22559.27734375</v>
      </c>
      <c r="J56">
        <v>21770.388671875</v>
      </c>
      <c r="K56">
        <v>21233.16015625</v>
      </c>
      <c r="L56">
        <v>20524.13671875</v>
      </c>
      <c r="M56">
        <v>18817.921875</v>
      </c>
      <c r="N56">
        <v>17912.48046875</v>
      </c>
      <c r="O56">
        <v>16790.0234375</v>
      </c>
      <c r="P56">
        <v>17082.884765625</v>
      </c>
      <c r="Q56">
        <v>17756.033203125</v>
      </c>
      <c r="R56">
        <v>16995.59765625</v>
      </c>
      <c r="S56">
        <v>16707.068359375</v>
      </c>
      <c r="T56">
        <v>16639.55859375</v>
      </c>
      <c r="U56">
        <v>17186.8125</v>
      </c>
      <c r="V56">
        <v>17399.798828125</v>
      </c>
      <c r="W56">
        <v>17633.919921875</v>
      </c>
      <c r="X56">
        <v>18204.123046875</v>
      </c>
      <c r="Y56">
        <v>18841.857421875</v>
      </c>
      <c r="Z56">
        <v>17490.234375</v>
      </c>
      <c r="AA56">
        <v>16289.89453125</v>
      </c>
      <c r="AB56">
        <v>16404.7421875</v>
      </c>
      <c r="AC56">
        <v>16474.509765625</v>
      </c>
      <c r="AD56">
        <v>16181.33984375</v>
      </c>
      <c r="AE56">
        <v>15317.69140625</v>
      </c>
      <c r="AF56">
        <v>15499.6416015625</v>
      </c>
    </row>
    <row r="57" spans="1:32" x14ac:dyDescent="0.3">
      <c r="A57" t="s">
        <v>24</v>
      </c>
      <c r="B57" t="s">
        <v>196</v>
      </c>
      <c r="C57" t="s">
        <v>86</v>
      </c>
      <c r="D57" t="s">
        <v>197</v>
      </c>
      <c r="E57" t="s">
        <v>87</v>
      </c>
      <c r="F57">
        <v>99187698.592773393</v>
      </c>
      <c r="G57">
        <v>99765272.702148393</v>
      </c>
      <c r="H57">
        <v>98921095.452148393</v>
      </c>
      <c r="I57">
        <v>97956442.677246094</v>
      </c>
      <c r="J57">
        <v>97073451.352539107</v>
      </c>
      <c r="K57">
        <v>98907282.222656205</v>
      </c>
      <c r="L57">
        <v>97085513.872070298</v>
      </c>
      <c r="M57">
        <v>95725246.278320298</v>
      </c>
      <c r="N57">
        <v>96190262.833496094</v>
      </c>
      <c r="O57">
        <v>97881999.693847701</v>
      </c>
      <c r="P57">
        <v>97639125.09375</v>
      </c>
      <c r="Q57">
        <v>100640702.47949199</v>
      </c>
      <c r="R57">
        <v>100270183.127441</v>
      </c>
      <c r="S57">
        <v>98886478.947265595</v>
      </c>
      <c r="T57">
        <v>95276310.431152299</v>
      </c>
      <c r="U57">
        <v>96912738.5703125</v>
      </c>
      <c r="V57">
        <v>96654423.063964799</v>
      </c>
      <c r="W57">
        <v>97862449.196289107</v>
      </c>
      <c r="X57">
        <v>96794656.097412094</v>
      </c>
      <c r="Y57">
        <v>96833291.727783203</v>
      </c>
      <c r="Z57">
        <v>97743003.508300796</v>
      </c>
      <c r="AA57">
        <v>98907692.128173798</v>
      </c>
      <c r="AB57">
        <v>100670625.814209</v>
      </c>
      <c r="AC57">
        <v>100397100.400879</v>
      </c>
      <c r="AD57">
        <v>99597590.783691406</v>
      </c>
      <c r="AE57">
        <v>94850787.663330093</v>
      </c>
      <c r="AF57">
        <v>96142963.612548798</v>
      </c>
    </row>
    <row r="58" spans="1:32" x14ac:dyDescent="0.3">
      <c r="A58" t="s">
        <v>24</v>
      </c>
      <c r="B58" t="s">
        <v>198</v>
      </c>
      <c r="C58" t="s">
        <v>86</v>
      </c>
      <c r="D58" t="s">
        <v>199</v>
      </c>
      <c r="E58" t="s">
        <v>87</v>
      </c>
      <c r="F58">
        <v>99164195.393554702</v>
      </c>
      <c r="G58">
        <v>99742033.229492202</v>
      </c>
      <c r="H58">
        <v>98898278.233398393</v>
      </c>
      <c r="I58">
        <v>97933883.399902299</v>
      </c>
      <c r="J58">
        <v>97051680.963867202</v>
      </c>
      <c r="K58">
        <v>98886049.0625</v>
      </c>
      <c r="L58">
        <v>97064989.735351607</v>
      </c>
      <c r="M58">
        <v>95706428.356445298</v>
      </c>
      <c r="N58">
        <v>96172350.353027299</v>
      </c>
      <c r="O58">
        <v>97865209.670410201</v>
      </c>
      <c r="P58">
        <v>97622042.208984405</v>
      </c>
      <c r="Q58">
        <v>100622946.446289</v>
      </c>
      <c r="R58">
        <v>100253187.52978501</v>
      </c>
      <c r="S58">
        <v>98869771.878906205</v>
      </c>
      <c r="T58">
        <v>95259670.872558594</v>
      </c>
      <c r="U58">
        <v>96895551.7578125</v>
      </c>
      <c r="V58">
        <v>96637023.265136704</v>
      </c>
      <c r="W58">
        <v>97844815.276367202</v>
      </c>
      <c r="X58">
        <v>96776451.974365205</v>
      </c>
      <c r="Y58">
        <v>96814449.870361298</v>
      </c>
      <c r="Z58">
        <v>97725513.273925796</v>
      </c>
      <c r="AA58">
        <v>98891402.233642593</v>
      </c>
      <c r="AB58">
        <v>100654221.07202099</v>
      </c>
      <c r="AC58">
        <v>100380625.891113</v>
      </c>
      <c r="AD58">
        <v>99581409.443847701</v>
      </c>
      <c r="AE58">
        <v>94835469.971923798</v>
      </c>
      <c r="AF58">
        <v>96127463.970947295</v>
      </c>
    </row>
    <row r="59" spans="1:32" x14ac:dyDescent="0.3">
      <c r="A59" t="s">
        <v>24</v>
      </c>
      <c r="B59" t="s">
        <v>200</v>
      </c>
      <c r="C59" t="s">
        <v>86</v>
      </c>
      <c r="D59" t="s">
        <v>201</v>
      </c>
      <c r="E59" t="s">
        <v>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27</v>
      </c>
      <c r="B2" t="s">
        <v>84</v>
      </c>
      <c r="C2" t="s">
        <v>86</v>
      </c>
      <c r="D2" t="s">
        <v>85</v>
      </c>
      <c r="E2" t="s">
        <v>87</v>
      </c>
      <c r="F2">
        <v>101.900377958673</v>
      </c>
      <c r="G2">
        <v>98.845555461159705</v>
      </c>
      <c r="H2">
        <v>94.581705599490107</v>
      </c>
      <c r="I2">
        <v>96.380152856391803</v>
      </c>
      <c r="J2">
        <v>93.730310393340304</v>
      </c>
      <c r="K2">
        <v>85.413983217588907</v>
      </c>
      <c r="L2">
        <v>82.755476113237506</v>
      </c>
      <c r="M2">
        <v>77.669768091492401</v>
      </c>
      <c r="N2">
        <v>81.086432628970996</v>
      </c>
      <c r="O2">
        <v>86.455119891246596</v>
      </c>
      <c r="P2">
        <v>79.003891743448605</v>
      </c>
      <c r="Q2">
        <v>78.4207800276169</v>
      </c>
      <c r="R2">
        <v>72.607813227077898</v>
      </c>
      <c r="S2">
        <v>66.284761879285497</v>
      </c>
      <c r="T2">
        <v>69.026715345301398</v>
      </c>
      <c r="U2">
        <v>75.851371416118397</v>
      </c>
      <c r="V2">
        <v>71.9363084371534</v>
      </c>
      <c r="W2">
        <v>75.845369166797397</v>
      </c>
      <c r="X2">
        <v>74.428947035569195</v>
      </c>
      <c r="Y2">
        <v>75.313994640629403</v>
      </c>
      <c r="Z2">
        <v>84.175044576724105</v>
      </c>
      <c r="AA2">
        <v>99.943678053733194</v>
      </c>
      <c r="AB2">
        <v>101.047669679219</v>
      </c>
      <c r="AC2">
        <v>100.88952325564399</v>
      </c>
      <c r="AD2">
        <v>96.7036146038173</v>
      </c>
      <c r="AE2">
        <v>100</v>
      </c>
      <c r="AF2">
        <v>91.884017755800599</v>
      </c>
    </row>
    <row r="3" spans="1:32" x14ac:dyDescent="0.3">
      <c r="A3" t="s">
        <v>27</v>
      </c>
      <c r="B3" t="s">
        <v>88</v>
      </c>
      <c r="C3" t="s">
        <v>86</v>
      </c>
      <c r="D3" t="s">
        <v>89</v>
      </c>
      <c r="E3" t="s">
        <v>87</v>
      </c>
      <c r="F3">
        <v>78.673305667231205</v>
      </c>
      <c r="G3">
        <v>73.518519750942801</v>
      </c>
      <c r="H3">
        <v>71.394500931450395</v>
      </c>
      <c r="I3">
        <v>68.775515359624904</v>
      </c>
      <c r="J3">
        <v>61.007928200106797</v>
      </c>
      <c r="K3">
        <v>53.419917426638598</v>
      </c>
      <c r="L3">
        <v>50.069312749155799</v>
      </c>
      <c r="M3">
        <v>47.003433626385402</v>
      </c>
      <c r="N3">
        <v>45.525479991604001</v>
      </c>
      <c r="O3">
        <v>45.584493703060502</v>
      </c>
      <c r="P3">
        <v>44.755573748176197</v>
      </c>
      <c r="Q3">
        <v>45.154197717077203</v>
      </c>
      <c r="R3">
        <v>48.535290746437099</v>
      </c>
      <c r="S3">
        <v>49.934383878603299</v>
      </c>
      <c r="T3">
        <v>73.026972513150895</v>
      </c>
      <c r="U3">
        <v>74.322611964059305</v>
      </c>
      <c r="V3">
        <v>75.122904232788997</v>
      </c>
      <c r="W3">
        <v>77.996550292782302</v>
      </c>
      <c r="X3">
        <v>79.742862217441797</v>
      </c>
      <c r="Y3">
        <v>86.641451019983506</v>
      </c>
      <c r="Z3">
        <v>93.622639268252897</v>
      </c>
      <c r="AA3">
        <v>90.662995345781695</v>
      </c>
      <c r="AB3">
        <v>88.998607246299997</v>
      </c>
      <c r="AC3">
        <v>90.438545634249607</v>
      </c>
      <c r="AD3">
        <v>95.264712886418494</v>
      </c>
      <c r="AE3">
        <v>100</v>
      </c>
      <c r="AF3">
        <v>101.50356004573599</v>
      </c>
    </row>
    <row r="4" spans="1:32" x14ac:dyDescent="0.3">
      <c r="A4" t="s">
        <v>27</v>
      </c>
      <c r="B4" t="s">
        <v>90</v>
      </c>
      <c r="C4" t="s">
        <v>86</v>
      </c>
      <c r="D4" t="s">
        <v>91</v>
      </c>
      <c r="E4" t="s">
        <v>87</v>
      </c>
      <c r="F4">
        <v>139.96390615115001</v>
      </c>
      <c r="G4">
        <v>137.507356414763</v>
      </c>
      <c r="H4">
        <v>136.28578578219299</v>
      </c>
      <c r="I4">
        <v>137.13312941169201</v>
      </c>
      <c r="J4">
        <v>133.62944789206799</v>
      </c>
      <c r="K4">
        <v>129.11941781862299</v>
      </c>
      <c r="L4">
        <v>127.19616542655601</v>
      </c>
      <c r="M4">
        <v>124.78033039154499</v>
      </c>
      <c r="N4">
        <v>120.61734993877501</v>
      </c>
      <c r="O4">
        <v>116.745936867504</v>
      </c>
      <c r="P4">
        <v>113.54777556948</v>
      </c>
      <c r="Q4">
        <v>109.781505881133</v>
      </c>
      <c r="R4">
        <v>107.525226196981</v>
      </c>
      <c r="S4">
        <v>102.59873210405701</v>
      </c>
      <c r="T4">
        <v>104.928776192279</v>
      </c>
      <c r="U4">
        <v>100.40973471135899</v>
      </c>
      <c r="V4">
        <v>95.806586393503494</v>
      </c>
      <c r="W4">
        <v>95.040265969344603</v>
      </c>
      <c r="X4">
        <v>95.478247331918894</v>
      </c>
      <c r="Y4">
        <v>96.494324831922199</v>
      </c>
      <c r="Z4">
        <v>101.59036077022201</v>
      </c>
      <c r="AA4">
        <v>101.81088327647799</v>
      </c>
      <c r="AB4">
        <v>100.058047642326</v>
      </c>
      <c r="AC4">
        <v>98.265066399907695</v>
      </c>
      <c r="AD4">
        <v>98.380095369087201</v>
      </c>
      <c r="AE4">
        <v>100</v>
      </c>
      <c r="AF4">
        <v>97.047186377088593</v>
      </c>
    </row>
    <row r="5" spans="1:32" x14ac:dyDescent="0.3">
      <c r="A5" t="s">
        <v>27</v>
      </c>
      <c r="B5" t="s">
        <v>92</v>
      </c>
      <c r="C5" t="s">
        <v>86</v>
      </c>
      <c r="D5" t="s">
        <v>93</v>
      </c>
      <c r="E5" t="s">
        <v>87</v>
      </c>
      <c r="F5">
        <v>87.445216374047206</v>
      </c>
      <c r="G5">
        <v>86.173859540710495</v>
      </c>
      <c r="H5">
        <v>88.708271812706897</v>
      </c>
      <c r="I5">
        <v>90.2831918652262</v>
      </c>
      <c r="J5">
        <v>94.771495891438605</v>
      </c>
      <c r="K5">
        <v>96.171425841261794</v>
      </c>
      <c r="L5">
        <v>94.7065775670075</v>
      </c>
      <c r="M5">
        <v>94.313488780160696</v>
      </c>
      <c r="N5">
        <v>92.911411727369796</v>
      </c>
      <c r="O5">
        <v>91.868875131428297</v>
      </c>
      <c r="P5">
        <v>89.709635048771801</v>
      </c>
      <c r="Q5">
        <v>87.928975935046296</v>
      </c>
      <c r="R5">
        <v>86.7271684209136</v>
      </c>
      <c r="S5">
        <v>90.053160821094707</v>
      </c>
      <c r="T5">
        <v>96.098294935507596</v>
      </c>
      <c r="U5">
        <v>94.560424224127701</v>
      </c>
      <c r="V5">
        <v>95.622941567906494</v>
      </c>
      <c r="W5">
        <v>95.158446143354098</v>
      </c>
      <c r="X5">
        <v>92.929127650160595</v>
      </c>
      <c r="Y5">
        <v>93.928911729565499</v>
      </c>
      <c r="Z5">
        <v>97.419325059243704</v>
      </c>
      <c r="AA5">
        <v>99.314768381688097</v>
      </c>
      <c r="AB5">
        <v>97.108241595336807</v>
      </c>
      <c r="AC5">
        <v>96.560378139016805</v>
      </c>
      <c r="AD5">
        <v>97.863144247189496</v>
      </c>
      <c r="AE5">
        <v>100</v>
      </c>
      <c r="AF5">
        <v>98.343883229464097</v>
      </c>
    </row>
    <row r="6" spans="1:32" x14ac:dyDescent="0.3">
      <c r="A6" t="s">
        <v>27</v>
      </c>
      <c r="B6" t="s">
        <v>94</v>
      </c>
      <c r="C6" t="s">
        <v>86</v>
      </c>
      <c r="D6" t="s">
        <v>95</v>
      </c>
      <c r="E6" t="s">
        <v>87</v>
      </c>
      <c r="F6">
        <v>96.728563619086501</v>
      </c>
      <c r="G6">
        <v>95.495263744286007</v>
      </c>
      <c r="H6">
        <v>96.253890965982706</v>
      </c>
      <c r="I6">
        <v>99.254042746696797</v>
      </c>
      <c r="J6">
        <v>101.813934807281</v>
      </c>
      <c r="K6">
        <v>101.029939268402</v>
      </c>
      <c r="L6">
        <v>99.494742289198001</v>
      </c>
      <c r="M6">
        <v>98.645735090383695</v>
      </c>
      <c r="N6">
        <v>94.994595347493799</v>
      </c>
      <c r="O6">
        <v>93.122001669621795</v>
      </c>
      <c r="P6">
        <v>91.590059781966502</v>
      </c>
      <c r="Q6">
        <v>89.882289703901506</v>
      </c>
      <c r="R6">
        <v>89.583475594837196</v>
      </c>
      <c r="S6">
        <v>87.559243162730894</v>
      </c>
      <c r="T6">
        <v>93.150656168278005</v>
      </c>
      <c r="U6">
        <v>89.539052279992106</v>
      </c>
      <c r="V6">
        <v>86.9008332378597</v>
      </c>
      <c r="W6">
        <v>89.871134303072793</v>
      </c>
      <c r="X6">
        <v>89.100817674156104</v>
      </c>
      <c r="Y6">
        <v>91.369634148787597</v>
      </c>
      <c r="Z6">
        <v>95.011124163724006</v>
      </c>
      <c r="AA6">
        <v>99.109104927751204</v>
      </c>
      <c r="AB6">
        <v>96.350721779797396</v>
      </c>
      <c r="AC6">
        <v>94.697982985575507</v>
      </c>
      <c r="AD6">
        <v>96.694372931224706</v>
      </c>
      <c r="AE6">
        <v>100</v>
      </c>
      <c r="AF6">
        <v>97.713793163019503</v>
      </c>
    </row>
    <row r="7" spans="1:32" x14ac:dyDescent="0.3">
      <c r="A7" t="s">
        <v>27</v>
      </c>
      <c r="B7" t="s">
        <v>96</v>
      </c>
      <c r="C7" t="s">
        <v>86</v>
      </c>
      <c r="D7" t="s">
        <v>97</v>
      </c>
      <c r="E7" t="s">
        <v>87</v>
      </c>
      <c r="F7">
        <v>98.203511422490905</v>
      </c>
      <c r="G7">
        <v>98.6714140804675</v>
      </c>
      <c r="H7">
        <v>100.76520602468401</v>
      </c>
      <c r="I7">
        <v>99.800128577707696</v>
      </c>
      <c r="J7">
        <v>101.702976198512</v>
      </c>
      <c r="K7">
        <v>102.37308560397599</v>
      </c>
      <c r="L7">
        <v>102.09756738931399</v>
      </c>
      <c r="M7">
        <v>101.00731210481899</v>
      </c>
      <c r="N7">
        <v>101.081883267226</v>
      </c>
      <c r="O7">
        <v>100.251206513428</v>
      </c>
      <c r="P7">
        <v>96.837516283704502</v>
      </c>
      <c r="Q7">
        <v>93.080178106629702</v>
      </c>
      <c r="R7">
        <v>91.297783248430804</v>
      </c>
      <c r="S7">
        <v>90.530388006317594</v>
      </c>
      <c r="T7">
        <v>96.104885194747098</v>
      </c>
      <c r="U7">
        <v>91.663222138640705</v>
      </c>
      <c r="V7">
        <v>89.844093187020704</v>
      </c>
      <c r="W7">
        <v>89.426168395906501</v>
      </c>
      <c r="X7">
        <v>87.340355030813598</v>
      </c>
      <c r="Y7">
        <v>88.668704175679395</v>
      </c>
      <c r="Z7">
        <v>90.234627172739593</v>
      </c>
      <c r="AA7">
        <v>93.365751301614395</v>
      </c>
      <c r="AB7">
        <v>90.900922292599006</v>
      </c>
      <c r="AC7">
        <v>89.667210003894098</v>
      </c>
      <c r="AD7">
        <v>94.329412962716006</v>
      </c>
      <c r="AE7">
        <v>100</v>
      </c>
      <c r="AF7">
        <v>104.44999055333101</v>
      </c>
    </row>
    <row r="8" spans="1:32" x14ac:dyDescent="0.3">
      <c r="A8" t="s">
        <v>27</v>
      </c>
      <c r="B8" t="s">
        <v>98</v>
      </c>
      <c r="C8" t="s">
        <v>86</v>
      </c>
      <c r="D8" t="s">
        <v>99</v>
      </c>
      <c r="E8" t="s">
        <v>87</v>
      </c>
      <c r="F8">
        <v>53.530362091078999</v>
      </c>
      <c r="G8">
        <v>51.537416182655903</v>
      </c>
      <c r="H8">
        <v>52.964630238171097</v>
      </c>
      <c r="I8">
        <v>57.925699362950098</v>
      </c>
      <c r="J8">
        <v>61.567885495130703</v>
      </c>
      <c r="K8">
        <v>59.107656798907698</v>
      </c>
      <c r="L8">
        <v>63.752380163601799</v>
      </c>
      <c r="M8">
        <v>73.163262353458094</v>
      </c>
      <c r="N8">
        <v>76.881335614868803</v>
      </c>
      <c r="O8">
        <v>84.632454739425498</v>
      </c>
      <c r="P8">
        <v>84.147163124127403</v>
      </c>
      <c r="Q8">
        <v>84.270159511730199</v>
      </c>
      <c r="R8">
        <v>84.403664683162404</v>
      </c>
      <c r="S8">
        <v>85.572764404694396</v>
      </c>
      <c r="T8">
        <v>75.652815642406097</v>
      </c>
      <c r="U8">
        <v>81.745406948155903</v>
      </c>
      <c r="V8">
        <v>75.490340426383099</v>
      </c>
      <c r="W8">
        <v>69.072224063550095</v>
      </c>
      <c r="X8">
        <v>62.5828572341292</v>
      </c>
      <c r="Y8">
        <v>67.5962829154887</v>
      </c>
      <c r="Z8">
        <v>87.120712152283403</v>
      </c>
      <c r="AA8">
        <v>92.751032788460506</v>
      </c>
      <c r="AB8">
        <v>93.424442321863197</v>
      </c>
      <c r="AC8">
        <v>91.887203451327494</v>
      </c>
      <c r="AD8">
        <v>95.844564024896798</v>
      </c>
      <c r="AE8">
        <v>100</v>
      </c>
      <c r="AF8">
        <v>103.758462651183</v>
      </c>
    </row>
    <row r="9" spans="1:32" x14ac:dyDescent="0.3">
      <c r="A9" t="s">
        <v>27</v>
      </c>
      <c r="B9" t="s">
        <v>100</v>
      </c>
      <c r="C9" t="s">
        <v>86</v>
      </c>
      <c r="D9" t="s">
        <v>101</v>
      </c>
      <c r="E9" t="s">
        <v>87</v>
      </c>
      <c r="F9">
        <v>117.251129945138</v>
      </c>
      <c r="G9">
        <v>111.53039064428199</v>
      </c>
      <c r="H9">
        <v>109.57765110403901</v>
      </c>
      <c r="I9">
        <v>108.994046756207</v>
      </c>
      <c r="J9">
        <v>106.140156821445</v>
      </c>
      <c r="K9">
        <v>107.532630116051</v>
      </c>
      <c r="L9">
        <v>105.536919854456</v>
      </c>
      <c r="M9">
        <v>103.19706575553001</v>
      </c>
      <c r="N9">
        <v>103.134760716348</v>
      </c>
      <c r="O9">
        <v>105.23660982902</v>
      </c>
      <c r="P9">
        <v>105.33321245817601</v>
      </c>
      <c r="Q9">
        <v>102.61557418868399</v>
      </c>
      <c r="R9">
        <v>103.418952699743</v>
      </c>
      <c r="S9">
        <v>97.450153001447404</v>
      </c>
      <c r="T9">
        <v>106.664309631131</v>
      </c>
      <c r="U9">
        <v>104.473252655404</v>
      </c>
      <c r="V9">
        <v>102.51703580811601</v>
      </c>
      <c r="W9">
        <v>99.712615928994197</v>
      </c>
      <c r="X9">
        <v>98.845322467931197</v>
      </c>
      <c r="Y9">
        <v>98.232906673467298</v>
      </c>
      <c r="Z9">
        <v>105.829261012641</v>
      </c>
      <c r="AA9">
        <v>104.52637621094</v>
      </c>
      <c r="AB9">
        <v>104.23960753246401</v>
      </c>
      <c r="AC9">
        <v>100.101983634033</v>
      </c>
      <c r="AD9">
        <v>97.3354721045812</v>
      </c>
      <c r="AE9">
        <v>100</v>
      </c>
      <c r="AF9">
        <v>98.951522498440497</v>
      </c>
    </row>
    <row r="10" spans="1:32" x14ac:dyDescent="0.3">
      <c r="A10" t="s">
        <v>27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27</v>
      </c>
      <c r="B11" t="s">
        <v>104</v>
      </c>
      <c r="C11" t="s">
        <v>86</v>
      </c>
      <c r="D11" t="s">
        <v>105</v>
      </c>
      <c r="E11" t="s">
        <v>87</v>
      </c>
      <c r="F11">
        <v>247.01495298649101</v>
      </c>
      <c r="G11">
        <v>240.230567698166</v>
      </c>
      <c r="H11">
        <v>238.43572249931299</v>
      </c>
      <c r="I11">
        <v>234.79499063314901</v>
      </c>
      <c r="J11">
        <v>230.616403859847</v>
      </c>
      <c r="K11">
        <v>220.79855577683199</v>
      </c>
      <c r="L11">
        <v>216.075078678003</v>
      </c>
      <c r="M11">
        <v>207.62707051912801</v>
      </c>
      <c r="N11">
        <v>201.65716710034101</v>
      </c>
      <c r="O11">
        <v>191.89757253054401</v>
      </c>
      <c r="P11">
        <v>187.46542157502401</v>
      </c>
      <c r="Q11">
        <v>176.52861357124601</v>
      </c>
      <c r="R11">
        <v>171.16687003896601</v>
      </c>
      <c r="S11">
        <v>158.73474874094899</v>
      </c>
      <c r="T11">
        <v>161.99927244193401</v>
      </c>
      <c r="U11">
        <v>151.81502722803501</v>
      </c>
      <c r="V11">
        <v>147.38872009960201</v>
      </c>
      <c r="W11">
        <v>139.675155666211</v>
      </c>
      <c r="X11">
        <v>135.26956087350399</v>
      </c>
      <c r="Y11">
        <v>130.28725199024001</v>
      </c>
      <c r="Z11">
        <v>133.132091020084</v>
      </c>
      <c r="AA11">
        <v>127.06777094067201</v>
      </c>
      <c r="AB11">
        <v>121.238369638363</v>
      </c>
      <c r="AC11">
        <v>111.242201861262</v>
      </c>
      <c r="AD11">
        <v>108.23147483640101</v>
      </c>
      <c r="AE11">
        <v>100</v>
      </c>
      <c r="AF11">
        <v>90.841954814590295</v>
      </c>
    </row>
    <row r="12" spans="1:32" x14ac:dyDescent="0.3">
      <c r="A12" t="s">
        <v>27</v>
      </c>
      <c r="B12" t="s">
        <v>106</v>
      </c>
      <c r="C12" t="s">
        <v>86</v>
      </c>
      <c r="D12" t="s">
        <v>107</v>
      </c>
      <c r="E12" t="s">
        <v>87</v>
      </c>
      <c r="F12">
        <v>102.195681848322</v>
      </c>
      <c r="G12">
        <v>102.20678329332</v>
      </c>
      <c r="H12">
        <v>104.006186551029</v>
      </c>
      <c r="I12">
        <v>107.66300075061</v>
      </c>
      <c r="J12">
        <v>109.561819794116</v>
      </c>
      <c r="K12">
        <v>106.142860550826</v>
      </c>
      <c r="L12">
        <v>105.22082284819901</v>
      </c>
      <c r="M12">
        <v>104.989819613273</v>
      </c>
      <c r="N12">
        <v>102.468421741791</v>
      </c>
      <c r="O12">
        <v>99.589075816978294</v>
      </c>
      <c r="P12">
        <v>98.897512632719895</v>
      </c>
      <c r="Q12">
        <v>97.403397162872906</v>
      </c>
      <c r="R12">
        <v>96.171696100247601</v>
      </c>
      <c r="S12">
        <v>93.507395906591299</v>
      </c>
      <c r="T12">
        <v>106.184964158342</v>
      </c>
      <c r="U12">
        <v>101.52526798354</v>
      </c>
      <c r="V12">
        <v>95.278070738764697</v>
      </c>
      <c r="W12">
        <v>95.069275725028305</v>
      </c>
      <c r="X12">
        <v>92.438949877035</v>
      </c>
      <c r="Y12">
        <v>92.079555563001307</v>
      </c>
      <c r="Z12">
        <v>97.541516824908797</v>
      </c>
      <c r="AA12">
        <v>98.018847323057201</v>
      </c>
      <c r="AB12">
        <v>93.183957619858504</v>
      </c>
      <c r="AC12">
        <v>92.055683704108603</v>
      </c>
      <c r="AD12">
        <v>96.056623262815805</v>
      </c>
      <c r="AE12">
        <v>100</v>
      </c>
      <c r="AF12">
        <v>92.577922446294906</v>
      </c>
    </row>
    <row r="13" spans="1:32" x14ac:dyDescent="0.3">
      <c r="A13" t="s">
        <v>27</v>
      </c>
      <c r="B13" t="s">
        <v>108</v>
      </c>
      <c r="C13" t="s">
        <v>86</v>
      </c>
      <c r="D13" t="s">
        <v>109</v>
      </c>
      <c r="E13" t="s">
        <v>87</v>
      </c>
      <c r="F13">
        <v>84.372747140224504</v>
      </c>
      <c r="G13">
        <v>83.294884562520096</v>
      </c>
      <c r="H13">
        <v>82.942603385150704</v>
      </c>
      <c r="I13">
        <v>81.960229734775794</v>
      </c>
      <c r="J13">
        <v>78.966572785212506</v>
      </c>
      <c r="K13">
        <v>77.874831113348705</v>
      </c>
      <c r="L13">
        <v>76.555504470858494</v>
      </c>
      <c r="M13">
        <v>75.900671628482101</v>
      </c>
      <c r="N13">
        <v>76.592231533023707</v>
      </c>
      <c r="O13">
        <v>78.273052003570101</v>
      </c>
      <c r="P13">
        <v>81.242204426905303</v>
      </c>
      <c r="Q13">
        <v>79.498595732575296</v>
      </c>
      <c r="R13">
        <v>80.757616823350304</v>
      </c>
      <c r="S13">
        <v>81.876560873969495</v>
      </c>
      <c r="T13">
        <v>84.353434470983402</v>
      </c>
      <c r="U13">
        <v>80.169711635614703</v>
      </c>
      <c r="V13">
        <v>79.347599233479798</v>
      </c>
      <c r="W13">
        <v>81.037037800851095</v>
      </c>
      <c r="X13">
        <v>79.842271134165202</v>
      </c>
      <c r="Y13">
        <v>83.237085433488303</v>
      </c>
      <c r="Z13">
        <v>87.891013428486801</v>
      </c>
      <c r="AA13">
        <v>89.955793442888805</v>
      </c>
      <c r="AB13">
        <v>90.356915458414406</v>
      </c>
      <c r="AC13">
        <v>93.730153302432498</v>
      </c>
      <c r="AD13">
        <v>96.292996044767506</v>
      </c>
      <c r="AE13">
        <v>100</v>
      </c>
      <c r="AF13">
        <v>98.247409263185205</v>
      </c>
    </row>
    <row r="14" spans="1:32" x14ac:dyDescent="0.3">
      <c r="A14" t="s">
        <v>27</v>
      </c>
      <c r="B14" t="s">
        <v>110</v>
      </c>
      <c r="C14" t="s">
        <v>86</v>
      </c>
      <c r="D14" t="s">
        <v>111</v>
      </c>
      <c r="E14" t="s">
        <v>87</v>
      </c>
      <c r="F14">
        <v>704.48964980041706</v>
      </c>
      <c r="G14">
        <v>631.91223346763195</v>
      </c>
      <c r="H14">
        <v>574.97987376006404</v>
      </c>
      <c r="I14">
        <v>554.81338315373398</v>
      </c>
      <c r="J14">
        <v>510.74610955020302</v>
      </c>
      <c r="K14">
        <v>466.82534110044497</v>
      </c>
      <c r="L14">
        <v>418.617040487407</v>
      </c>
      <c r="M14">
        <v>370.27320511623299</v>
      </c>
      <c r="N14">
        <v>314.91421585060698</v>
      </c>
      <c r="O14">
        <v>275.77282119918902</v>
      </c>
      <c r="P14">
        <v>245.15795068037301</v>
      </c>
      <c r="Q14">
        <v>222.99964379102099</v>
      </c>
      <c r="R14">
        <v>201.40371041138201</v>
      </c>
      <c r="S14">
        <v>174.96025402455899</v>
      </c>
      <c r="T14">
        <v>159.04493080920599</v>
      </c>
      <c r="U14">
        <v>141.368766195381</v>
      </c>
      <c r="V14">
        <v>124.039858923165</v>
      </c>
      <c r="W14">
        <v>114.04232490021801</v>
      </c>
      <c r="X14">
        <v>115.644436556893</v>
      </c>
      <c r="Y14">
        <v>111.54898162150199</v>
      </c>
      <c r="Z14">
        <v>113.28342044550701</v>
      </c>
      <c r="AA14">
        <v>108.829534422032</v>
      </c>
      <c r="AB14">
        <v>110.566154401674</v>
      </c>
      <c r="AC14">
        <v>106.77769695910401</v>
      </c>
      <c r="AD14">
        <v>102.134748243297</v>
      </c>
      <c r="AE14">
        <v>100</v>
      </c>
      <c r="AF14">
        <v>95.193330415484198</v>
      </c>
    </row>
    <row r="15" spans="1:32" x14ac:dyDescent="0.3">
      <c r="A15" t="s">
        <v>27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27</v>
      </c>
      <c r="B16" t="s">
        <v>114</v>
      </c>
      <c r="C16" t="s">
        <v>86</v>
      </c>
      <c r="D16" t="s">
        <v>115</v>
      </c>
      <c r="E16" t="s">
        <v>87</v>
      </c>
      <c r="F16">
        <v>205.70504759088999</v>
      </c>
      <c r="G16">
        <v>205.589532860177</v>
      </c>
      <c r="H16">
        <v>201.603693756187</v>
      </c>
      <c r="I16">
        <v>198.02381725509201</v>
      </c>
      <c r="J16">
        <v>192.95647996806599</v>
      </c>
      <c r="K16">
        <v>186.31087696880601</v>
      </c>
      <c r="L16">
        <v>185.15486929471999</v>
      </c>
      <c r="M16">
        <v>176.65406439503801</v>
      </c>
      <c r="N16">
        <v>166.251670179971</v>
      </c>
      <c r="O16">
        <v>155.94483828319099</v>
      </c>
      <c r="P16">
        <v>150.09158589594699</v>
      </c>
      <c r="Q16">
        <v>140.825731259923</v>
      </c>
      <c r="R16">
        <v>136.76001541435301</v>
      </c>
      <c r="S16">
        <v>132.17944758196001</v>
      </c>
      <c r="T16">
        <v>134.80944244459999</v>
      </c>
      <c r="U16">
        <v>123.55562605663</v>
      </c>
      <c r="V16">
        <v>114.711835903352</v>
      </c>
      <c r="W16">
        <v>111.298105469305</v>
      </c>
      <c r="X16">
        <v>111.77554274236</v>
      </c>
      <c r="Y16">
        <v>110.144021572421</v>
      </c>
      <c r="Z16">
        <v>111.17929317523</v>
      </c>
      <c r="AA16">
        <v>108.975985483163</v>
      </c>
      <c r="AB16">
        <v>102.996157240532</v>
      </c>
      <c r="AC16">
        <v>101.157851814148</v>
      </c>
      <c r="AD16">
        <v>99.643874820983001</v>
      </c>
      <c r="AE16">
        <v>100</v>
      </c>
      <c r="AF16">
        <v>94.214274019859104</v>
      </c>
    </row>
    <row r="17" spans="1:32" x14ac:dyDescent="0.3">
      <c r="A17" t="s">
        <v>27</v>
      </c>
      <c r="B17" t="s">
        <v>116</v>
      </c>
      <c r="C17" t="s">
        <v>86</v>
      </c>
      <c r="D17" t="s">
        <v>117</v>
      </c>
      <c r="E17" t="s">
        <v>87</v>
      </c>
      <c r="F17">
        <v>111.30147956805099</v>
      </c>
      <c r="G17">
        <v>113.42814815326901</v>
      </c>
      <c r="H17">
        <v>115.035326323492</v>
      </c>
      <c r="I17">
        <v>116.618941648526</v>
      </c>
      <c r="J17">
        <v>112.248400107884</v>
      </c>
      <c r="K17">
        <v>109.17764825530401</v>
      </c>
      <c r="L17">
        <v>110.67176349775301</v>
      </c>
      <c r="M17">
        <v>108.844938324254</v>
      </c>
      <c r="N17">
        <v>106.38294387055301</v>
      </c>
      <c r="O17">
        <v>102.227637714365</v>
      </c>
      <c r="P17">
        <v>100.58633255840201</v>
      </c>
      <c r="Q17">
        <v>98.644238805904095</v>
      </c>
      <c r="R17">
        <v>97.712825278677002</v>
      </c>
      <c r="S17">
        <v>92.705804588772494</v>
      </c>
      <c r="T17">
        <v>94.691412950701505</v>
      </c>
      <c r="U17">
        <v>92.121006588145804</v>
      </c>
      <c r="V17">
        <v>87.837301743489704</v>
      </c>
      <c r="W17">
        <v>91.621534780749698</v>
      </c>
      <c r="X17">
        <v>94.919657738756698</v>
      </c>
      <c r="Y17">
        <v>97.110752295377694</v>
      </c>
      <c r="Z17">
        <v>100.81810535909599</v>
      </c>
      <c r="AA17">
        <v>102.79568727646399</v>
      </c>
      <c r="AB17">
        <v>100.487147004671</v>
      </c>
      <c r="AC17">
        <v>98.716908027105106</v>
      </c>
      <c r="AD17">
        <v>98.665515820954496</v>
      </c>
      <c r="AE17">
        <v>100</v>
      </c>
      <c r="AF17">
        <v>97.007385274924701</v>
      </c>
    </row>
    <row r="18" spans="1:32" x14ac:dyDescent="0.3">
      <c r="A18" t="s">
        <v>27</v>
      </c>
      <c r="B18" t="s">
        <v>118</v>
      </c>
      <c r="C18" t="s">
        <v>86</v>
      </c>
      <c r="D18" t="s">
        <v>119</v>
      </c>
      <c r="E18" t="s">
        <v>87</v>
      </c>
      <c r="F18">
        <v>113.179955893683</v>
      </c>
      <c r="G18">
        <v>121.06316657302099</v>
      </c>
      <c r="H18">
        <v>123.78568454081901</v>
      </c>
      <c r="I18">
        <v>129.12458610168801</v>
      </c>
      <c r="J18">
        <v>118.098066532793</v>
      </c>
      <c r="K18">
        <v>108.598959466995</v>
      </c>
      <c r="L18">
        <v>111.67929470169101</v>
      </c>
      <c r="M18">
        <v>114.37811745952899</v>
      </c>
      <c r="N18">
        <v>114.025087878945</v>
      </c>
      <c r="O18">
        <v>109.54018836514</v>
      </c>
      <c r="P18">
        <v>106.30039292290201</v>
      </c>
      <c r="Q18">
        <v>105.50057034556001</v>
      </c>
      <c r="R18">
        <v>104.880399242857</v>
      </c>
      <c r="S18">
        <v>93.950052378155704</v>
      </c>
      <c r="T18">
        <v>97.641539570201999</v>
      </c>
      <c r="U18">
        <v>94.817206826561502</v>
      </c>
      <c r="V18">
        <v>89.967658476256204</v>
      </c>
      <c r="W18">
        <v>92.276241936216493</v>
      </c>
      <c r="X18">
        <v>103.55898494151</v>
      </c>
      <c r="Y18">
        <v>105.827774849642</v>
      </c>
      <c r="Z18">
        <v>113.15219124182001</v>
      </c>
      <c r="AA18">
        <v>109.52088927328199</v>
      </c>
      <c r="AB18">
        <v>107.74258779356001</v>
      </c>
      <c r="AC18">
        <v>102.929259447931</v>
      </c>
      <c r="AD18">
        <v>99.433006758328901</v>
      </c>
      <c r="AE18">
        <v>100</v>
      </c>
      <c r="AF18">
        <v>97.473163765376697</v>
      </c>
    </row>
    <row r="19" spans="1:32" x14ac:dyDescent="0.3">
      <c r="A19" t="s">
        <v>27</v>
      </c>
      <c r="B19" t="s">
        <v>120</v>
      </c>
      <c r="C19" t="s">
        <v>86</v>
      </c>
      <c r="D19" t="s">
        <v>121</v>
      </c>
      <c r="E19" t="s">
        <v>87</v>
      </c>
      <c r="F19">
        <v>185.37400570822501</v>
      </c>
      <c r="G19">
        <v>172.62417163365899</v>
      </c>
      <c r="H19">
        <v>153.023945610189</v>
      </c>
      <c r="I19">
        <v>150.652138487521</v>
      </c>
      <c r="J19">
        <v>132.54589196549099</v>
      </c>
      <c r="K19">
        <v>125.99938451394399</v>
      </c>
      <c r="L19">
        <v>122.710805134522</v>
      </c>
      <c r="M19">
        <v>111.533019419651</v>
      </c>
      <c r="N19">
        <v>104.503025708007</v>
      </c>
      <c r="O19">
        <v>99.031425165118904</v>
      </c>
      <c r="P19">
        <v>96.135885271461603</v>
      </c>
      <c r="Q19">
        <v>93.120061739235794</v>
      </c>
      <c r="R19">
        <v>93.184816245579498</v>
      </c>
      <c r="S19">
        <v>91.102324994982197</v>
      </c>
      <c r="T19">
        <v>98.914114462228596</v>
      </c>
      <c r="U19">
        <v>95.863250264710203</v>
      </c>
      <c r="V19">
        <v>91.031009345994704</v>
      </c>
      <c r="W19">
        <v>91.646598880860296</v>
      </c>
      <c r="X19">
        <v>89.969989622063693</v>
      </c>
      <c r="Y19">
        <v>89.460000988367995</v>
      </c>
      <c r="Z19">
        <v>93.691726126643701</v>
      </c>
      <c r="AA19">
        <v>99.206430262603504</v>
      </c>
      <c r="AB19">
        <v>95.851709211288494</v>
      </c>
      <c r="AC19">
        <v>94.208999969488005</v>
      </c>
      <c r="AD19">
        <v>96.033812584749796</v>
      </c>
      <c r="AE19">
        <v>100</v>
      </c>
      <c r="AF19">
        <v>86.831101346430202</v>
      </c>
    </row>
    <row r="20" spans="1:32" x14ac:dyDescent="0.3">
      <c r="A20" t="s">
        <v>27</v>
      </c>
      <c r="B20" t="s">
        <v>122</v>
      </c>
      <c r="C20" t="s">
        <v>86</v>
      </c>
      <c r="D20" t="s">
        <v>123</v>
      </c>
      <c r="E20" t="s">
        <v>87</v>
      </c>
      <c r="F20">
        <v>91.554959536772103</v>
      </c>
      <c r="G20">
        <v>83.894101502899602</v>
      </c>
      <c r="H20">
        <v>86.301379389262493</v>
      </c>
      <c r="I20">
        <v>84.837277707667297</v>
      </c>
      <c r="J20">
        <v>82.539921681418505</v>
      </c>
      <c r="K20">
        <v>78.244868447335307</v>
      </c>
      <c r="L20">
        <v>76.356437428729507</v>
      </c>
      <c r="M20">
        <v>72.8361960950823</v>
      </c>
      <c r="N20">
        <v>69.006105146458694</v>
      </c>
      <c r="O20">
        <v>65.262243010217801</v>
      </c>
      <c r="P20">
        <v>54.5629840612905</v>
      </c>
      <c r="Q20">
        <v>50.292035498273599</v>
      </c>
      <c r="R20">
        <v>48.272162505426003</v>
      </c>
      <c r="S20">
        <v>39.218736757003398</v>
      </c>
      <c r="T20">
        <v>72.754316926603394</v>
      </c>
      <c r="U20">
        <v>60.695751322490899</v>
      </c>
      <c r="V20">
        <v>50.042212664130403</v>
      </c>
      <c r="W20">
        <v>57.057780755842202</v>
      </c>
      <c r="X20">
        <v>55.774051531341499</v>
      </c>
      <c r="Y20">
        <v>64.604085549891593</v>
      </c>
      <c r="Z20">
        <v>89.296101669296505</v>
      </c>
      <c r="AA20">
        <v>92.308454988696894</v>
      </c>
      <c r="AB20">
        <v>84.162061164404506</v>
      </c>
      <c r="AC20">
        <v>81.8302158919237</v>
      </c>
      <c r="AD20">
        <v>91.973026963433497</v>
      </c>
      <c r="AE20">
        <v>100</v>
      </c>
      <c r="AF20">
        <v>73.219487625745302</v>
      </c>
    </row>
    <row r="21" spans="1:32" x14ac:dyDescent="0.3">
      <c r="A21" t="s">
        <v>27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27</v>
      </c>
      <c r="B22" t="s">
        <v>126</v>
      </c>
      <c r="C22" t="s">
        <v>86</v>
      </c>
      <c r="D22" t="s">
        <v>127</v>
      </c>
      <c r="E22" t="s">
        <v>87</v>
      </c>
      <c r="F22">
        <v>86.586949824830697</v>
      </c>
      <c r="G22">
        <v>88.661705184911</v>
      </c>
      <c r="H22">
        <v>91.0398194945315</v>
      </c>
      <c r="I22">
        <v>91.5587104876181</v>
      </c>
      <c r="J22">
        <v>90.849616513704106</v>
      </c>
      <c r="K22">
        <v>90.528443253713405</v>
      </c>
      <c r="L22">
        <v>92.313345774534099</v>
      </c>
      <c r="M22">
        <v>94.746854450993794</v>
      </c>
      <c r="N22">
        <v>94.546103077417797</v>
      </c>
      <c r="O22">
        <v>94.575031044842603</v>
      </c>
      <c r="P22">
        <v>94.259875931569397</v>
      </c>
      <c r="Q22">
        <v>94.636776701665994</v>
      </c>
      <c r="R22">
        <v>94.829708359708903</v>
      </c>
      <c r="S22">
        <v>95.463979994864999</v>
      </c>
      <c r="T22">
        <v>97.144069376643898</v>
      </c>
      <c r="U22">
        <v>96.870179926430893</v>
      </c>
      <c r="V22">
        <v>95.665768341123297</v>
      </c>
      <c r="W22">
        <v>95.906535569077505</v>
      </c>
      <c r="X22">
        <v>95.968083804930501</v>
      </c>
      <c r="Y22">
        <v>96.996068539693795</v>
      </c>
      <c r="Z22">
        <v>99.194274321421801</v>
      </c>
      <c r="AA22">
        <v>101.43097713012099</v>
      </c>
      <c r="AB22">
        <v>100.102741184387</v>
      </c>
      <c r="AC22">
        <v>98.508641466530705</v>
      </c>
      <c r="AD22">
        <v>98.740256200324197</v>
      </c>
      <c r="AE22">
        <v>100</v>
      </c>
      <c r="AF22">
        <v>100.578615908835</v>
      </c>
    </row>
    <row r="23" spans="1:32" x14ac:dyDescent="0.3">
      <c r="A23" t="s">
        <v>27</v>
      </c>
      <c r="B23" t="s">
        <v>128</v>
      </c>
      <c r="C23" t="s">
        <v>86</v>
      </c>
      <c r="D23" t="s">
        <v>129</v>
      </c>
      <c r="E23" t="s">
        <v>87</v>
      </c>
      <c r="F23">
        <v>88.682819998513494</v>
      </c>
      <c r="G23">
        <v>89.839799926563998</v>
      </c>
      <c r="H23">
        <v>91.896006463289297</v>
      </c>
      <c r="I23">
        <v>90.980331509252906</v>
      </c>
      <c r="J23">
        <v>89.679924126451496</v>
      </c>
      <c r="K23">
        <v>90.652862575067701</v>
      </c>
      <c r="L23">
        <v>89.375278591571501</v>
      </c>
      <c r="M23">
        <v>87.993372793196301</v>
      </c>
      <c r="N23">
        <v>88.642570476843503</v>
      </c>
      <c r="O23">
        <v>88.865304877537895</v>
      </c>
      <c r="P23">
        <v>88.731042846130293</v>
      </c>
      <c r="Q23">
        <v>89.146502140520198</v>
      </c>
      <c r="R23">
        <v>90.546880392203207</v>
      </c>
      <c r="S23">
        <v>93.359428020473302</v>
      </c>
      <c r="T23">
        <v>91.382783697782102</v>
      </c>
      <c r="U23">
        <v>90.651671637600202</v>
      </c>
      <c r="V23">
        <v>90.533518426758505</v>
      </c>
      <c r="W23">
        <v>90.394188897562998</v>
      </c>
      <c r="X23">
        <v>90.605177290330801</v>
      </c>
      <c r="Y23">
        <v>92.6698471498256</v>
      </c>
      <c r="Z23">
        <v>94.623878081697598</v>
      </c>
      <c r="AA23">
        <v>94.944090476538193</v>
      </c>
      <c r="AB23">
        <v>95.618676202155896</v>
      </c>
      <c r="AC23">
        <v>96.034303316053496</v>
      </c>
      <c r="AD23">
        <v>98.1709174293822</v>
      </c>
      <c r="AE23">
        <v>100</v>
      </c>
      <c r="AF23">
        <v>100.746189724225</v>
      </c>
    </row>
    <row r="24" spans="1:32" x14ac:dyDescent="0.3">
      <c r="A24" t="s">
        <v>27</v>
      </c>
      <c r="B24" t="s">
        <v>130</v>
      </c>
      <c r="C24" t="s">
        <v>86</v>
      </c>
      <c r="D24" t="s">
        <v>131</v>
      </c>
      <c r="E24" t="s">
        <v>87</v>
      </c>
      <c r="F24">
        <v>96.601002979710103</v>
      </c>
      <c r="G24">
        <v>94.7980425791215</v>
      </c>
      <c r="H24">
        <v>96.2610830047538</v>
      </c>
      <c r="I24">
        <v>95.791613862192406</v>
      </c>
      <c r="J24">
        <v>95.148800796043801</v>
      </c>
      <c r="K24">
        <v>95.005378919848397</v>
      </c>
      <c r="L24">
        <v>92.547296877001699</v>
      </c>
      <c r="M24">
        <v>90.498747439048003</v>
      </c>
      <c r="N24">
        <v>89.921278780033504</v>
      </c>
      <c r="O24">
        <v>90.922096174707704</v>
      </c>
      <c r="P24">
        <v>91.777791671330903</v>
      </c>
      <c r="Q24">
        <v>92.859440209831803</v>
      </c>
      <c r="R24">
        <v>93.808804898209999</v>
      </c>
      <c r="S24">
        <v>96.520311935048596</v>
      </c>
      <c r="T24">
        <v>92.851520190494597</v>
      </c>
      <c r="U24">
        <v>93.074104026510796</v>
      </c>
      <c r="V24">
        <v>92.986841035353095</v>
      </c>
      <c r="W24">
        <v>92.2557746848465</v>
      </c>
      <c r="X24">
        <v>92.383606859079904</v>
      </c>
      <c r="Y24">
        <v>94.841302347615894</v>
      </c>
      <c r="Z24">
        <v>94.404237598950004</v>
      </c>
      <c r="AA24">
        <v>95.335990970219896</v>
      </c>
      <c r="AB24">
        <v>94.722396091384297</v>
      </c>
      <c r="AC24">
        <v>95.302761660348594</v>
      </c>
      <c r="AD24">
        <v>96.516869877604194</v>
      </c>
      <c r="AE24">
        <v>100</v>
      </c>
      <c r="AF24">
        <v>101.82072643359299</v>
      </c>
    </row>
    <row r="25" spans="1:32" x14ac:dyDescent="0.3">
      <c r="A25" t="s">
        <v>27</v>
      </c>
      <c r="B25" t="s">
        <v>132</v>
      </c>
      <c r="C25" t="s">
        <v>86</v>
      </c>
      <c r="D25" t="s">
        <v>133</v>
      </c>
      <c r="E25" t="s">
        <v>87</v>
      </c>
      <c r="F25">
        <v>77.211309770925496</v>
      </c>
      <c r="G25">
        <v>72.566249927710899</v>
      </c>
      <c r="H25">
        <v>75.318710467813304</v>
      </c>
      <c r="I25">
        <v>76.809512592952402</v>
      </c>
      <c r="J25">
        <v>75.435093422735605</v>
      </c>
      <c r="K25">
        <v>74.877560738836394</v>
      </c>
      <c r="L25">
        <v>74.279734085952896</v>
      </c>
      <c r="M25">
        <v>74.541955102195899</v>
      </c>
      <c r="N25">
        <v>75.224222985908</v>
      </c>
      <c r="O25">
        <v>75.770243482889398</v>
      </c>
      <c r="P25">
        <v>77.266157006726104</v>
      </c>
      <c r="Q25">
        <v>77.097356556566595</v>
      </c>
      <c r="R25">
        <v>77.619863257212302</v>
      </c>
      <c r="S25">
        <v>77.541035301862706</v>
      </c>
      <c r="T25">
        <v>80.169695669296601</v>
      </c>
      <c r="U25">
        <v>83.427828399288501</v>
      </c>
      <c r="V25">
        <v>84.438959730994696</v>
      </c>
      <c r="W25">
        <v>85.952038006322397</v>
      </c>
      <c r="X25">
        <v>86.197085862258604</v>
      </c>
      <c r="Y25">
        <v>88.850210424155406</v>
      </c>
      <c r="Z25">
        <v>90.324197746434393</v>
      </c>
      <c r="AA25">
        <v>95.325113895186803</v>
      </c>
      <c r="AB25">
        <v>95.514038849033696</v>
      </c>
      <c r="AC25">
        <v>94.906578784739807</v>
      </c>
      <c r="AD25">
        <v>96.250874140556405</v>
      </c>
      <c r="AE25">
        <v>100</v>
      </c>
      <c r="AF25">
        <v>98.5504200244701</v>
      </c>
    </row>
    <row r="26" spans="1:32" x14ac:dyDescent="0.3">
      <c r="A26" t="s">
        <v>27</v>
      </c>
      <c r="B26" t="s">
        <v>134</v>
      </c>
      <c r="C26" t="s">
        <v>86</v>
      </c>
      <c r="D26" t="s">
        <v>135</v>
      </c>
      <c r="E26" t="s">
        <v>87</v>
      </c>
      <c r="F26">
        <v>97.432133182475496</v>
      </c>
      <c r="G26">
        <v>95.487136435124398</v>
      </c>
      <c r="H26">
        <v>96.777364515989007</v>
      </c>
      <c r="I26">
        <v>95.355656576764602</v>
      </c>
      <c r="J26">
        <v>94.566701235568601</v>
      </c>
      <c r="K26">
        <v>94.985315074122795</v>
      </c>
      <c r="L26">
        <v>92.313508561726707</v>
      </c>
      <c r="M26">
        <v>90.184049322594106</v>
      </c>
      <c r="N26">
        <v>89.877717642024393</v>
      </c>
      <c r="O26">
        <v>91.7062815378425</v>
      </c>
      <c r="P26">
        <v>93.010821105856706</v>
      </c>
      <c r="Q26">
        <v>94.667192468606501</v>
      </c>
      <c r="R26">
        <v>96.525146435289699</v>
      </c>
      <c r="S26">
        <v>99.899979468024995</v>
      </c>
      <c r="T26">
        <v>94.416738403296307</v>
      </c>
      <c r="U26">
        <v>94.574543582255302</v>
      </c>
      <c r="V26">
        <v>95.316592649393399</v>
      </c>
      <c r="W26">
        <v>94.137673672023695</v>
      </c>
      <c r="X26">
        <v>94.928213396255899</v>
      </c>
      <c r="Y26">
        <v>97.132860163129607</v>
      </c>
      <c r="Z26">
        <v>95.213553633268205</v>
      </c>
      <c r="AA26">
        <v>94.8909439688601</v>
      </c>
      <c r="AB26">
        <v>93.3667768210708</v>
      </c>
      <c r="AC26">
        <v>93.926930494336005</v>
      </c>
      <c r="AD26">
        <v>95.441332154829496</v>
      </c>
      <c r="AE26">
        <v>100</v>
      </c>
      <c r="AF26">
        <v>103.496842584521</v>
      </c>
    </row>
    <row r="27" spans="1:32" x14ac:dyDescent="0.3">
      <c r="A27" t="s">
        <v>27</v>
      </c>
      <c r="B27" t="s">
        <v>136</v>
      </c>
      <c r="C27" t="s">
        <v>86</v>
      </c>
      <c r="D27" t="s">
        <v>137</v>
      </c>
      <c r="E27" t="s">
        <v>87</v>
      </c>
      <c r="F27">
        <v>98.870299255659901</v>
      </c>
      <c r="G27">
        <v>97.827189229674005</v>
      </c>
      <c r="H27">
        <v>99.316195912404098</v>
      </c>
      <c r="I27">
        <v>100.14218962860301</v>
      </c>
      <c r="J27">
        <v>99.942924313137794</v>
      </c>
      <c r="K27">
        <v>98.915284091209699</v>
      </c>
      <c r="L27">
        <v>96.432627725029405</v>
      </c>
      <c r="M27">
        <v>94.0593203847707</v>
      </c>
      <c r="N27">
        <v>92.806084584592199</v>
      </c>
      <c r="O27">
        <v>92.455909598742494</v>
      </c>
      <c r="P27">
        <v>92.314128829308302</v>
      </c>
      <c r="Q27">
        <v>92.471754323454803</v>
      </c>
      <c r="R27">
        <v>91.823213867092605</v>
      </c>
      <c r="S27">
        <v>93.713179126895497</v>
      </c>
      <c r="T27">
        <v>92.245743031738598</v>
      </c>
      <c r="U27">
        <v>92.320826343760402</v>
      </c>
      <c r="V27">
        <v>90.836526847807804</v>
      </c>
      <c r="W27">
        <v>90.611622531892607</v>
      </c>
      <c r="X27">
        <v>89.852431226088498</v>
      </c>
      <c r="Y27">
        <v>92.596406352077494</v>
      </c>
      <c r="Z27">
        <v>93.691902801578706</v>
      </c>
      <c r="AA27">
        <v>95.768927763620098</v>
      </c>
      <c r="AB27">
        <v>96.1920524043786</v>
      </c>
      <c r="AC27">
        <v>96.887323950301095</v>
      </c>
      <c r="AD27">
        <v>97.747129433590302</v>
      </c>
      <c r="AE27">
        <v>100</v>
      </c>
      <c r="AF27">
        <v>100.051622847229</v>
      </c>
    </row>
    <row r="28" spans="1:32" x14ac:dyDescent="0.3">
      <c r="A28" t="s">
        <v>27</v>
      </c>
      <c r="B28" t="s">
        <v>138</v>
      </c>
      <c r="C28" t="s">
        <v>86</v>
      </c>
      <c r="D28" t="s">
        <v>139</v>
      </c>
      <c r="E28" t="s">
        <v>87</v>
      </c>
      <c r="F28">
        <v>90.423009219577693</v>
      </c>
      <c r="G28">
        <v>90.300656230513397</v>
      </c>
      <c r="H28">
        <v>90.418996628368305</v>
      </c>
      <c r="I28">
        <v>91.775984781646102</v>
      </c>
      <c r="J28">
        <v>91.608619959117803</v>
      </c>
      <c r="K28">
        <v>90.3191357830096</v>
      </c>
      <c r="L28">
        <v>89.769074448297104</v>
      </c>
      <c r="M28">
        <v>89.050953273142994</v>
      </c>
      <c r="N28">
        <v>87.930665005087704</v>
      </c>
      <c r="O28">
        <v>87.328500204520594</v>
      </c>
      <c r="P28">
        <v>86.737807117833498</v>
      </c>
      <c r="Q28">
        <v>85.149209404352007</v>
      </c>
      <c r="R28">
        <v>84.833900805108598</v>
      </c>
      <c r="S28">
        <v>83.926659486586502</v>
      </c>
      <c r="T28">
        <v>86.992354011124206</v>
      </c>
      <c r="U28">
        <v>85.863089194498002</v>
      </c>
      <c r="V28">
        <v>84.368741212825398</v>
      </c>
      <c r="W28">
        <v>84.938393466089195</v>
      </c>
      <c r="X28">
        <v>84.767049735208502</v>
      </c>
      <c r="Y28">
        <v>87.438291973781602</v>
      </c>
      <c r="Z28">
        <v>91.349815500539407</v>
      </c>
      <c r="AA28">
        <v>91.842073748718803</v>
      </c>
      <c r="AB28">
        <v>91.637222726675702</v>
      </c>
      <c r="AC28">
        <v>93.508081552139402</v>
      </c>
      <c r="AD28">
        <v>95.3191991854669</v>
      </c>
      <c r="AE28">
        <v>100</v>
      </c>
      <c r="AF28">
        <v>97.379229064206996</v>
      </c>
    </row>
    <row r="29" spans="1:32" x14ac:dyDescent="0.3">
      <c r="A29" t="s">
        <v>27</v>
      </c>
      <c r="B29" t="s">
        <v>140</v>
      </c>
      <c r="C29" t="s">
        <v>86</v>
      </c>
      <c r="D29" t="s">
        <v>141</v>
      </c>
      <c r="E29" t="s">
        <v>87</v>
      </c>
      <c r="F29">
        <v>94.247742077391095</v>
      </c>
      <c r="G29">
        <v>94.462538737718106</v>
      </c>
      <c r="H29">
        <v>94.845362932299096</v>
      </c>
      <c r="I29">
        <v>96.449721195941393</v>
      </c>
      <c r="J29">
        <v>96.288477942422006</v>
      </c>
      <c r="K29">
        <v>94.739716149486199</v>
      </c>
      <c r="L29">
        <v>93.394081135198405</v>
      </c>
      <c r="M29">
        <v>92.450888485952206</v>
      </c>
      <c r="N29">
        <v>91.373208032043607</v>
      </c>
      <c r="O29">
        <v>90.448875776507904</v>
      </c>
      <c r="P29">
        <v>89.082116367878996</v>
      </c>
      <c r="Q29">
        <v>87.236315590949104</v>
      </c>
      <c r="R29">
        <v>86.740772869450495</v>
      </c>
      <c r="S29">
        <v>85.508833299419507</v>
      </c>
      <c r="T29">
        <v>89.9455444651188</v>
      </c>
      <c r="U29">
        <v>88.117677139959895</v>
      </c>
      <c r="V29">
        <v>86.795664911844696</v>
      </c>
      <c r="W29">
        <v>87.040771765917597</v>
      </c>
      <c r="X29">
        <v>85.996454215663107</v>
      </c>
      <c r="Y29">
        <v>88.810031184785601</v>
      </c>
      <c r="Z29">
        <v>93.507751745871005</v>
      </c>
      <c r="AA29">
        <v>95.481088777803706</v>
      </c>
      <c r="AB29">
        <v>94.823795874668093</v>
      </c>
      <c r="AC29">
        <v>96.2649630009508</v>
      </c>
      <c r="AD29">
        <v>97.789148495791395</v>
      </c>
      <c r="AE29">
        <v>100</v>
      </c>
      <c r="AF29">
        <v>94.933451449007293</v>
      </c>
    </row>
    <row r="30" spans="1:32" x14ac:dyDescent="0.3">
      <c r="A30" t="s">
        <v>27</v>
      </c>
      <c r="B30" t="s">
        <v>142</v>
      </c>
      <c r="C30" t="s">
        <v>86</v>
      </c>
      <c r="D30" t="s">
        <v>143</v>
      </c>
      <c r="E30" t="s">
        <v>87</v>
      </c>
      <c r="F30">
        <v>71.471966736601104</v>
      </c>
      <c r="G30">
        <v>73.554066740681193</v>
      </c>
      <c r="H30">
        <v>74.868704282303199</v>
      </c>
      <c r="I30">
        <v>75.359508196319695</v>
      </c>
      <c r="J30">
        <v>72.4042925022394</v>
      </c>
      <c r="K30">
        <v>72.572033248182606</v>
      </c>
      <c r="L30">
        <v>77.309067358194497</v>
      </c>
      <c r="M30">
        <v>76.0249441389645</v>
      </c>
      <c r="N30">
        <v>71.057234167670799</v>
      </c>
      <c r="O30">
        <v>70.081797694145195</v>
      </c>
      <c r="P30">
        <v>76.459017202265898</v>
      </c>
      <c r="Q30">
        <v>80.142468911236094</v>
      </c>
      <c r="R30">
        <v>81.766735414518493</v>
      </c>
      <c r="S30">
        <v>82.4847932307908</v>
      </c>
      <c r="T30">
        <v>64.307741593634901</v>
      </c>
      <c r="U30">
        <v>69.7475049580232</v>
      </c>
      <c r="V30">
        <v>63.905256845998899</v>
      </c>
      <c r="W30">
        <v>72.927076183203795</v>
      </c>
      <c r="X30">
        <v>96.512430085397696</v>
      </c>
      <c r="Y30">
        <v>106.481916297609</v>
      </c>
      <c r="Z30">
        <v>107.10478307675901</v>
      </c>
      <c r="AA30">
        <v>82.492794004911204</v>
      </c>
      <c r="AB30">
        <v>87.376571299986907</v>
      </c>
      <c r="AC30">
        <v>90.496057050190103</v>
      </c>
      <c r="AD30">
        <v>97.858295230710596</v>
      </c>
      <c r="AE30">
        <v>100</v>
      </c>
      <c r="AF30">
        <v>90.958582040394404</v>
      </c>
    </row>
    <row r="31" spans="1:32" x14ac:dyDescent="0.3">
      <c r="A31" t="s">
        <v>27</v>
      </c>
      <c r="B31" t="s">
        <v>144</v>
      </c>
      <c r="C31" t="s">
        <v>86</v>
      </c>
      <c r="D31" t="s">
        <v>145</v>
      </c>
      <c r="E31" t="s">
        <v>87</v>
      </c>
      <c r="F31">
        <v>24.4437950529265</v>
      </c>
      <c r="G31">
        <v>23.2536395654197</v>
      </c>
      <c r="H31">
        <v>22.503994793384599</v>
      </c>
      <c r="I31">
        <v>23.516030627701198</v>
      </c>
      <c r="J31">
        <v>24.478514422321901</v>
      </c>
      <c r="K31">
        <v>24.124688089048998</v>
      </c>
      <c r="L31">
        <v>24.789144837038499</v>
      </c>
      <c r="M31">
        <v>25.249246535407501</v>
      </c>
      <c r="N31">
        <v>26.682420086304301</v>
      </c>
      <c r="O31">
        <v>28.688974381116701</v>
      </c>
      <c r="P31">
        <v>28.974792706389302</v>
      </c>
      <c r="Q31">
        <v>27.333917411874999</v>
      </c>
      <c r="R31">
        <v>27.8038102892239</v>
      </c>
      <c r="S31">
        <v>29.461059191732801</v>
      </c>
      <c r="T31">
        <v>38.038501323716901</v>
      </c>
      <c r="U31">
        <v>37.530705076848598</v>
      </c>
      <c r="V31">
        <v>39.688555878795697</v>
      </c>
      <c r="W31">
        <v>37.238750897345703</v>
      </c>
      <c r="X31">
        <v>33.431824002091602</v>
      </c>
      <c r="Y31">
        <v>32.8173152242463</v>
      </c>
      <c r="Z31">
        <v>34.573949643297397</v>
      </c>
      <c r="AA31">
        <v>37.996046586701901</v>
      </c>
      <c r="AB31">
        <v>37.944884816572298</v>
      </c>
      <c r="AC31">
        <v>41.731252881367702</v>
      </c>
      <c r="AD31">
        <v>44.047121857397997</v>
      </c>
      <c r="AE31">
        <v>100</v>
      </c>
      <c r="AF31">
        <v>487.34417176649902</v>
      </c>
    </row>
    <row r="32" spans="1:32" x14ac:dyDescent="0.3">
      <c r="A32" t="s">
        <v>27</v>
      </c>
      <c r="B32" t="s">
        <v>146</v>
      </c>
      <c r="C32" t="s">
        <v>86</v>
      </c>
      <c r="D32" t="s">
        <v>147</v>
      </c>
      <c r="E32" t="s">
        <v>87</v>
      </c>
      <c r="F32">
        <v>133.15407463700299</v>
      </c>
      <c r="G32">
        <v>129.75838815667501</v>
      </c>
      <c r="H32">
        <v>128.45911687991699</v>
      </c>
      <c r="I32">
        <v>130.48175617577999</v>
      </c>
      <c r="J32">
        <v>130.86128307912099</v>
      </c>
      <c r="K32">
        <v>126.80002620318901</v>
      </c>
      <c r="L32">
        <v>120.758817698325</v>
      </c>
      <c r="M32">
        <v>120.01748066037599</v>
      </c>
      <c r="N32">
        <v>115.948135623087</v>
      </c>
      <c r="O32">
        <v>110.54937047216301</v>
      </c>
      <c r="P32">
        <v>104.896223014001</v>
      </c>
      <c r="Q32">
        <v>98.430893613874701</v>
      </c>
      <c r="R32">
        <v>93.649515108073004</v>
      </c>
      <c r="S32">
        <v>86.826180038881205</v>
      </c>
      <c r="T32">
        <v>98.3115581748404</v>
      </c>
      <c r="U32">
        <v>93.024951333126893</v>
      </c>
      <c r="V32">
        <v>88.904936860107696</v>
      </c>
      <c r="W32">
        <v>87.826148926628207</v>
      </c>
      <c r="X32">
        <v>81.991798443033403</v>
      </c>
      <c r="Y32">
        <v>81.503909686157797</v>
      </c>
      <c r="Z32">
        <v>82.467516346591793</v>
      </c>
      <c r="AA32">
        <v>87.831823493736906</v>
      </c>
      <c r="AB32">
        <v>85.093592861717696</v>
      </c>
      <c r="AC32">
        <v>85.938857375112704</v>
      </c>
      <c r="AD32">
        <v>85.763341791589397</v>
      </c>
      <c r="AE32">
        <v>100</v>
      </c>
      <c r="AF32">
        <v>109.473115060089</v>
      </c>
    </row>
    <row r="33" spans="1:32" x14ac:dyDescent="0.3">
      <c r="A33" t="s">
        <v>27</v>
      </c>
      <c r="B33" t="s">
        <v>148</v>
      </c>
      <c r="C33" t="s">
        <v>86</v>
      </c>
      <c r="D33" t="s">
        <v>149</v>
      </c>
      <c r="E33" t="s">
        <v>87</v>
      </c>
      <c r="F33">
        <v>91.068198299461898</v>
      </c>
      <c r="G33">
        <v>90.970242043368103</v>
      </c>
      <c r="H33">
        <v>90.375492915965097</v>
      </c>
      <c r="I33">
        <v>88.252463661258503</v>
      </c>
      <c r="J33">
        <v>88.424831224848106</v>
      </c>
      <c r="K33">
        <v>88.409948760885499</v>
      </c>
      <c r="L33">
        <v>88.328587119188995</v>
      </c>
      <c r="M33">
        <v>88.488355055833097</v>
      </c>
      <c r="N33">
        <v>88.447371405233099</v>
      </c>
      <c r="O33">
        <v>88.116744647578798</v>
      </c>
      <c r="P33">
        <v>87.985044005687897</v>
      </c>
      <c r="Q33">
        <v>87.731570562952797</v>
      </c>
      <c r="R33">
        <v>87.558714810873795</v>
      </c>
      <c r="S33">
        <v>86.983418473679606</v>
      </c>
      <c r="T33">
        <v>87.767236575399707</v>
      </c>
      <c r="U33">
        <v>87.452934415112594</v>
      </c>
      <c r="V33">
        <v>86.967862848037001</v>
      </c>
      <c r="W33">
        <v>86.964692734382893</v>
      </c>
      <c r="X33">
        <v>86.5190511120705</v>
      </c>
      <c r="Y33">
        <v>87.848202901909602</v>
      </c>
      <c r="Z33">
        <v>89.724232235384406</v>
      </c>
      <c r="AA33">
        <v>91.281884226902605</v>
      </c>
      <c r="AB33">
        <v>94.380608635741297</v>
      </c>
      <c r="AC33">
        <v>96.846677201115995</v>
      </c>
      <c r="AD33">
        <v>97.735093634989894</v>
      </c>
      <c r="AE33">
        <v>100</v>
      </c>
      <c r="AF33">
        <v>99.161381703864095</v>
      </c>
    </row>
    <row r="34" spans="1:32" x14ac:dyDescent="0.3">
      <c r="A34" t="s">
        <v>27</v>
      </c>
      <c r="B34" t="s">
        <v>150</v>
      </c>
      <c r="C34" t="s">
        <v>86</v>
      </c>
      <c r="D34" t="s">
        <v>151</v>
      </c>
      <c r="E34" t="s">
        <v>87</v>
      </c>
      <c r="F34">
        <v>80.262154370379207</v>
      </c>
      <c r="G34">
        <v>80.398011685780702</v>
      </c>
      <c r="H34">
        <v>83.797929687137994</v>
      </c>
      <c r="I34">
        <v>84.806297948934002</v>
      </c>
      <c r="J34">
        <v>86.327848745813696</v>
      </c>
      <c r="K34">
        <v>87.004528172685198</v>
      </c>
      <c r="L34">
        <v>85.652280651911497</v>
      </c>
      <c r="M34">
        <v>86.352639750163902</v>
      </c>
      <c r="N34">
        <v>86.848019300520406</v>
      </c>
      <c r="O34">
        <v>86.732316489581095</v>
      </c>
      <c r="P34">
        <v>86.678137131283805</v>
      </c>
      <c r="Q34">
        <v>87.1318901422609</v>
      </c>
      <c r="R34">
        <v>87.025198219210907</v>
      </c>
      <c r="S34">
        <v>87.508379987408006</v>
      </c>
      <c r="T34">
        <v>92.510898382447706</v>
      </c>
      <c r="U34">
        <v>90.597582638481001</v>
      </c>
      <c r="V34">
        <v>89.010696074551603</v>
      </c>
      <c r="W34">
        <v>88.488228631671106</v>
      </c>
      <c r="X34">
        <v>86.216648889915305</v>
      </c>
      <c r="Y34">
        <v>87.228889399980702</v>
      </c>
      <c r="Z34">
        <v>91.755780719555005</v>
      </c>
      <c r="AA34">
        <v>96.379320630678706</v>
      </c>
      <c r="AB34">
        <v>95.939623447618402</v>
      </c>
      <c r="AC34">
        <v>96.4062203808936</v>
      </c>
      <c r="AD34">
        <v>99.405913445648395</v>
      </c>
      <c r="AE34">
        <v>100</v>
      </c>
      <c r="AF34">
        <v>96.491642410346302</v>
      </c>
    </row>
    <row r="35" spans="1:32" x14ac:dyDescent="0.3">
      <c r="A35" t="s">
        <v>27</v>
      </c>
      <c r="B35" t="s">
        <v>152</v>
      </c>
      <c r="C35" t="s">
        <v>86</v>
      </c>
      <c r="D35" t="s">
        <v>153</v>
      </c>
      <c r="E35" t="s">
        <v>87</v>
      </c>
      <c r="F35">
        <v>149.54805815948799</v>
      </c>
      <c r="G35">
        <v>144.18779604992301</v>
      </c>
      <c r="H35">
        <v>138.30093485268901</v>
      </c>
      <c r="I35">
        <v>133.285041803891</v>
      </c>
      <c r="J35">
        <v>130.79398016050899</v>
      </c>
      <c r="K35">
        <v>126.38641389355</v>
      </c>
      <c r="L35">
        <v>120.847587678431</v>
      </c>
      <c r="M35">
        <v>117.699221544509</v>
      </c>
      <c r="N35">
        <v>115.377150107883</v>
      </c>
      <c r="O35">
        <v>115.074285523369</v>
      </c>
      <c r="P35">
        <v>113.330386402331</v>
      </c>
      <c r="Q35">
        <v>110.889286714295</v>
      </c>
      <c r="R35">
        <v>109.40204957749199</v>
      </c>
      <c r="S35">
        <v>107.858288960788</v>
      </c>
      <c r="T35">
        <v>106.07115534169</v>
      </c>
      <c r="U35">
        <v>104.758546424965</v>
      </c>
      <c r="V35">
        <v>103.781696141713</v>
      </c>
      <c r="W35">
        <v>103.385457795742</v>
      </c>
      <c r="X35">
        <v>101.517443710313</v>
      </c>
      <c r="Y35">
        <v>102.42032304691099</v>
      </c>
      <c r="Z35">
        <v>102.40382898356199</v>
      </c>
      <c r="AA35">
        <v>103.108795237249</v>
      </c>
      <c r="AB35">
        <v>101.675905047295</v>
      </c>
      <c r="AC35">
        <v>100.79818170604</v>
      </c>
      <c r="AD35">
        <v>99.790573631990895</v>
      </c>
      <c r="AE35">
        <v>100</v>
      </c>
      <c r="AF35">
        <v>99.276075864397598</v>
      </c>
    </row>
    <row r="36" spans="1:32" x14ac:dyDescent="0.3">
      <c r="A36" t="s">
        <v>27</v>
      </c>
      <c r="B36" t="s">
        <v>154</v>
      </c>
      <c r="C36" t="s">
        <v>86</v>
      </c>
      <c r="D36" t="s">
        <v>155</v>
      </c>
      <c r="E36" t="s">
        <v>87</v>
      </c>
      <c r="F36">
        <v>92.797336477323597</v>
      </c>
      <c r="G36">
        <v>92.970669984991204</v>
      </c>
      <c r="H36">
        <v>95.026736666759206</v>
      </c>
      <c r="I36">
        <v>97.354211298224897</v>
      </c>
      <c r="J36">
        <v>99.583210028671004</v>
      </c>
      <c r="K36">
        <v>99.706481169581707</v>
      </c>
      <c r="L36">
        <v>100.28807181601201</v>
      </c>
      <c r="M36">
        <v>98.460715974755502</v>
      </c>
      <c r="N36">
        <v>98.687617609370406</v>
      </c>
      <c r="O36">
        <v>101.22092958738</v>
      </c>
      <c r="P36">
        <v>101.91412461972401</v>
      </c>
      <c r="Q36">
        <v>102.004815977032</v>
      </c>
      <c r="R36">
        <v>101.529480090433</v>
      </c>
      <c r="S36">
        <v>99.186374614499101</v>
      </c>
      <c r="T36">
        <v>96.062440237938404</v>
      </c>
      <c r="U36">
        <v>97.988177812295007</v>
      </c>
      <c r="V36">
        <v>99.596606985168194</v>
      </c>
      <c r="W36">
        <v>101.026867114352</v>
      </c>
      <c r="X36">
        <v>99.416057253035106</v>
      </c>
      <c r="Y36">
        <v>102.38651272237399</v>
      </c>
      <c r="Z36">
        <v>102.945444139008</v>
      </c>
      <c r="AA36">
        <v>105.809798381557</v>
      </c>
      <c r="AB36">
        <v>104.656178492462</v>
      </c>
      <c r="AC36">
        <v>104.17080243638</v>
      </c>
      <c r="AD36">
        <v>104.361141391808</v>
      </c>
      <c r="AE36">
        <v>100</v>
      </c>
      <c r="AF36">
        <v>105.803615201762</v>
      </c>
    </row>
    <row r="37" spans="1:32" x14ac:dyDescent="0.3">
      <c r="A37" t="s">
        <v>27</v>
      </c>
      <c r="B37" t="s">
        <v>156</v>
      </c>
      <c r="C37" t="s">
        <v>86</v>
      </c>
      <c r="D37" t="s">
        <v>157</v>
      </c>
      <c r="E37" t="s">
        <v>87</v>
      </c>
      <c r="F37">
        <v>275.64680127673302</v>
      </c>
      <c r="G37">
        <v>255.156936904731</v>
      </c>
      <c r="H37">
        <v>227.64153043707501</v>
      </c>
      <c r="I37">
        <v>203.809430948916</v>
      </c>
      <c r="J37">
        <v>191.977708869568</v>
      </c>
      <c r="K37">
        <v>176.40347531529801</v>
      </c>
      <c r="L37">
        <v>160.189349776819</v>
      </c>
      <c r="M37">
        <v>153.94324755516899</v>
      </c>
      <c r="N37">
        <v>152.17650486120399</v>
      </c>
      <c r="O37">
        <v>149.81950266169599</v>
      </c>
      <c r="P37">
        <v>143.89329240580699</v>
      </c>
      <c r="Q37">
        <v>134.24757482183699</v>
      </c>
      <c r="R37">
        <v>128.63899846035801</v>
      </c>
      <c r="S37">
        <v>125.730096882824</v>
      </c>
      <c r="T37">
        <v>125.12921549380501</v>
      </c>
      <c r="U37">
        <v>120.564985057192</v>
      </c>
      <c r="V37">
        <v>118.54700844443499</v>
      </c>
      <c r="W37">
        <v>117.696762852381</v>
      </c>
      <c r="X37">
        <v>115.37308551220001</v>
      </c>
      <c r="Y37">
        <v>114.098816660998</v>
      </c>
      <c r="Z37">
        <v>113.14638558185899</v>
      </c>
      <c r="AA37">
        <v>111.822446644748</v>
      </c>
      <c r="AB37">
        <v>107.894981453244</v>
      </c>
      <c r="AC37">
        <v>104.72144351753001</v>
      </c>
      <c r="AD37">
        <v>100.607131533581</v>
      </c>
      <c r="AE37">
        <v>100</v>
      </c>
      <c r="AF37">
        <v>96.206199036781598</v>
      </c>
    </row>
    <row r="38" spans="1:32" x14ac:dyDescent="0.3">
      <c r="A38" t="s">
        <v>27</v>
      </c>
      <c r="B38" t="s">
        <v>158</v>
      </c>
      <c r="C38" t="s">
        <v>86</v>
      </c>
      <c r="D38" t="s">
        <v>159</v>
      </c>
      <c r="E38" t="s">
        <v>87</v>
      </c>
      <c r="F38">
        <v>102.90757378743599</v>
      </c>
      <c r="G38">
        <v>102.25289501419</v>
      </c>
      <c r="H38">
        <v>104.71194481429499</v>
      </c>
      <c r="I38">
        <v>106.65330378107799</v>
      </c>
      <c r="J38">
        <v>107.056726511834</v>
      </c>
      <c r="K38">
        <v>107.070305064921</v>
      </c>
      <c r="L38">
        <v>104.976502776808</v>
      </c>
      <c r="M38">
        <v>103.083988557119</v>
      </c>
      <c r="N38">
        <v>99.277920108461103</v>
      </c>
      <c r="O38">
        <v>98.790397435665597</v>
      </c>
      <c r="P38">
        <v>98.140488848707093</v>
      </c>
      <c r="Q38">
        <v>98.417876888472406</v>
      </c>
      <c r="R38">
        <v>98.747068166024206</v>
      </c>
      <c r="S38">
        <v>98.321549877871504</v>
      </c>
      <c r="T38">
        <v>96.390136493892996</v>
      </c>
      <c r="U38">
        <v>95.899622059337304</v>
      </c>
      <c r="V38">
        <v>94.648500632727306</v>
      </c>
      <c r="W38">
        <v>93.902107413670507</v>
      </c>
      <c r="X38">
        <v>92.260710560372203</v>
      </c>
      <c r="Y38">
        <v>93.875400735462193</v>
      </c>
      <c r="Z38">
        <v>94.287364578816295</v>
      </c>
      <c r="AA38">
        <v>95.654925919206903</v>
      </c>
      <c r="AB38">
        <v>95.953046524877905</v>
      </c>
      <c r="AC38">
        <v>96.645276239734002</v>
      </c>
      <c r="AD38">
        <v>97.450886306081401</v>
      </c>
      <c r="AE38">
        <v>100</v>
      </c>
      <c r="AF38">
        <v>99.451604278235294</v>
      </c>
    </row>
    <row r="39" spans="1:32" x14ac:dyDescent="0.3">
      <c r="A39" t="s">
        <v>27</v>
      </c>
      <c r="B39" t="s">
        <v>160</v>
      </c>
      <c r="C39" t="s">
        <v>86</v>
      </c>
      <c r="D39" t="s">
        <v>161</v>
      </c>
      <c r="E39" t="s">
        <v>87</v>
      </c>
      <c r="F39">
        <v>118.545884290457</v>
      </c>
      <c r="G39">
        <v>123.92199165344201</v>
      </c>
      <c r="H39">
        <v>122.957733861249</v>
      </c>
      <c r="I39">
        <v>122.48727002804399</v>
      </c>
      <c r="J39">
        <v>122.443571787876</v>
      </c>
      <c r="K39">
        <v>123.51519561364999</v>
      </c>
      <c r="L39">
        <v>137.76672103316599</v>
      </c>
      <c r="M39">
        <v>148.671774198641</v>
      </c>
      <c r="N39">
        <v>152.01741654284999</v>
      </c>
      <c r="O39">
        <v>150.972710503998</v>
      </c>
      <c r="P39">
        <v>148.49903669490499</v>
      </c>
      <c r="Q39">
        <v>144.456196604632</v>
      </c>
      <c r="R39">
        <v>138.97456611376401</v>
      </c>
      <c r="S39">
        <v>135.221249157963</v>
      </c>
      <c r="T39">
        <v>127.926417505502</v>
      </c>
      <c r="U39">
        <v>126.125651316495</v>
      </c>
      <c r="V39">
        <v>121.990369912676</v>
      </c>
      <c r="W39">
        <v>115.11594391206999</v>
      </c>
      <c r="X39">
        <v>109.626789705589</v>
      </c>
      <c r="Y39">
        <v>107.89193528256401</v>
      </c>
      <c r="Z39">
        <v>105.454961049793</v>
      </c>
      <c r="AA39">
        <v>103.92237284031501</v>
      </c>
      <c r="AB39">
        <v>102.20575940530399</v>
      </c>
      <c r="AC39">
        <v>103.698066874692</v>
      </c>
      <c r="AD39">
        <v>104.51344321877001</v>
      </c>
      <c r="AE39">
        <v>100</v>
      </c>
      <c r="AF39">
        <v>95.687040323134497</v>
      </c>
    </row>
    <row r="40" spans="1:32" x14ac:dyDescent="0.3">
      <c r="A40" t="s">
        <v>27</v>
      </c>
      <c r="B40" t="s">
        <v>162</v>
      </c>
      <c r="C40" t="s">
        <v>86</v>
      </c>
      <c r="D40" t="s">
        <v>163</v>
      </c>
      <c r="E40" t="s">
        <v>87</v>
      </c>
      <c r="F40">
        <v>103.34422418459999</v>
      </c>
      <c r="G40">
        <v>104.15769146314901</v>
      </c>
      <c r="H40">
        <v>106.226167025257</v>
      </c>
      <c r="I40">
        <v>107.653945911699</v>
      </c>
      <c r="J40">
        <v>107.525654724863</v>
      </c>
      <c r="K40">
        <v>106.88427358566599</v>
      </c>
      <c r="L40">
        <v>104.63314428254</v>
      </c>
      <c r="M40">
        <v>102.623073662154</v>
      </c>
      <c r="N40">
        <v>101.337142447628</v>
      </c>
      <c r="O40">
        <v>100.840354864604</v>
      </c>
      <c r="P40">
        <v>100.767626737188</v>
      </c>
      <c r="Q40">
        <v>101.45362895672</v>
      </c>
      <c r="R40">
        <v>102.34916055179301</v>
      </c>
      <c r="S40">
        <v>103.35528902980001</v>
      </c>
      <c r="T40">
        <v>103.618883609355</v>
      </c>
      <c r="U40">
        <v>102.555806868091</v>
      </c>
      <c r="V40">
        <v>101.496532990494</v>
      </c>
      <c r="W40">
        <v>100.862981028554</v>
      </c>
      <c r="X40">
        <v>100.147709921669</v>
      </c>
      <c r="Y40">
        <v>99.783261738345303</v>
      </c>
      <c r="Z40">
        <v>99.813017758881799</v>
      </c>
      <c r="AA40">
        <v>99.989855037399295</v>
      </c>
      <c r="AB40">
        <v>100.051146680242</v>
      </c>
      <c r="AC40">
        <v>99.571238844326899</v>
      </c>
      <c r="AD40">
        <v>99.287190571201407</v>
      </c>
      <c r="AE40">
        <v>100</v>
      </c>
      <c r="AF40">
        <v>100.56062377608001</v>
      </c>
    </row>
    <row r="41" spans="1:32" x14ac:dyDescent="0.3">
      <c r="A41" t="s">
        <v>27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27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27</v>
      </c>
      <c r="B43" t="s">
        <v>168</v>
      </c>
      <c r="C43" t="s">
        <v>86</v>
      </c>
      <c r="D43" t="s">
        <v>169</v>
      </c>
      <c r="E43" t="s">
        <v>87</v>
      </c>
      <c r="F43">
        <v>107.23086106267399</v>
      </c>
      <c r="G43">
        <v>106.71078216595301</v>
      </c>
      <c r="H43">
        <v>108.63857179132501</v>
      </c>
      <c r="I43">
        <v>108.872088869712</v>
      </c>
      <c r="J43">
        <v>108.04920715908899</v>
      </c>
      <c r="K43">
        <v>107.30456719486</v>
      </c>
      <c r="L43">
        <v>103.74851911848801</v>
      </c>
      <c r="M43">
        <v>100.282346707968</v>
      </c>
      <c r="N43">
        <v>97.0961395081072</v>
      </c>
      <c r="O43">
        <v>94.517562791097006</v>
      </c>
      <c r="P43">
        <v>92.408611488836897</v>
      </c>
      <c r="Q43">
        <v>92.143227436715506</v>
      </c>
      <c r="R43">
        <v>91.765564706106403</v>
      </c>
      <c r="S43">
        <v>91.579265869717105</v>
      </c>
      <c r="T43">
        <v>90.545931635770899</v>
      </c>
      <c r="U43">
        <v>88.674200506893698</v>
      </c>
      <c r="V43">
        <v>88.184734354146499</v>
      </c>
      <c r="W43">
        <v>87.953021788326794</v>
      </c>
      <c r="X43">
        <v>88.800519438803406</v>
      </c>
      <c r="Y43">
        <v>91.480806352232605</v>
      </c>
      <c r="Z43">
        <v>93.396228469354597</v>
      </c>
      <c r="AA43">
        <v>93.329224587344001</v>
      </c>
      <c r="AB43">
        <v>94.823819855063107</v>
      </c>
      <c r="AC43">
        <v>96.199493997767604</v>
      </c>
      <c r="AD43">
        <v>97.771001029261299</v>
      </c>
      <c r="AE43">
        <v>100</v>
      </c>
      <c r="AF43">
        <v>101.080139520575</v>
      </c>
    </row>
    <row r="44" spans="1:32" x14ac:dyDescent="0.3">
      <c r="A44" t="s">
        <v>27</v>
      </c>
      <c r="B44" t="s">
        <v>170</v>
      </c>
      <c r="C44" t="s">
        <v>86</v>
      </c>
      <c r="D44" t="s">
        <v>171</v>
      </c>
      <c r="E44" t="s">
        <v>87</v>
      </c>
      <c r="F44">
        <v>111.765855818684</v>
      </c>
      <c r="G44">
        <v>110.65628655673</v>
      </c>
      <c r="H44">
        <v>111.015694171973</v>
      </c>
      <c r="I44">
        <v>110.94408239281</v>
      </c>
      <c r="J44">
        <v>109.472776234535</v>
      </c>
      <c r="K44">
        <v>107.662032785617</v>
      </c>
      <c r="L44">
        <v>106.433599680329</v>
      </c>
      <c r="M44">
        <v>105.117694344257</v>
      </c>
      <c r="N44">
        <v>103.65559021956101</v>
      </c>
      <c r="O44">
        <v>102.52849307582601</v>
      </c>
      <c r="P44">
        <v>100.777019522785</v>
      </c>
      <c r="Q44">
        <v>99.327831441769703</v>
      </c>
      <c r="R44">
        <v>98.361159673728494</v>
      </c>
      <c r="S44">
        <v>96.836889736199197</v>
      </c>
      <c r="T44">
        <v>97.554123807823302</v>
      </c>
      <c r="U44">
        <v>95.471013233734695</v>
      </c>
      <c r="V44">
        <v>93.251456726223395</v>
      </c>
      <c r="W44">
        <v>92.717327785769498</v>
      </c>
      <c r="X44">
        <v>92.364356835433895</v>
      </c>
      <c r="Y44">
        <v>94.118939285240401</v>
      </c>
      <c r="Z44">
        <v>97.008860972239304</v>
      </c>
      <c r="AA44">
        <v>97.877504841030998</v>
      </c>
      <c r="AB44">
        <v>97.074157387989302</v>
      </c>
      <c r="AC44">
        <v>96.956187836817307</v>
      </c>
      <c r="AD44">
        <v>98.039355577572294</v>
      </c>
      <c r="AE44">
        <v>100</v>
      </c>
      <c r="AF44">
        <v>98.388590364251797</v>
      </c>
    </row>
    <row r="45" spans="1:32" x14ac:dyDescent="0.3">
      <c r="A45" t="s">
        <v>27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27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27</v>
      </c>
      <c r="B47" t="s">
        <v>176</v>
      </c>
      <c r="C47" t="s">
        <v>86</v>
      </c>
      <c r="D47" t="s">
        <v>177</v>
      </c>
      <c r="E47" t="s">
        <v>87</v>
      </c>
      <c r="F47">
        <v>133.70419738001499</v>
      </c>
      <c r="G47">
        <v>133.101842440665</v>
      </c>
      <c r="H47">
        <v>132.90885339696499</v>
      </c>
      <c r="I47">
        <v>131.806903839754</v>
      </c>
      <c r="J47">
        <v>129.208439575629</v>
      </c>
      <c r="K47">
        <v>127.355512209298</v>
      </c>
      <c r="L47">
        <v>128.42646840724399</v>
      </c>
      <c r="M47">
        <v>128.53031888695199</v>
      </c>
      <c r="N47">
        <v>124.783001992481</v>
      </c>
      <c r="O47">
        <v>123.184714229359</v>
      </c>
      <c r="P47">
        <v>121.91224323787399</v>
      </c>
      <c r="Q47">
        <v>120.422018423126</v>
      </c>
      <c r="R47">
        <v>118.6436393764</v>
      </c>
      <c r="S47">
        <v>117.22842100692201</v>
      </c>
      <c r="T47">
        <v>114.556227427181</v>
      </c>
      <c r="U47">
        <v>112.185671942265</v>
      </c>
      <c r="V47">
        <v>109.78134811178499</v>
      </c>
      <c r="W47">
        <v>106.75604745833</v>
      </c>
      <c r="X47">
        <v>103.963923551082</v>
      </c>
      <c r="Y47">
        <v>104.742318399561</v>
      </c>
      <c r="Z47">
        <v>105.232465745307</v>
      </c>
      <c r="AA47">
        <v>105.267549060748</v>
      </c>
      <c r="AB47">
        <v>103.794997690515</v>
      </c>
      <c r="AC47">
        <v>103.07576000295801</v>
      </c>
      <c r="AD47">
        <v>102.392019582687</v>
      </c>
      <c r="AE47">
        <v>100</v>
      </c>
      <c r="AF47">
        <v>99.264370968576401</v>
      </c>
    </row>
    <row r="48" spans="1:32" x14ac:dyDescent="0.3">
      <c r="A48" t="s">
        <v>27</v>
      </c>
      <c r="B48" t="s">
        <v>178</v>
      </c>
      <c r="C48" t="s">
        <v>86</v>
      </c>
      <c r="D48" t="s">
        <v>179</v>
      </c>
      <c r="E48" t="s">
        <v>87</v>
      </c>
      <c r="F48">
        <v>113.410759264099</v>
      </c>
      <c r="G48">
        <v>114.333736868646</v>
      </c>
      <c r="H48">
        <v>114.991284545402</v>
      </c>
      <c r="I48">
        <v>114.855098632568</v>
      </c>
      <c r="J48">
        <v>112.905869329748</v>
      </c>
      <c r="K48">
        <v>114.93235278275399</v>
      </c>
      <c r="L48">
        <v>115.398461848953</v>
      </c>
      <c r="M48">
        <v>114.579055781324</v>
      </c>
      <c r="N48">
        <v>112.02804544243</v>
      </c>
      <c r="O48">
        <v>110.637057368432</v>
      </c>
      <c r="P48">
        <v>109.860276075812</v>
      </c>
      <c r="Q48">
        <v>108.514487757293</v>
      </c>
      <c r="R48">
        <v>107.249598348804</v>
      </c>
      <c r="S48">
        <v>106.39416143941099</v>
      </c>
      <c r="T48">
        <v>105.36452368544801</v>
      </c>
      <c r="U48">
        <v>104.761105279955</v>
      </c>
      <c r="V48">
        <v>103.69612851325201</v>
      </c>
      <c r="W48">
        <v>102.586708672612</v>
      </c>
      <c r="X48">
        <v>101.143205676674</v>
      </c>
      <c r="Y48">
        <v>101.565046666722</v>
      </c>
      <c r="Z48">
        <v>101.634768512132</v>
      </c>
      <c r="AA48">
        <v>101.969581554225</v>
      </c>
      <c r="AB48">
        <v>101.405052050405</v>
      </c>
      <c r="AC48">
        <v>100.93993223644</v>
      </c>
      <c r="AD48">
        <v>100.707801332453</v>
      </c>
      <c r="AE48">
        <v>100</v>
      </c>
      <c r="AF48">
        <v>99.430879892735305</v>
      </c>
    </row>
    <row r="49" spans="1:32" x14ac:dyDescent="0.3">
      <c r="A49" t="s">
        <v>27</v>
      </c>
      <c r="B49" t="s">
        <v>180</v>
      </c>
      <c r="C49" t="s">
        <v>86</v>
      </c>
      <c r="D49" t="s">
        <v>181</v>
      </c>
      <c r="E49" t="s">
        <v>87</v>
      </c>
      <c r="F49">
        <v>121.76070207815</v>
      </c>
      <c r="G49">
        <v>122.61033880164</v>
      </c>
      <c r="H49">
        <v>124.055251896717</v>
      </c>
      <c r="I49">
        <v>124.27071692823201</v>
      </c>
      <c r="J49">
        <v>122.19348836090199</v>
      </c>
      <c r="K49">
        <v>120.789370188742</v>
      </c>
      <c r="L49">
        <v>120.527796625183</v>
      </c>
      <c r="M49">
        <v>119.381738215854</v>
      </c>
      <c r="N49">
        <v>115.91325001717701</v>
      </c>
      <c r="O49">
        <v>114.338401497501</v>
      </c>
      <c r="P49">
        <v>113.23515862391601</v>
      </c>
      <c r="Q49">
        <v>112.252902852803</v>
      </c>
      <c r="R49">
        <v>110.840519221726</v>
      </c>
      <c r="S49">
        <v>109.719768958291</v>
      </c>
      <c r="T49">
        <v>106.21417084399199</v>
      </c>
      <c r="U49">
        <v>104.736384521988</v>
      </c>
      <c r="V49">
        <v>103.53656302683299</v>
      </c>
      <c r="W49">
        <v>101.903350941071</v>
      </c>
      <c r="X49">
        <v>100.47085581213</v>
      </c>
      <c r="Y49">
        <v>101.765775963534</v>
      </c>
      <c r="Z49">
        <v>102.246892623097</v>
      </c>
      <c r="AA49">
        <v>102.331936020448</v>
      </c>
      <c r="AB49">
        <v>101.88400720253399</v>
      </c>
      <c r="AC49">
        <v>101.594492550073</v>
      </c>
      <c r="AD49">
        <v>100.88141620388799</v>
      </c>
      <c r="AE49">
        <v>100</v>
      </c>
      <c r="AF49">
        <v>100.058577966795</v>
      </c>
    </row>
    <row r="50" spans="1:32" x14ac:dyDescent="0.3">
      <c r="A50" t="s">
        <v>27</v>
      </c>
      <c r="B50" t="s">
        <v>182</v>
      </c>
      <c r="C50" t="s">
        <v>86</v>
      </c>
      <c r="D50" t="s">
        <v>183</v>
      </c>
      <c r="E50" t="s">
        <v>87</v>
      </c>
      <c r="F50">
        <v>94.070073898723507</v>
      </c>
      <c r="G50">
        <v>96.255375888727599</v>
      </c>
      <c r="H50">
        <v>97.086805135736498</v>
      </c>
      <c r="I50">
        <v>97.481333179101199</v>
      </c>
      <c r="J50">
        <v>96.083312625165703</v>
      </c>
      <c r="K50">
        <v>103.403552698475</v>
      </c>
      <c r="L50">
        <v>103.84829342252399</v>
      </c>
      <c r="M50">
        <v>102.510341261753</v>
      </c>
      <c r="N50">
        <v>101.374982826812</v>
      </c>
      <c r="O50">
        <v>100.230439183912</v>
      </c>
      <c r="P50">
        <v>99.987867746571894</v>
      </c>
      <c r="Q50">
        <v>98.533588906336604</v>
      </c>
      <c r="R50">
        <v>97.7089129141212</v>
      </c>
      <c r="S50">
        <v>97.398707438383695</v>
      </c>
      <c r="T50">
        <v>98.8760332333284</v>
      </c>
      <c r="U50">
        <v>99.946814653754402</v>
      </c>
      <c r="V50">
        <v>99.879060099461498</v>
      </c>
      <c r="W50">
        <v>100.314325200951</v>
      </c>
      <c r="X50">
        <v>99.741467441262799</v>
      </c>
      <c r="Y50">
        <v>99.499993905503004</v>
      </c>
      <c r="Z50">
        <v>99.116393352112397</v>
      </c>
      <c r="AA50">
        <v>99.744152237872399</v>
      </c>
      <c r="AB50">
        <v>99.691005344261001</v>
      </c>
      <c r="AC50">
        <v>99.305189934898394</v>
      </c>
      <c r="AD50">
        <v>99.5652200043113</v>
      </c>
      <c r="AE50">
        <v>100</v>
      </c>
      <c r="AF50">
        <v>99.265777610304298</v>
      </c>
    </row>
    <row r="51" spans="1:32" x14ac:dyDescent="0.3">
      <c r="A51" t="s">
        <v>27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27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27</v>
      </c>
      <c r="B53" t="s">
        <v>188</v>
      </c>
      <c r="C53" t="s">
        <v>86</v>
      </c>
      <c r="D53" t="s">
        <v>189</v>
      </c>
      <c r="E53" t="s">
        <v>87</v>
      </c>
      <c r="F53">
        <v>101.957331910278</v>
      </c>
      <c r="G53">
        <v>100.692877211622</v>
      </c>
      <c r="H53">
        <v>102.08118371339999</v>
      </c>
      <c r="I53">
        <v>102.47186282684601</v>
      </c>
      <c r="J53">
        <v>101.34766501393</v>
      </c>
      <c r="K53">
        <v>98.953990418586798</v>
      </c>
      <c r="L53">
        <v>95.701607742121695</v>
      </c>
      <c r="M53">
        <v>94.194515658514305</v>
      </c>
      <c r="N53">
        <v>93.779136861488197</v>
      </c>
      <c r="O53">
        <v>93.269165623758497</v>
      </c>
      <c r="P53">
        <v>91.988788874408598</v>
      </c>
      <c r="Q53">
        <v>90.888436814958794</v>
      </c>
      <c r="R53">
        <v>91.421172732716599</v>
      </c>
      <c r="S53">
        <v>91.034973077727301</v>
      </c>
      <c r="T53">
        <v>92.434883507158204</v>
      </c>
      <c r="U53">
        <v>92.285707270247499</v>
      </c>
      <c r="V53">
        <v>91.727321475822194</v>
      </c>
      <c r="W53">
        <v>91.081584717624196</v>
      </c>
      <c r="X53">
        <v>89.887245153926401</v>
      </c>
      <c r="Y53">
        <v>90.166849876046697</v>
      </c>
      <c r="Z53">
        <v>92.142281736785606</v>
      </c>
      <c r="AA53">
        <v>94.880520227087402</v>
      </c>
      <c r="AB53">
        <v>95.521437499796704</v>
      </c>
      <c r="AC53">
        <v>95.597735639975099</v>
      </c>
      <c r="AD53">
        <v>97.206321430609606</v>
      </c>
      <c r="AE53">
        <v>100</v>
      </c>
      <c r="AF53">
        <v>101.196296855414</v>
      </c>
    </row>
    <row r="54" spans="1:32" x14ac:dyDescent="0.3">
      <c r="A54" t="s">
        <v>27</v>
      </c>
      <c r="B54" t="s">
        <v>190</v>
      </c>
      <c r="C54" t="s">
        <v>86</v>
      </c>
      <c r="D54" t="s">
        <v>191</v>
      </c>
      <c r="E54" t="s">
        <v>87</v>
      </c>
      <c r="F54">
        <v>96.047743289007599</v>
      </c>
      <c r="G54">
        <v>95.697973093466302</v>
      </c>
      <c r="H54">
        <v>97.073870418671603</v>
      </c>
      <c r="I54">
        <v>97.556614049825995</v>
      </c>
      <c r="J54">
        <v>97.125326114318696</v>
      </c>
      <c r="K54">
        <v>96.260301028311304</v>
      </c>
      <c r="L54">
        <v>94.6577544862878</v>
      </c>
      <c r="M54">
        <v>93.690605346135101</v>
      </c>
      <c r="N54">
        <v>93.287946541521194</v>
      </c>
      <c r="O54">
        <v>93.088847910457702</v>
      </c>
      <c r="P54">
        <v>92.801868041139599</v>
      </c>
      <c r="Q54">
        <v>92.325907493937706</v>
      </c>
      <c r="R54">
        <v>92.408055429475993</v>
      </c>
      <c r="S54">
        <v>92.055084709329407</v>
      </c>
      <c r="T54">
        <v>93.037805065639105</v>
      </c>
      <c r="U54">
        <v>92.9147510644096</v>
      </c>
      <c r="V54">
        <v>92.044800226644199</v>
      </c>
      <c r="W54">
        <v>91.797014044479894</v>
      </c>
      <c r="X54">
        <v>91.133352773249499</v>
      </c>
      <c r="Y54">
        <v>92.330216429191694</v>
      </c>
      <c r="Z54">
        <v>94.118874364538797</v>
      </c>
      <c r="AA54">
        <v>95.808852108994003</v>
      </c>
      <c r="AB54">
        <v>96.135989484264201</v>
      </c>
      <c r="AC54">
        <v>96.280189987384105</v>
      </c>
      <c r="AD54">
        <v>97.723391396971607</v>
      </c>
      <c r="AE54">
        <v>100</v>
      </c>
      <c r="AF54">
        <v>100.58575924381</v>
      </c>
    </row>
    <row r="55" spans="1:32" x14ac:dyDescent="0.3">
      <c r="A55" t="s">
        <v>27</v>
      </c>
      <c r="B55" t="s">
        <v>192</v>
      </c>
      <c r="C55" t="s">
        <v>86</v>
      </c>
      <c r="D55" t="s">
        <v>193</v>
      </c>
      <c r="E55" t="s">
        <v>87</v>
      </c>
      <c r="F55">
        <v>92.471142454589298</v>
      </c>
      <c r="G55">
        <v>92.7708990807172</v>
      </c>
      <c r="H55">
        <v>94.144597566430804</v>
      </c>
      <c r="I55">
        <v>94.686254578857401</v>
      </c>
      <c r="J55">
        <v>94.666242396849398</v>
      </c>
      <c r="K55">
        <v>94.696587297464504</v>
      </c>
      <c r="L55">
        <v>94.018593734318998</v>
      </c>
      <c r="M55">
        <v>93.362087797971498</v>
      </c>
      <c r="N55">
        <v>92.966617574804999</v>
      </c>
      <c r="O55">
        <v>92.935325354382201</v>
      </c>
      <c r="P55">
        <v>93.190485704552501</v>
      </c>
      <c r="Q55">
        <v>93.061287919936603</v>
      </c>
      <c r="R55">
        <v>92.905716786698804</v>
      </c>
      <c r="S55">
        <v>92.570493425010696</v>
      </c>
      <c r="T55">
        <v>93.323069736622202</v>
      </c>
      <c r="U55">
        <v>93.214267455622306</v>
      </c>
      <c r="V55">
        <v>92.179440488729497</v>
      </c>
      <c r="W55">
        <v>92.165860415331807</v>
      </c>
      <c r="X55">
        <v>91.842707702508505</v>
      </c>
      <c r="Y55">
        <v>93.640936006997094</v>
      </c>
      <c r="Z55">
        <v>95.302654699900799</v>
      </c>
      <c r="AA55">
        <v>96.323290955901697</v>
      </c>
      <c r="AB55">
        <v>96.458215035912801</v>
      </c>
      <c r="AC55">
        <v>96.643994204013495</v>
      </c>
      <c r="AD55">
        <v>97.991082165025801</v>
      </c>
      <c r="AE55">
        <v>100</v>
      </c>
      <c r="AF55">
        <v>100.256648394837</v>
      </c>
    </row>
    <row r="56" spans="1:32" x14ac:dyDescent="0.3">
      <c r="A56" t="s">
        <v>27</v>
      </c>
      <c r="B56" t="s">
        <v>194</v>
      </c>
      <c r="C56" t="s">
        <v>86</v>
      </c>
      <c r="D56" t="s">
        <v>195</v>
      </c>
      <c r="E56" t="s">
        <v>87</v>
      </c>
      <c r="F56">
        <v>147.99603321953899</v>
      </c>
      <c r="G56">
        <v>147.351654190267</v>
      </c>
      <c r="H56">
        <v>148.458410137588</v>
      </c>
      <c r="I56">
        <v>147.61152786774801</v>
      </c>
      <c r="J56">
        <v>137.49901195693201</v>
      </c>
      <c r="K56">
        <v>134.39889611837199</v>
      </c>
      <c r="L56">
        <v>136.24452693631801</v>
      </c>
      <c r="M56">
        <v>133.270026869764</v>
      </c>
      <c r="N56">
        <v>127.834691761691</v>
      </c>
      <c r="O56">
        <v>126.31423113972799</v>
      </c>
      <c r="P56">
        <v>130.23525154921001</v>
      </c>
      <c r="Q56">
        <v>136.64214920478599</v>
      </c>
      <c r="R56">
        <v>143.05555987508899</v>
      </c>
      <c r="S56">
        <v>124.07907812427899</v>
      </c>
      <c r="T56">
        <v>105.868523348964</v>
      </c>
      <c r="U56">
        <v>103.352800456735</v>
      </c>
      <c r="V56">
        <v>99.356655651270799</v>
      </c>
      <c r="W56">
        <v>96.698259004678306</v>
      </c>
      <c r="X56">
        <v>118.651985480495</v>
      </c>
      <c r="Y56">
        <v>123.057808662846</v>
      </c>
      <c r="Z56">
        <v>128.53451434882501</v>
      </c>
      <c r="AA56">
        <v>105.526637562356</v>
      </c>
      <c r="AB56">
        <v>117.262614891927</v>
      </c>
      <c r="AC56">
        <v>117.34709439201499</v>
      </c>
      <c r="AD56">
        <v>106.261691198831</v>
      </c>
      <c r="AE56">
        <v>100</v>
      </c>
      <c r="AF56">
        <v>115.730221242743</v>
      </c>
    </row>
    <row r="57" spans="1:32" x14ac:dyDescent="0.3">
      <c r="A57" t="s">
        <v>27</v>
      </c>
      <c r="B57" t="s">
        <v>196</v>
      </c>
      <c r="C57" t="s">
        <v>86</v>
      </c>
      <c r="D57" t="s">
        <v>197</v>
      </c>
      <c r="E57" t="s">
        <v>87</v>
      </c>
      <c r="F57">
        <v>111.61001148836699</v>
      </c>
      <c r="G57">
        <v>110.96258668596199</v>
      </c>
      <c r="H57">
        <v>111.549938548771</v>
      </c>
      <c r="I57">
        <v>111.629690020076</v>
      </c>
      <c r="J57">
        <v>110.204624096966</v>
      </c>
      <c r="K57">
        <v>109.014864209363</v>
      </c>
      <c r="L57">
        <v>107.903289333093</v>
      </c>
      <c r="M57">
        <v>106.566120744418</v>
      </c>
      <c r="N57">
        <v>104.96066740082</v>
      </c>
      <c r="O57">
        <v>103.863601181275</v>
      </c>
      <c r="P57">
        <v>102.43628588102</v>
      </c>
      <c r="Q57">
        <v>101.254376549345</v>
      </c>
      <c r="R57">
        <v>100.46829205793701</v>
      </c>
      <c r="S57">
        <v>99.263567820868303</v>
      </c>
      <c r="T57">
        <v>99.599182057208907</v>
      </c>
      <c r="U57">
        <v>97.846497570386205</v>
      </c>
      <c r="V57">
        <v>95.926984182979893</v>
      </c>
      <c r="W57">
        <v>95.284739681244204</v>
      </c>
      <c r="X57">
        <v>94.795465948176002</v>
      </c>
      <c r="Y57">
        <v>96.103251506199499</v>
      </c>
      <c r="Z57">
        <v>98.227683855357995</v>
      </c>
      <c r="AA57">
        <v>98.851914209566004</v>
      </c>
      <c r="AB57">
        <v>98.223649285415803</v>
      </c>
      <c r="AC57">
        <v>98.009606803405703</v>
      </c>
      <c r="AD57">
        <v>98.679211269317705</v>
      </c>
      <c r="AE57">
        <v>100</v>
      </c>
      <c r="AF57">
        <v>98.882049430751096</v>
      </c>
    </row>
    <row r="58" spans="1:32" x14ac:dyDescent="0.3">
      <c r="A58" t="s">
        <v>27</v>
      </c>
      <c r="B58" t="s">
        <v>198</v>
      </c>
      <c r="C58" t="s">
        <v>86</v>
      </c>
      <c r="D58" t="s">
        <v>199</v>
      </c>
      <c r="E58" t="s">
        <v>87</v>
      </c>
      <c r="F58">
        <v>111.447218073141</v>
      </c>
      <c r="G58">
        <v>110.79965683957499</v>
      </c>
      <c r="H58">
        <v>111.384657002084</v>
      </c>
      <c r="I58">
        <v>111.46814034986301</v>
      </c>
      <c r="J58">
        <v>110.076036002821</v>
      </c>
      <c r="K58">
        <v>108.893082421153</v>
      </c>
      <c r="L58">
        <v>107.77286726565499</v>
      </c>
      <c r="M58">
        <v>106.441011436471</v>
      </c>
      <c r="N58">
        <v>104.846870927621</v>
      </c>
      <c r="O58">
        <v>103.751499003322</v>
      </c>
      <c r="P58">
        <v>102.31255321217201</v>
      </c>
      <c r="Q58">
        <v>101.113297358872</v>
      </c>
      <c r="R58">
        <v>100.309989577842</v>
      </c>
      <c r="S58">
        <v>99.159786846452604</v>
      </c>
      <c r="T58">
        <v>99.561258550889605</v>
      </c>
      <c r="U58">
        <v>97.811752032523998</v>
      </c>
      <c r="V58">
        <v>95.901142771605294</v>
      </c>
      <c r="W58">
        <v>95.267305898658705</v>
      </c>
      <c r="X58">
        <v>94.7056615040308</v>
      </c>
      <c r="Y58">
        <v>96.003850121991803</v>
      </c>
      <c r="Z58">
        <v>98.118448932986993</v>
      </c>
      <c r="AA58">
        <v>98.821249290683994</v>
      </c>
      <c r="AB58">
        <v>98.155685869316102</v>
      </c>
      <c r="AC58">
        <v>97.940755311478895</v>
      </c>
      <c r="AD58">
        <v>98.650186941199806</v>
      </c>
      <c r="AE58">
        <v>100</v>
      </c>
      <c r="AF58">
        <v>98.823097653884602</v>
      </c>
    </row>
    <row r="59" spans="1:32" x14ac:dyDescent="0.3">
      <c r="A59" t="s">
        <v>27</v>
      </c>
      <c r="B59" t="s">
        <v>200</v>
      </c>
      <c r="C59" t="s">
        <v>86</v>
      </c>
      <c r="D59" t="s">
        <v>201</v>
      </c>
      <c r="E59" t="s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29</v>
      </c>
      <c r="B2" t="s">
        <v>84</v>
      </c>
      <c r="C2" t="s">
        <v>86</v>
      </c>
      <c r="D2" t="s">
        <v>85</v>
      </c>
      <c r="E2" t="s">
        <v>87</v>
      </c>
      <c r="F2">
        <v>92.4781650387513</v>
      </c>
      <c r="G2">
        <v>92.155425215540205</v>
      </c>
      <c r="H2">
        <v>90.556374990283899</v>
      </c>
      <c r="I2">
        <v>91.169556825755706</v>
      </c>
      <c r="J2">
        <v>88.392049405316001</v>
      </c>
      <c r="K2">
        <v>83.707529454805396</v>
      </c>
      <c r="L2">
        <v>82.811349232101506</v>
      </c>
      <c r="M2">
        <v>80.258549358761798</v>
      </c>
      <c r="N2">
        <v>82.803859547912495</v>
      </c>
      <c r="O2">
        <v>86.922742552715505</v>
      </c>
      <c r="P2">
        <v>83.584903392365902</v>
      </c>
      <c r="Q2">
        <v>84.529066833837803</v>
      </c>
      <c r="R2">
        <v>83.465960737260701</v>
      </c>
      <c r="S2">
        <v>83.638498125464494</v>
      </c>
      <c r="T2">
        <v>81.094344656711698</v>
      </c>
      <c r="U2">
        <v>84.271240273775007</v>
      </c>
      <c r="V2">
        <v>83.754926626198795</v>
      </c>
      <c r="W2">
        <v>86.156999728661106</v>
      </c>
      <c r="X2">
        <v>87.7168203884153</v>
      </c>
      <c r="Y2">
        <v>89.744204696724495</v>
      </c>
      <c r="Z2">
        <v>93.779477934233398</v>
      </c>
      <c r="AA2">
        <v>99.253579222366298</v>
      </c>
      <c r="AB2">
        <v>100.17013753421899</v>
      </c>
      <c r="AC2">
        <v>101.580266799836</v>
      </c>
      <c r="AD2">
        <v>99.781180732314994</v>
      </c>
      <c r="AE2">
        <v>100</v>
      </c>
      <c r="AF2">
        <v>100.61171718206499</v>
      </c>
    </row>
    <row r="3" spans="1:32" x14ac:dyDescent="0.3">
      <c r="A3" t="s">
        <v>29</v>
      </c>
      <c r="B3" t="s">
        <v>88</v>
      </c>
      <c r="C3" t="s">
        <v>86</v>
      </c>
      <c r="D3" t="s">
        <v>89</v>
      </c>
      <c r="E3" t="s">
        <v>87</v>
      </c>
      <c r="F3">
        <v>90.571324748887207</v>
      </c>
      <c r="G3">
        <v>88.2457967096381</v>
      </c>
      <c r="H3">
        <v>87.984625049392605</v>
      </c>
      <c r="I3">
        <v>85.283790425705106</v>
      </c>
      <c r="J3">
        <v>80.454682921766903</v>
      </c>
      <c r="K3">
        <v>77.130320986449803</v>
      </c>
      <c r="L3">
        <v>75.6112535244593</v>
      </c>
      <c r="M3">
        <v>74.182903564395502</v>
      </c>
      <c r="N3">
        <v>73.262997332348505</v>
      </c>
      <c r="O3">
        <v>73.9354647859968</v>
      </c>
      <c r="P3">
        <v>75.264169774036404</v>
      </c>
      <c r="Q3">
        <v>77.432149229714597</v>
      </c>
      <c r="R3">
        <v>80.635942142056606</v>
      </c>
      <c r="S3">
        <v>85.630018096944198</v>
      </c>
      <c r="T3">
        <v>83.628338590182494</v>
      </c>
      <c r="U3">
        <v>86.108600219823302</v>
      </c>
      <c r="V3">
        <v>88.441174799615496</v>
      </c>
      <c r="W3">
        <v>89.876861803118004</v>
      </c>
      <c r="X3">
        <v>92.641450137615294</v>
      </c>
      <c r="Y3">
        <v>98.407428583356307</v>
      </c>
      <c r="Z3">
        <v>97.7498857049994</v>
      </c>
      <c r="AA3">
        <v>93.339929365947199</v>
      </c>
      <c r="AB3">
        <v>94.806403385353306</v>
      </c>
      <c r="AC3">
        <v>98.202014855235603</v>
      </c>
      <c r="AD3">
        <v>100.514180571984</v>
      </c>
      <c r="AE3">
        <v>100</v>
      </c>
      <c r="AF3">
        <v>104.271906199734</v>
      </c>
    </row>
    <row r="4" spans="1:32" x14ac:dyDescent="0.3">
      <c r="A4" t="s">
        <v>29</v>
      </c>
      <c r="B4" t="s">
        <v>90</v>
      </c>
      <c r="C4" t="s">
        <v>86</v>
      </c>
      <c r="D4" t="s">
        <v>91</v>
      </c>
      <c r="E4" t="s">
        <v>87</v>
      </c>
      <c r="F4">
        <v>106.314137667374</v>
      </c>
      <c r="G4">
        <v>105.27269006914401</v>
      </c>
      <c r="H4">
        <v>106.031724047976</v>
      </c>
      <c r="I4">
        <v>104.721529354941</v>
      </c>
      <c r="J4">
        <v>101.888289255678</v>
      </c>
      <c r="K4">
        <v>101.12096986743499</v>
      </c>
      <c r="L4">
        <v>99.573123307021604</v>
      </c>
      <c r="M4">
        <v>97.747949094528593</v>
      </c>
      <c r="N4">
        <v>96.5201246121255</v>
      </c>
      <c r="O4">
        <v>97.299749998464193</v>
      </c>
      <c r="P4">
        <v>99.081817727964903</v>
      </c>
      <c r="Q4">
        <v>101.45205587974699</v>
      </c>
      <c r="R4">
        <v>103.314445765054</v>
      </c>
      <c r="S4">
        <v>106.79779721020201</v>
      </c>
      <c r="T4">
        <v>98.789062779245199</v>
      </c>
      <c r="U4">
        <v>98.455675689806299</v>
      </c>
      <c r="V4">
        <v>99.6738886545333</v>
      </c>
      <c r="W4">
        <v>97.976019978484601</v>
      </c>
      <c r="X4">
        <v>100.286189837956</v>
      </c>
      <c r="Y4">
        <v>103.220936632812</v>
      </c>
      <c r="Z4">
        <v>101.401225702795</v>
      </c>
      <c r="AA4">
        <v>97.098227623764004</v>
      </c>
      <c r="AB4">
        <v>100.13645675542</v>
      </c>
      <c r="AC4">
        <v>102.138685475096</v>
      </c>
      <c r="AD4">
        <v>101.46492429697</v>
      </c>
      <c r="AE4">
        <v>100</v>
      </c>
      <c r="AF4">
        <v>105.42099233731101</v>
      </c>
    </row>
    <row r="5" spans="1:32" x14ac:dyDescent="0.3">
      <c r="A5" t="s">
        <v>29</v>
      </c>
      <c r="B5" t="s">
        <v>92</v>
      </c>
      <c r="C5" t="s">
        <v>86</v>
      </c>
      <c r="D5" t="s">
        <v>93</v>
      </c>
      <c r="E5" t="s">
        <v>87</v>
      </c>
      <c r="F5">
        <v>87.113601721545805</v>
      </c>
      <c r="G5">
        <v>87.550497264015107</v>
      </c>
      <c r="H5">
        <v>88.695601061754502</v>
      </c>
      <c r="I5">
        <v>88.669838437100907</v>
      </c>
      <c r="J5">
        <v>89.030180811605703</v>
      </c>
      <c r="K5">
        <v>88.373215787464602</v>
      </c>
      <c r="L5">
        <v>87.566164253281698</v>
      </c>
      <c r="M5">
        <v>86.922843370277803</v>
      </c>
      <c r="N5">
        <v>87.014869337952703</v>
      </c>
      <c r="O5">
        <v>88.124422108392295</v>
      </c>
      <c r="P5">
        <v>87.121149068251299</v>
      </c>
      <c r="Q5">
        <v>87.253039050368699</v>
      </c>
      <c r="R5">
        <v>88.466463773277795</v>
      </c>
      <c r="S5">
        <v>92.337549340057606</v>
      </c>
      <c r="T5">
        <v>91.369535071563504</v>
      </c>
      <c r="U5">
        <v>90.552519456919299</v>
      </c>
      <c r="V5">
        <v>92.1629020802865</v>
      </c>
      <c r="W5">
        <v>92.594935129243794</v>
      </c>
      <c r="X5">
        <v>93.694934981507402</v>
      </c>
      <c r="Y5">
        <v>96.170667691738004</v>
      </c>
      <c r="Z5">
        <v>97.836435692855503</v>
      </c>
      <c r="AA5">
        <v>98.167880688758501</v>
      </c>
      <c r="AB5">
        <v>98.878546232943293</v>
      </c>
      <c r="AC5">
        <v>99.426243451595099</v>
      </c>
      <c r="AD5">
        <v>99.821562462787497</v>
      </c>
      <c r="AE5">
        <v>100</v>
      </c>
      <c r="AF5">
        <v>101.791800038402</v>
      </c>
    </row>
    <row r="6" spans="1:32" x14ac:dyDescent="0.3">
      <c r="A6" t="s">
        <v>29</v>
      </c>
      <c r="B6" t="s">
        <v>94</v>
      </c>
      <c r="C6" t="s">
        <v>86</v>
      </c>
      <c r="D6" t="s">
        <v>95</v>
      </c>
      <c r="E6" t="s">
        <v>87</v>
      </c>
      <c r="F6">
        <v>87.401120559102594</v>
      </c>
      <c r="G6">
        <v>87.772952490597604</v>
      </c>
      <c r="H6">
        <v>89.438779869202705</v>
      </c>
      <c r="I6">
        <v>89.165649757593201</v>
      </c>
      <c r="J6">
        <v>87.742623912600493</v>
      </c>
      <c r="K6">
        <v>86.796453359389503</v>
      </c>
      <c r="L6">
        <v>86.3502341595416</v>
      </c>
      <c r="M6">
        <v>85.575486957045001</v>
      </c>
      <c r="N6">
        <v>84.835443019680397</v>
      </c>
      <c r="O6">
        <v>84.642610372990404</v>
      </c>
      <c r="P6">
        <v>85.053959802156001</v>
      </c>
      <c r="Q6">
        <v>86.613247138215698</v>
      </c>
      <c r="R6">
        <v>88.6962909610195</v>
      </c>
      <c r="S6">
        <v>90.033829804114603</v>
      </c>
      <c r="T6">
        <v>88.674672708034294</v>
      </c>
      <c r="U6">
        <v>88.399011116828405</v>
      </c>
      <c r="V6">
        <v>90.032429812726605</v>
      </c>
      <c r="W6">
        <v>90.216113890015706</v>
      </c>
      <c r="X6">
        <v>92.798962741032497</v>
      </c>
      <c r="Y6">
        <v>96.320779812436996</v>
      </c>
      <c r="Z6">
        <v>97.941724363157206</v>
      </c>
      <c r="AA6">
        <v>96.723527438597998</v>
      </c>
      <c r="AB6">
        <v>97.310462383735398</v>
      </c>
      <c r="AC6">
        <v>98.505471786674804</v>
      </c>
      <c r="AD6">
        <v>99.417694817603405</v>
      </c>
      <c r="AE6">
        <v>100</v>
      </c>
      <c r="AF6">
        <v>102.89739600667301</v>
      </c>
    </row>
    <row r="7" spans="1:32" x14ac:dyDescent="0.3">
      <c r="A7" t="s">
        <v>29</v>
      </c>
      <c r="B7" t="s">
        <v>96</v>
      </c>
      <c r="C7" t="s">
        <v>86</v>
      </c>
      <c r="D7" t="s">
        <v>97</v>
      </c>
      <c r="E7" t="s">
        <v>87</v>
      </c>
      <c r="F7">
        <v>92.893094602710804</v>
      </c>
      <c r="G7">
        <v>93.241320981516907</v>
      </c>
      <c r="H7">
        <v>94.0347963079724</v>
      </c>
      <c r="I7">
        <v>91.961872571899505</v>
      </c>
      <c r="J7">
        <v>90.576115677721901</v>
      </c>
      <c r="K7">
        <v>91.160474772145704</v>
      </c>
      <c r="L7">
        <v>90.359088409376994</v>
      </c>
      <c r="M7">
        <v>88.857008868717998</v>
      </c>
      <c r="N7">
        <v>89.239841062078298</v>
      </c>
      <c r="O7">
        <v>89.315477118693707</v>
      </c>
      <c r="P7">
        <v>88.306310221977796</v>
      </c>
      <c r="Q7">
        <v>88.560120053228204</v>
      </c>
      <c r="R7">
        <v>90.412202657268793</v>
      </c>
      <c r="S7">
        <v>92.8978318486527</v>
      </c>
      <c r="T7">
        <v>92.2660338729724</v>
      </c>
      <c r="U7">
        <v>90.353690295327397</v>
      </c>
      <c r="V7">
        <v>90.277099407659193</v>
      </c>
      <c r="W7">
        <v>90.457097171884001</v>
      </c>
      <c r="X7">
        <v>90.518787241474897</v>
      </c>
      <c r="Y7">
        <v>93.328520723420894</v>
      </c>
      <c r="Z7">
        <v>94.272347209702602</v>
      </c>
      <c r="AA7">
        <v>93.685016911351397</v>
      </c>
      <c r="AB7">
        <v>94.137661331745306</v>
      </c>
      <c r="AC7">
        <v>96.155840714892705</v>
      </c>
      <c r="AD7">
        <v>99.006272717729303</v>
      </c>
      <c r="AE7">
        <v>100</v>
      </c>
      <c r="AF7">
        <v>104.997595335499</v>
      </c>
    </row>
    <row r="8" spans="1:32" x14ac:dyDescent="0.3">
      <c r="A8" t="s">
        <v>29</v>
      </c>
      <c r="B8" t="s">
        <v>98</v>
      </c>
      <c r="C8" t="s">
        <v>86</v>
      </c>
      <c r="D8" t="s">
        <v>99</v>
      </c>
      <c r="E8" t="s">
        <v>87</v>
      </c>
      <c r="F8">
        <v>47.526674346917098</v>
      </c>
      <c r="G8">
        <v>51.045711518055903</v>
      </c>
      <c r="H8">
        <v>54.6968442786889</v>
      </c>
      <c r="I8">
        <v>51.152155450696497</v>
      </c>
      <c r="J8">
        <v>52.245233909046902</v>
      </c>
      <c r="K8">
        <v>60.838507475860702</v>
      </c>
      <c r="L8">
        <v>64.216025576558394</v>
      </c>
      <c r="M8">
        <v>67.796583281090307</v>
      </c>
      <c r="N8">
        <v>71.281010934155105</v>
      </c>
      <c r="O8">
        <v>78.126473203497298</v>
      </c>
      <c r="P8">
        <v>94.457918966911905</v>
      </c>
      <c r="Q8">
        <v>110.428904970253</v>
      </c>
      <c r="R8">
        <v>116.90428274155001</v>
      </c>
      <c r="S8">
        <v>144.818527649239</v>
      </c>
      <c r="T8">
        <v>96.872436986851895</v>
      </c>
      <c r="U8">
        <v>109.85614921062199</v>
      </c>
      <c r="V8">
        <v>125.40141560830099</v>
      </c>
      <c r="W8">
        <v>126.022062503105</v>
      </c>
      <c r="X8">
        <v>136.64926689972901</v>
      </c>
      <c r="Y8">
        <v>143.43148258048899</v>
      </c>
      <c r="Z8">
        <v>109.817601593056</v>
      </c>
      <c r="AA8">
        <v>91.380749879449795</v>
      </c>
      <c r="AB8">
        <v>108.67752198739301</v>
      </c>
      <c r="AC8">
        <v>126.544079714787</v>
      </c>
      <c r="AD8">
        <v>120.26133439359501</v>
      </c>
      <c r="AE8">
        <v>100</v>
      </c>
      <c r="AF8">
        <v>126.778250008014</v>
      </c>
    </row>
    <row r="9" spans="1:32" x14ac:dyDescent="0.3">
      <c r="A9" t="s">
        <v>29</v>
      </c>
      <c r="B9" t="s">
        <v>100</v>
      </c>
      <c r="C9" t="s">
        <v>86</v>
      </c>
      <c r="D9" t="s">
        <v>101</v>
      </c>
      <c r="E9" t="s">
        <v>87</v>
      </c>
      <c r="F9">
        <v>83.956911755141803</v>
      </c>
      <c r="G9">
        <v>82.675311147699006</v>
      </c>
      <c r="H9">
        <v>85.002743063912504</v>
      </c>
      <c r="I9">
        <v>83.118925025248103</v>
      </c>
      <c r="J9">
        <v>81.066080570469097</v>
      </c>
      <c r="K9">
        <v>85.126457270193399</v>
      </c>
      <c r="L9">
        <v>84.942533183229997</v>
      </c>
      <c r="M9">
        <v>83.454250060321797</v>
      </c>
      <c r="N9">
        <v>85.750381254300194</v>
      </c>
      <c r="O9">
        <v>91.006602999323803</v>
      </c>
      <c r="P9">
        <v>97.952307148583799</v>
      </c>
      <c r="Q9">
        <v>104.667156887627</v>
      </c>
      <c r="R9">
        <v>110.956321001023</v>
      </c>
      <c r="S9">
        <v>116.86067399069999</v>
      </c>
      <c r="T9">
        <v>99.339004032775094</v>
      </c>
      <c r="U9">
        <v>104.429271337253</v>
      </c>
      <c r="V9">
        <v>109.1338351715</v>
      </c>
      <c r="W9">
        <v>108.69882646227001</v>
      </c>
      <c r="X9">
        <v>116.5011337949</v>
      </c>
      <c r="Y9">
        <v>121.15866368595501</v>
      </c>
      <c r="Z9">
        <v>109.956760114923</v>
      </c>
      <c r="AA9">
        <v>99.900972569152302</v>
      </c>
      <c r="AB9">
        <v>106.565644584357</v>
      </c>
      <c r="AC9">
        <v>112.324955498568</v>
      </c>
      <c r="AD9">
        <v>105.905554629332</v>
      </c>
      <c r="AE9">
        <v>100</v>
      </c>
      <c r="AF9">
        <v>115.30337128143501</v>
      </c>
    </row>
    <row r="10" spans="1:32" x14ac:dyDescent="0.3">
      <c r="A10" t="s">
        <v>29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29</v>
      </c>
      <c r="B11" t="s">
        <v>104</v>
      </c>
      <c r="C11" t="s">
        <v>86</v>
      </c>
      <c r="D11" t="s">
        <v>105</v>
      </c>
      <c r="E11" t="s">
        <v>87</v>
      </c>
      <c r="F11">
        <v>156.06331445365001</v>
      </c>
      <c r="G11">
        <v>153.743349592513</v>
      </c>
      <c r="H11">
        <v>154.18207985828499</v>
      </c>
      <c r="I11">
        <v>152.499631534435</v>
      </c>
      <c r="J11">
        <v>149.89894409343401</v>
      </c>
      <c r="K11">
        <v>146.80906865590299</v>
      </c>
      <c r="L11">
        <v>145.17716555951401</v>
      </c>
      <c r="M11">
        <v>141.38614688837399</v>
      </c>
      <c r="N11">
        <v>139.14511475072399</v>
      </c>
      <c r="O11">
        <v>136.19579953207599</v>
      </c>
      <c r="P11">
        <v>135.76922558525601</v>
      </c>
      <c r="Q11">
        <v>132.96713005628499</v>
      </c>
      <c r="R11">
        <v>132.24735079368901</v>
      </c>
      <c r="S11">
        <v>128.94671960463</v>
      </c>
      <c r="T11">
        <v>126.800607050848</v>
      </c>
      <c r="U11">
        <v>122.707531907541</v>
      </c>
      <c r="V11">
        <v>121.221189377607</v>
      </c>
      <c r="W11">
        <v>117.966506142157</v>
      </c>
      <c r="X11">
        <v>117.58863409139801</v>
      </c>
      <c r="Y11">
        <v>117.446009904512</v>
      </c>
      <c r="Z11">
        <v>117.584593990954</v>
      </c>
      <c r="AA11">
        <v>112.91564745333</v>
      </c>
      <c r="AB11">
        <v>111.641376169943</v>
      </c>
      <c r="AC11">
        <v>108.85271548284</v>
      </c>
      <c r="AD11">
        <v>106.99221254134601</v>
      </c>
      <c r="AE11">
        <v>100</v>
      </c>
      <c r="AF11">
        <v>97.660943758227504</v>
      </c>
    </row>
    <row r="12" spans="1:32" x14ac:dyDescent="0.3">
      <c r="A12" t="s">
        <v>29</v>
      </c>
      <c r="B12" t="s">
        <v>106</v>
      </c>
      <c r="C12" t="s">
        <v>86</v>
      </c>
      <c r="D12" t="s">
        <v>107</v>
      </c>
      <c r="E12" t="s">
        <v>87</v>
      </c>
      <c r="F12">
        <v>92.742412093023802</v>
      </c>
      <c r="G12">
        <v>92.272206861446307</v>
      </c>
      <c r="H12">
        <v>93.898204224909506</v>
      </c>
      <c r="I12">
        <v>93.8684215310561</v>
      </c>
      <c r="J12">
        <v>92.724527153573504</v>
      </c>
      <c r="K12">
        <v>92.257838561349104</v>
      </c>
      <c r="L12">
        <v>91.654014598988994</v>
      </c>
      <c r="M12">
        <v>90.040553891862999</v>
      </c>
      <c r="N12">
        <v>89.344272223543001</v>
      </c>
      <c r="O12">
        <v>89.638993321091405</v>
      </c>
      <c r="P12">
        <v>92.1299537555265</v>
      </c>
      <c r="Q12">
        <v>94.564674748281902</v>
      </c>
      <c r="R12">
        <v>96.386238861040795</v>
      </c>
      <c r="S12">
        <v>99.057824645980801</v>
      </c>
      <c r="T12">
        <v>98.087690822803495</v>
      </c>
      <c r="U12">
        <v>97.261447971665007</v>
      </c>
      <c r="V12">
        <v>96.821469638428098</v>
      </c>
      <c r="W12">
        <v>96.335819506372999</v>
      </c>
      <c r="X12">
        <v>97.470228632944</v>
      </c>
      <c r="Y12">
        <v>100.28741442905201</v>
      </c>
      <c r="Z12">
        <v>100.46016727120001</v>
      </c>
      <c r="AA12">
        <v>97.1840471813492</v>
      </c>
      <c r="AB12">
        <v>97.159934303625604</v>
      </c>
      <c r="AC12">
        <v>99.170260274649195</v>
      </c>
      <c r="AD12">
        <v>100.544742106451</v>
      </c>
      <c r="AE12">
        <v>100</v>
      </c>
      <c r="AF12">
        <v>101.152671023431</v>
      </c>
    </row>
    <row r="13" spans="1:32" x14ac:dyDescent="0.3">
      <c r="A13" t="s">
        <v>29</v>
      </c>
      <c r="B13" t="s">
        <v>108</v>
      </c>
      <c r="C13" t="s">
        <v>86</v>
      </c>
      <c r="D13" t="s">
        <v>109</v>
      </c>
      <c r="E13" t="s">
        <v>87</v>
      </c>
      <c r="F13">
        <v>69.060150053464795</v>
      </c>
      <c r="G13">
        <v>67.834811054324504</v>
      </c>
      <c r="H13">
        <v>69.675939630559597</v>
      </c>
      <c r="I13">
        <v>68.213355228176198</v>
      </c>
      <c r="J13">
        <v>65.406007555066793</v>
      </c>
      <c r="K13">
        <v>65.338992397057396</v>
      </c>
      <c r="L13">
        <v>64.604614689405395</v>
      </c>
      <c r="M13">
        <v>64.694833388872397</v>
      </c>
      <c r="N13">
        <v>66.171559259717696</v>
      </c>
      <c r="O13">
        <v>72.585937469184998</v>
      </c>
      <c r="P13">
        <v>79.076512262199401</v>
      </c>
      <c r="Q13">
        <v>84.5877129126673</v>
      </c>
      <c r="R13">
        <v>89.887067450081304</v>
      </c>
      <c r="S13">
        <v>101.09999233834201</v>
      </c>
      <c r="T13">
        <v>89.093217595763093</v>
      </c>
      <c r="U13">
        <v>90.852330156546799</v>
      </c>
      <c r="V13">
        <v>96.499813350728004</v>
      </c>
      <c r="W13">
        <v>91.082011204857295</v>
      </c>
      <c r="X13">
        <v>91.696028995296999</v>
      </c>
      <c r="Y13">
        <v>95.558802361374504</v>
      </c>
      <c r="Z13">
        <v>93.314205610037305</v>
      </c>
      <c r="AA13">
        <v>87.537749634198207</v>
      </c>
      <c r="AB13">
        <v>95.830577118458393</v>
      </c>
      <c r="AC13">
        <v>99.572617333243997</v>
      </c>
      <c r="AD13">
        <v>100.210027808465</v>
      </c>
      <c r="AE13">
        <v>100</v>
      </c>
      <c r="AF13">
        <v>113.463293573849</v>
      </c>
    </row>
    <row r="14" spans="1:32" x14ac:dyDescent="0.3">
      <c r="A14" t="s">
        <v>29</v>
      </c>
      <c r="B14" t="s">
        <v>110</v>
      </c>
      <c r="C14" t="s">
        <v>86</v>
      </c>
      <c r="D14" t="s">
        <v>111</v>
      </c>
      <c r="E14" t="s">
        <v>87</v>
      </c>
      <c r="F14">
        <v>296.18498563593698</v>
      </c>
      <c r="G14">
        <v>276.39110522728799</v>
      </c>
      <c r="H14">
        <v>262.91872639159698</v>
      </c>
      <c r="I14">
        <v>256.093713845786</v>
      </c>
      <c r="J14">
        <v>241.952525726212</v>
      </c>
      <c r="K14">
        <v>230.09528045939899</v>
      </c>
      <c r="L14">
        <v>212.28100241798001</v>
      </c>
      <c r="M14">
        <v>195.403109840274</v>
      </c>
      <c r="N14">
        <v>177.50112648003</v>
      </c>
      <c r="O14">
        <v>166.12958339831599</v>
      </c>
      <c r="P14">
        <v>155.395192105197</v>
      </c>
      <c r="Q14">
        <v>149.727368899623</v>
      </c>
      <c r="R14">
        <v>142.97705911849701</v>
      </c>
      <c r="S14">
        <v>133.30529255879401</v>
      </c>
      <c r="T14">
        <v>123.00083767296501</v>
      </c>
      <c r="U14">
        <v>115.573855970292</v>
      </c>
      <c r="V14">
        <v>108.49424052445499</v>
      </c>
      <c r="W14">
        <v>103.507696163733</v>
      </c>
      <c r="X14">
        <v>105.566354400473</v>
      </c>
      <c r="Y14">
        <v>105.703498634459</v>
      </c>
      <c r="Z14">
        <v>106.73684972930501</v>
      </c>
      <c r="AA14">
        <v>101.693710127099</v>
      </c>
      <c r="AB14">
        <v>103.806005652077</v>
      </c>
      <c r="AC14">
        <v>103.085457745711</v>
      </c>
      <c r="AD14">
        <v>100.974355115726</v>
      </c>
      <c r="AE14">
        <v>100</v>
      </c>
      <c r="AF14">
        <v>100.427115422253</v>
      </c>
    </row>
    <row r="15" spans="1:32" x14ac:dyDescent="0.3">
      <c r="A15" t="s">
        <v>29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29</v>
      </c>
      <c r="B16" t="s">
        <v>114</v>
      </c>
      <c r="C16" t="s">
        <v>86</v>
      </c>
      <c r="D16" t="s">
        <v>115</v>
      </c>
      <c r="E16" t="s">
        <v>87</v>
      </c>
      <c r="F16">
        <v>150.439829348964</v>
      </c>
      <c r="G16">
        <v>148.332187115669</v>
      </c>
      <c r="H16">
        <v>147.09303010103099</v>
      </c>
      <c r="I16">
        <v>144.53446901872499</v>
      </c>
      <c r="J16">
        <v>140.42058821581901</v>
      </c>
      <c r="K16">
        <v>137.52616668597699</v>
      </c>
      <c r="L16">
        <v>134.168820045833</v>
      </c>
      <c r="M16">
        <v>129.021919107228</v>
      </c>
      <c r="N16">
        <v>123.841900469686</v>
      </c>
      <c r="O16">
        <v>120.645851287562</v>
      </c>
      <c r="P16">
        <v>118.853150504851</v>
      </c>
      <c r="Q16">
        <v>118.443329268938</v>
      </c>
      <c r="R16">
        <v>118.37930912138501</v>
      </c>
      <c r="S16">
        <v>116.79060787301</v>
      </c>
      <c r="T16">
        <v>112.86968944584</v>
      </c>
      <c r="U16">
        <v>108.375283092327</v>
      </c>
      <c r="V16">
        <v>105.172034328454</v>
      </c>
      <c r="W16">
        <v>102.192756291585</v>
      </c>
      <c r="X16">
        <v>103.38746983951501</v>
      </c>
      <c r="Y16">
        <v>104.729454391665</v>
      </c>
      <c r="Z16">
        <v>105.28535585379301</v>
      </c>
      <c r="AA16">
        <v>101.26579501042499</v>
      </c>
      <c r="AB16">
        <v>100.404033616978</v>
      </c>
      <c r="AC16">
        <v>100.617839147002</v>
      </c>
      <c r="AD16">
        <v>99.8469290479498</v>
      </c>
      <c r="AE16">
        <v>100</v>
      </c>
      <c r="AF16">
        <v>101.07910648559999</v>
      </c>
    </row>
    <row r="17" spans="1:32" x14ac:dyDescent="0.3">
      <c r="A17" t="s">
        <v>29</v>
      </c>
      <c r="B17" t="s">
        <v>116</v>
      </c>
      <c r="C17" t="s">
        <v>86</v>
      </c>
      <c r="D17" t="s">
        <v>117</v>
      </c>
      <c r="E17" t="s">
        <v>87</v>
      </c>
      <c r="F17">
        <v>102.763594331327</v>
      </c>
      <c r="G17">
        <v>102.657780697973</v>
      </c>
      <c r="H17">
        <v>103.79027672564899</v>
      </c>
      <c r="I17">
        <v>103.862832211948</v>
      </c>
      <c r="J17">
        <v>100.802635062847</v>
      </c>
      <c r="K17">
        <v>99.219921734945601</v>
      </c>
      <c r="L17">
        <v>98.618491642026797</v>
      </c>
      <c r="M17">
        <v>96.935117895372997</v>
      </c>
      <c r="N17">
        <v>95.3740224313472</v>
      </c>
      <c r="O17">
        <v>94.437889609732395</v>
      </c>
      <c r="P17">
        <v>94.672630799252403</v>
      </c>
      <c r="Q17">
        <v>95.237531014973996</v>
      </c>
      <c r="R17">
        <v>95.981452776783101</v>
      </c>
      <c r="S17">
        <v>95.899372796590399</v>
      </c>
      <c r="T17">
        <v>94.477503829243204</v>
      </c>
      <c r="U17">
        <v>92.978880016848194</v>
      </c>
      <c r="V17">
        <v>91.845576688773306</v>
      </c>
      <c r="W17">
        <v>92.350577133659797</v>
      </c>
      <c r="X17">
        <v>94.026959097525705</v>
      </c>
      <c r="Y17">
        <v>96.791364241481403</v>
      </c>
      <c r="Z17">
        <v>98.439475462045806</v>
      </c>
      <c r="AA17">
        <v>97.418533024807601</v>
      </c>
      <c r="AB17">
        <v>97.980044250796297</v>
      </c>
      <c r="AC17">
        <v>98.426569575745603</v>
      </c>
      <c r="AD17">
        <v>98.970341573966607</v>
      </c>
      <c r="AE17">
        <v>100</v>
      </c>
      <c r="AF17">
        <v>101.720731884459</v>
      </c>
    </row>
    <row r="18" spans="1:32" x14ac:dyDescent="0.3">
      <c r="A18" t="s">
        <v>29</v>
      </c>
      <c r="B18" t="s">
        <v>118</v>
      </c>
      <c r="C18" t="s">
        <v>86</v>
      </c>
      <c r="D18" t="s">
        <v>119</v>
      </c>
      <c r="E18" t="s">
        <v>87</v>
      </c>
      <c r="F18">
        <v>107.109100085557</v>
      </c>
      <c r="G18">
        <v>108.173166968215</v>
      </c>
      <c r="H18">
        <v>109.539365980407</v>
      </c>
      <c r="I18">
        <v>110.616948886546</v>
      </c>
      <c r="J18">
        <v>106.305696761055</v>
      </c>
      <c r="K18">
        <v>103.025359640053</v>
      </c>
      <c r="L18">
        <v>102.62075669586299</v>
      </c>
      <c r="M18">
        <v>102.01348117544801</v>
      </c>
      <c r="N18">
        <v>100.78718432810101</v>
      </c>
      <c r="O18">
        <v>99.369875575464803</v>
      </c>
      <c r="P18">
        <v>99.075648304406798</v>
      </c>
      <c r="Q18">
        <v>100.180241944854</v>
      </c>
      <c r="R18">
        <v>101.07440042841699</v>
      </c>
      <c r="S18">
        <v>99.994201640715204</v>
      </c>
      <c r="T18">
        <v>100.033342631472</v>
      </c>
      <c r="U18">
        <v>97.831204465241001</v>
      </c>
      <c r="V18">
        <v>96.618868548179293</v>
      </c>
      <c r="W18">
        <v>95.702599577102603</v>
      </c>
      <c r="X18">
        <v>98.300127015676694</v>
      </c>
      <c r="Y18">
        <v>101.068905155438</v>
      </c>
      <c r="Z18">
        <v>103.477284352924</v>
      </c>
      <c r="AA18">
        <v>100.417454264677</v>
      </c>
      <c r="AB18">
        <v>100.769706985743</v>
      </c>
      <c r="AC18">
        <v>100.34521068961701</v>
      </c>
      <c r="AD18">
        <v>99.595847105729206</v>
      </c>
      <c r="AE18">
        <v>100</v>
      </c>
      <c r="AF18">
        <v>101.564013564221</v>
      </c>
    </row>
    <row r="19" spans="1:32" x14ac:dyDescent="0.3">
      <c r="A19" t="s">
        <v>29</v>
      </c>
      <c r="B19" t="s">
        <v>120</v>
      </c>
      <c r="C19" t="s">
        <v>86</v>
      </c>
      <c r="D19" t="s">
        <v>121</v>
      </c>
      <c r="E19" t="s">
        <v>87</v>
      </c>
      <c r="F19">
        <v>111.96478686966</v>
      </c>
      <c r="G19">
        <v>109.834175886433</v>
      </c>
      <c r="H19">
        <v>108.156153437301</v>
      </c>
      <c r="I19">
        <v>106.463493730504</v>
      </c>
      <c r="J19">
        <v>102.3095110478</v>
      </c>
      <c r="K19">
        <v>100.41466196183001</v>
      </c>
      <c r="L19">
        <v>98.839796155498405</v>
      </c>
      <c r="M19">
        <v>95.779533169928598</v>
      </c>
      <c r="N19">
        <v>93.793138394477396</v>
      </c>
      <c r="O19">
        <v>93.010173423174606</v>
      </c>
      <c r="P19">
        <v>93.328908167914093</v>
      </c>
      <c r="Q19">
        <v>94.736464345618501</v>
      </c>
      <c r="R19">
        <v>96.443865626504703</v>
      </c>
      <c r="S19">
        <v>96.845647326133502</v>
      </c>
      <c r="T19">
        <v>96.628266099505694</v>
      </c>
      <c r="U19">
        <v>95.295067436914394</v>
      </c>
      <c r="V19">
        <v>94.553273037579103</v>
      </c>
      <c r="W19">
        <v>93.874571319712999</v>
      </c>
      <c r="X19">
        <v>94.876107882853304</v>
      </c>
      <c r="Y19">
        <v>97.427829914512202</v>
      </c>
      <c r="Z19">
        <v>98.714374197721895</v>
      </c>
      <c r="AA19">
        <v>97.842943075027407</v>
      </c>
      <c r="AB19">
        <v>97.659123898745705</v>
      </c>
      <c r="AC19">
        <v>98.1675139409152</v>
      </c>
      <c r="AD19">
        <v>99.132894878413694</v>
      </c>
      <c r="AE19">
        <v>100</v>
      </c>
      <c r="AF19">
        <v>97.063480077586306</v>
      </c>
    </row>
    <row r="20" spans="1:32" x14ac:dyDescent="0.3">
      <c r="A20" t="s">
        <v>29</v>
      </c>
      <c r="B20" t="s">
        <v>122</v>
      </c>
      <c r="C20" t="s">
        <v>86</v>
      </c>
      <c r="D20" t="s">
        <v>123</v>
      </c>
      <c r="E20" t="s">
        <v>87</v>
      </c>
      <c r="F20">
        <v>88.425457441425095</v>
      </c>
      <c r="G20">
        <v>85.761558576498004</v>
      </c>
      <c r="H20">
        <v>89.352397870358701</v>
      </c>
      <c r="I20">
        <v>85.841457264531002</v>
      </c>
      <c r="J20">
        <v>83.483745327086098</v>
      </c>
      <c r="K20">
        <v>84.377673273628602</v>
      </c>
      <c r="L20">
        <v>83.923074268911705</v>
      </c>
      <c r="M20">
        <v>81.347345258804594</v>
      </c>
      <c r="N20">
        <v>79.357559676509695</v>
      </c>
      <c r="O20">
        <v>78.862757121717394</v>
      </c>
      <c r="P20">
        <v>77.269918141915198</v>
      </c>
      <c r="Q20">
        <v>79.161281596401693</v>
      </c>
      <c r="R20">
        <v>80.066855589143898</v>
      </c>
      <c r="S20">
        <v>84.571148931829001</v>
      </c>
      <c r="T20">
        <v>83.897666131635702</v>
      </c>
      <c r="U20">
        <v>80.391131314788694</v>
      </c>
      <c r="V20">
        <v>83.9205471288289</v>
      </c>
      <c r="W20">
        <v>91.026084206698897</v>
      </c>
      <c r="X20">
        <v>98.292156531702801</v>
      </c>
      <c r="Y20">
        <v>107.52254125876399</v>
      </c>
      <c r="Z20">
        <v>104.88129637442201</v>
      </c>
      <c r="AA20">
        <v>92.166244060425299</v>
      </c>
      <c r="AB20">
        <v>95.605025129510196</v>
      </c>
      <c r="AC20">
        <v>101.380825853971</v>
      </c>
      <c r="AD20">
        <v>105.478240631662</v>
      </c>
      <c r="AE20">
        <v>100</v>
      </c>
      <c r="AF20">
        <v>99.985200895585805</v>
      </c>
    </row>
    <row r="21" spans="1:32" x14ac:dyDescent="0.3">
      <c r="A21" t="s">
        <v>29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29</v>
      </c>
      <c r="B22" t="s">
        <v>126</v>
      </c>
      <c r="C22" t="s">
        <v>86</v>
      </c>
      <c r="D22" t="s">
        <v>127</v>
      </c>
      <c r="E22" t="s">
        <v>87</v>
      </c>
      <c r="F22">
        <v>82.185504190256793</v>
      </c>
      <c r="G22">
        <v>83.851718670399904</v>
      </c>
      <c r="H22">
        <v>86.311419460673307</v>
      </c>
      <c r="I22">
        <v>86.541973430519207</v>
      </c>
      <c r="J22">
        <v>85.986894329710793</v>
      </c>
      <c r="K22">
        <v>86.156525898547301</v>
      </c>
      <c r="L22">
        <v>87.547402391256099</v>
      </c>
      <c r="M22">
        <v>89.121551273839898</v>
      </c>
      <c r="N22">
        <v>89.048389823476199</v>
      </c>
      <c r="O22">
        <v>89.349965851703104</v>
      </c>
      <c r="P22">
        <v>89.885354952564001</v>
      </c>
      <c r="Q22">
        <v>90.833017886435101</v>
      </c>
      <c r="R22">
        <v>91.365550788654801</v>
      </c>
      <c r="S22">
        <v>92.998448938721907</v>
      </c>
      <c r="T22">
        <v>92.808326611622206</v>
      </c>
      <c r="U22">
        <v>92.6222615165739</v>
      </c>
      <c r="V22">
        <v>92.549741101429305</v>
      </c>
      <c r="W22">
        <v>93.147949164674202</v>
      </c>
      <c r="X22">
        <v>94.222604102945496</v>
      </c>
      <c r="Y22">
        <v>96.609547372278897</v>
      </c>
      <c r="Z22">
        <v>97.489739678513899</v>
      </c>
      <c r="AA22">
        <v>97.559179347857594</v>
      </c>
      <c r="AB22">
        <v>98.077132621548998</v>
      </c>
      <c r="AC22">
        <v>98.865019694796402</v>
      </c>
      <c r="AD22">
        <v>99.827087332887999</v>
      </c>
      <c r="AE22">
        <v>100</v>
      </c>
      <c r="AF22">
        <v>101.869650946663</v>
      </c>
    </row>
    <row r="23" spans="1:32" x14ac:dyDescent="0.3">
      <c r="A23" t="s">
        <v>29</v>
      </c>
      <c r="B23" t="s">
        <v>128</v>
      </c>
      <c r="C23" t="s">
        <v>86</v>
      </c>
      <c r="D23" t="s">
        <v>129</v>
      </c>
      <c r="E23" t="s">
        <v>87</v>
      </c>
      <c r="F23">
        <v>86.100935958131302</v>
      </c>
      <c r="G23">
        <v>86.499774788476202</v>
      </c>
      <c r="H23">
        <v>88.061553202383493</v>
      </c>
      <c r="I23">
        <v>86.477039891718306</v>
      </c>
      <c r="J23">
        <v>84.988167116900001</v>
      </c>
      <c r="K23">
        <v>85.232811201641397</v>
      </c>
      <c r="L23">
        <v>84.257933258708107</v>
      </c>
      <c r="M23">
        <v>83.197441384034406</v>
      </c>
      <c r="N23">
        <v>83.345604737827401</v>
      </c>
      <c r="O23">
        <v>84.043774158203405</v>
      </c>
      <c r="P23">
        <v>84.973784520064299</v>
      </c>
      <c r="Q23">
        <v>86.440732763262602</v>
      </c>
      <c r="R23">
        <v>88.052124614484896</v>
      </c>
      <c r="S23">
        <v>90.980255186714302</v>
      </c>
      <c r="T23">
        <v>88.644376894528307</v>
      </c>
      <c r="U23">
        <v>88.3011351138978</v>
      </c>
      <c r="V23">
        <v>88.930192475559593</v>
      </c>
      <c r="W23">
        <v>88.709285701994503</v>
      </c>
      <c r="X23">
        <v>90.034412545833504</v>
      </c>
      <c r="Y23">
        <v>93.375529771407002</v>
      </c>
      <c r="Z23">
        <v>94.472694403190204</v>
      </c>
      <c r="AA23">
        <v>93.857306292687198</v>
      </c>
      <c r="AB23">
        <v>95.379610346788994</v>
      </c>
      <c r="AC23">
        <v>97.068977483337505</v>
      </c>
      <c r="AD23">
        <v>98.887966300393501</v>
      </c>
      <c r="AE23">
        <v>100</v>
      </c>
      <c r="AF23">
        <v>103.43157987707301</v>
      </c>
    </row>
    <row r="24" spans="1:32" x14ac:dyDescent="0.3">
      <c r="A24" t="s">
        <v>29</v>
      </c>
      <c r="B24" t="s">
        <v>130</v>
      </c>
      <c r="C24" t="s">
        <v>86</v>
      </c>
      <c r="D24" t="s">
        <v>131</v>
      </c>
      <c r="E24" t="s">
        <v>87</v>
      </c>
      <c r="F24">
        <v>101.050460801599</v>
      </c>
      <c r="G24">
        <v>99.625824007274602</v>
      </c>
      <c r="H24">
        <v>100.685894854924</v>
      </c>
      <c r="I24">
        <v>99.945567246291702</v>
      </c>
      <c r="J24">
        <v>98.864378279633002</v>
      </c>
      <c r="K24">
        <v>98.496864111938805</v>
      </c>
      <c r="L24">
        <v>96.738977179957999</v>
      </c>
      <c r="M24">
        <v>95.034619820055397</v>
      </c>
      <c r="N24">
        <v>94.424753777394301</v>
      </c>
      <c r="O24">
        <v>94.948431831629307</v>
      </c>
      <c r="P24">
        <v>95.471882265286197</v>
      </c>
      <c r="Q24">
        <v>96.247446941758795</v>
      </c>
      <c r="R24">
        <v>96.973232475135205</v>
      </c>
      <c r="S24">
        <v>99.273893899943701</v>
      </c>
      <c r="T24">
        <v>95.777250178865899</v>
      </c>
      <c r="U24">
        <v>95.306764729599905</v>
      </c>
      <c r="V24">
        <v>95.338603667563106</v>
      </c>
      <c r="W24">
        <v>94.685087405173903</v>
      </c>
      <c r="X24">
        <v>95.123084765360105</v>
      </c>
      <c r="Y24">
        <v>97.502991395221599</v>
      </c>
      <c r="Z24">
        <v>97.0367089242323</v>
      </c>
      <c r="AA24">
        <v>96.658122307521793</v>
      </c>
      <c r="AB24">
        <v>96.656367010732595</v>
      </c>
      <c r="AC24">
        <v>97.484535142532394</v>
      </c>
      <c r="AD24">
        <v>98.350851963857806</v>
      </c>
      <c r="AE24">
        <v>100</v>
      </c>
      <c r="AF24">
        <v>101.907136888425</v>
      </c>
    </row>
    <row r="25" spans="1:32" x14ac:dyDescent="0.3">
      <c r="A25" t="s">
        <v>29</v>
      </c>
      <c r="B25" t="s">
        <v>132</v>
      </c>
      <c r="C25" t="s">
        <v>86</v>
      </c>
      <c r="D25" t="s">
        <v>133</v>
      </c>
      <c r="E25" t="s">
        <v>87</v>
      </c>
      <c r="F25">
        <v>100.007622547018</v>
      </c>
      <c r="G25">
        <v>96.422710110807699</v>
      </c>
      <c r="H25">
        <v>97.905157193957805</v>
      </c>
      <c r="I25">
        <v>98.246696278408805</v>
      </c>
      <c r="J25">
        <v>96.234561929090205</v>
      </c>
      <c r="K25">
        <v>95.1794145969412</v>
      </c>
      <c r="L25">
        <v>94.032401200208696</v>
      </c>
      <c r="M25">
        <v>92.815019997114007</v>
      </c>
      <c r="N25">
        <v>91.755313498450107</v>
      </c>
      <c r="O25">
        <v>91.280721985584705</v>
      </c>
      <c r="P25">
        <v>91.563707706823095</v>
      </c>
      <c r="Q25">
        <v>91.460785195597396</v>
      </c>
      <c r="R25">
        <v>91.697667007146606</v>
      </c>
      <c r="S25">
        <v>91.9550668399404</v>
      </c>
      <c r="T25">
        <v>92.301108636481999</v>
      </c>
      <c r="U25">
        <v>92.315980648837694</v>
      </c>
      <c r="V25">
        <v>92.396186451943393</v>
      </c>
      <c r="W25">
        <v>92.5447939277323</v>
      </c>
      <c r="X25">
        <v>92.658062298969199</v>
      </c>
      <c r="Y25">
        <v>95.129061834853303</v>
      </c>
      <c r="Z25">
        <v>96.144811597875602</v>
      </c>
      <c r="AA25">
        <v>96.670111969877496</v>
      </c>
      <c r="AB25">
        <v>97.000309079654201</v>
      </c>
      <c r="AC25">
        <v>97.291313400666397</v>
      </c>
      <c r="AD25">
        <v>98.169729145244105</v>
      </c>
      <c r="AE25">
        <v>100</v>
      </c>
      <c r="AF25">
        <v>100.10326295083</v>
      </c>
    </row>
    <row r="26" spans="1:32" x14ac:dyDescent="0.3">
      <c r="A26" t="s">
        <v>29</v>
      </c>
      <c r="B26" t="s">
        <v>134</v>
      </c>
      <c r="C26" t="s">
        <v>86</v>
      </c>
      <c r="D26" t="s">
        <v>135</v>
      </c>
      <c r="E26" t="s">
        <v>87</v>
      </c>
      <c r="F26">
        <v>98.708482718137901</v>
      </c>
      <c r="G26">
        <v>97.249250269961607</v>
      </c>
      <c r="H26">
        <v>98.161287950567598</v>
      </c>
      <c r="I26">
        <v>96.776088993531602</v>
      </c>
      <c r="J26">
        <v>95.680165483280206</v>
      </c>
      <c r="K26">
        <v>95.762553753282603</v>
      </c>
      <c r="L26">
        <v>93.879785255363501</v>
      </c>
      <c r="M26">
        <v>92.275518278144503</v>
      </c>
      <c r="N26">
        <v>92.003431605071299</v>
      </c>
      <c r="O26">
        <v>93.245612444968003</v>
      </c>
      <c r="P26">
        <v>94.146774499941799</v>
      </c>
      <c r="Q26">
        <v>95.472991916022806</v>
      </c>
      <c r="R26">
        <v>96.859081634429202</v>
      </c>
      <c r="S26">
        <v>99.831187275854504</v>
      </c>
      <c r="T26">
        <v>95.063014745457195</v>
      </c>
      <c r="U26">
        <v>94.909297051197896</v>
      </c>
      <c r="V26">
        <v>95.566667149247294</v>
      </c>
      <c r="W26">
        <v>94.585770959455004</v>
      </c>
      <c r="X26">
        <v>95.437823941161099</v>
      </c>
      <c r="Y26">
        <v>97.755133363120805</v>
      </c>
      <c r="Z26">
        <v>96.166966602985795</v>
      </c>
      <c r="AA26">
        <v>95.453597559615005</v>
      </c>
      <c r="AB26">
        <v>94.818152295176404</v>
      </c>
      <c r="AC26">
        <v>95.801758616455402</v>
      </c>
      <c r="AD26">
        <v>97.041423406448999</v>
      </c>
      <c r="AE26">
        <v>100</v>
      </c>
      <c r="AF26">
        <v>103.271448164552</v>
      </c>
    </row>
    <row r="27" spans="1:32" x14ac:dyDescent="0.3">
      <c r="A27" t="s">
        <v>29</v>
      </c>
      <c r="B27" t="s">
        <v>136</v>
      </c>
      <c r="C27" t="s">
        <v>86</v>
      </c>
      <c r="D27" t="s">
        <v>137</v>
      </c>
      <c r="E27" t="s">
        <v>87</v>
      </c>
      <c r="F27">
        <v>104.806983434271</v>
      </c>
      <c r="G27">
        <v>103.959492637465</v>
      </c>
      <c r="H27">
        <v>105.15907092155901</v>
      </c>
      <c r="I27">
        <v>105.271426062869</v>
      </c>
      <c r="J27">
        <v>104.491582337659</v>
      </c>
      <c r="K27">
        <v>103.551501885571</v>
      </c>
      <c r="L27">
        <v>101.851544758335</v>
      </c>
      <c r="M27">
        <v>99.863636162294398</v>
      </c>
      <c r="N27">
        <v>98.815011236752099</v>
      </c>
      <c r="O27">
        <v>98.342828439975904</v>
      </c>
      <c r="P27">
        <v>98.174998637170901</v>
      </c>
      <c r="Q27">
        <v>98.088749149803306</v>
      </c>
      <c r="R27">
        <v>97.752765258525102</v>
      </c>
      <c r="S27">
        <v>99.267561288328906</v>
      </c>
      <c r="T27">
        <v>97.017695372211094</v>
      </c>
      <c r="U27">
        <v>96.0716947376295</v>
      </c>
      <c r="V27">
        <v>95.275321773725594</v>
      </c>
      <c r="W27">
        <v>94.946898575656604</v>
      </c>
      <c r="X27">
        <v>94.950153002074202</v>
      </c>
      <c r="Y27">
        <v>97.381046578750897</v>
      </c>
      <c r="Z27">
        <v>97.820315444926393</v>
      </c>
      <c r="AA27">
        <v>97.668314738359598</v>
      </c>
      <c r="AB27">
        <v>98.260122464491999</v>
      </c>
      <c r="AC27">
        <v>98.990569150988804</v>
      </c>
      <c r="AD27">
        <v>99.510357414409299</v>
      </c>
      <c r="AE27">
        <v>100</v>
      </c>
      <c r="AF27">
        <v>100.801519007679</v>
      </c>
    </row>
    <row r="28" spans="1:32" x14ac:dyDescent="0.3">
      <c r="A28" t="s">
        <v>29</v>
      </c>
      <c r="B28" t="s">
        <v>138</v>
      </c>
      <c r="C28" t="s">
        <v>86</v>
      </c>
      <c r="D28" t="s">
        <v>139</v>
      </c>
      <c r="E28" t="s">
        <v>87</v>
      </c>
      <c r="F28">
        <v>90.046231728354996</v>
      </c>
      <c r="G28">
        <v>90.583228268441502</v>
      </c>
      <c r="H28">
        <v>91.548836526711995</v>
      </c>
      <c r="I28">
        <v>91.7068340261185</v>
      </c>
      <c r="J28">
        <v>91.326587762728295</v>
      </c>
      <c r="K28">
        <v>91.375404640077903</v>
      </c>
      <c r="L28">
        <v>91.500998881138102</v>
      </c>
      <c r="M28">
        <v>90.965240329858304</v>
      </c>
      <c r="N28">
        <v>90.552470097083798</v>
      </c>
      <c r="O28">
        <v>90.814039752387103</v>
      </c>
      <c r="P28">
        <v>91.385233064925202</v>
      </c>
      <c r="Q28">
        <v>91.654985702276505</v>
      </c>
      <c r="R28">
        <v>92.695002040590595</v>
      </c>
      <c r="S28">
        <v>94.014950182678803</v>
      </c>
      <c r="T28">
        <v>90.320536213280604</v>
      </c>
      <c r="U28">
        <v>90.063177175665203</v>
      </c>
      <c r="V28">
        <v>89.890093814482697</v>
      </c>
      <c r="W28">
        <v>89.968410761715106</v>
      </c>
      <c r="X28">
        <v>91.047751214397493</v>
      </c>
      <c r="Y28">
        <v>94.221177033559798</v>
      </c>
      <c r="Z28">
        <v>95.0947161674749</v>
      </c>
      <c r="AA28">
        <v>93.304805025843095</v>
      </c>
      <c r="AB28">
        <v>94.740758912265605</v>
      </c>
      <c r="AC28">
        <v>97.562336067248594</v>
      </c>
      <c r="AD28">
        <v>98.777792132371601</v>
      </c>
      <c r="AE28">
        <v>100</v>
      </c>
      <c r="AF28">
        <v>101.449488807555</v>
      </c>
    </row>
    <row r="29" spans="1:32" x14ac:dyDescent="0.3">
      <c r="A29" t="s">
        <v>29</v>
      </c>
      <c r="B29" t="s">
        <v>140</v>
      </c>
      <c r="C29" t="s">
        <v>86</v>
      </c>
      <c r="D29" t="s">
        <v>141</v>
      </c>
      <c r="E29" t="s">
        <v>87</v>
      </c>
      <c r="F29">
        <v>91.397224069350699</v>
      </c>
      <c r="G29">
        <v>92.021677763073896</v>
      </c>
      <c r="H29">
        <v>93.002404267560195</v>
      </c>
      <c r="I29">
        <v>93.502882701627001</v>
      </c>
      <c r="J29">
        <v>93.355262773918497</v>
      </c>
      <c r="K29">
        <v>93.107084284862694</v>
      </c>
      <c r="L29">
        <v>92.832634767817396</v>
      </c>
      <c r="M29">
        <v>92.405899603334404</v>
      </c>
      <c r="N29">
        <v>91.653374482401404</v>
      </c>
      <c r="O29">
        <v>91.3894388377486</v>
      </c>
      <c r="P29">
        <v>91.7069427227961</v>
      </c>
      <c r="Q29">
        <v>91.224623197864204</v>
      </c>
      <c r="R29">
        <v>91.369437822807001</v>
      </c>
      <c r="S29">
        <v>91.826822137405799</v>
      </c>
      <c r="T29">
        <v>90.755995173306701</v>
      </c>
      <c r="U29">
        <v>90.182211636894095</v>
      </c>
      <c r="V29">
        <v>90.111810353484699</v>
      </c>
      <c r="W29">
        <v>90.570065137766306</v>
      </c>
      <c r="X29">
        <v>90.725458744586703</v>
      </c>
      <c r="Y29">
        <v>93.9016333075284</v>
      </c>
      <c r="Z29">
        <v>95.860726652854893</v>
      </c>
      <c r="AA29">
        <v>95.788215352371793</v>
      </c>
      <c r="AB29">
        <v>96.367918250607801</v>
      </c>
      <c r="AC29">
        <v>98.747778935219202</v>
      </c>
      <c r="AD29">
        <v>100.09881442487</v>
      </c>
      <c r="AE29">
        <v>100</v>
      </c>
      <c r="AF29">
        <v>96.358290173949001</v>
      </c>
    </row>
    <row r="30" spans="1:32" x14ac:dyDescent="0.3">
      <c r="A30" t="s">
        <v>29</v>
      </c>
      <c r="B30" t="s">
        <v>142</v>
      </c>
      <c r="C30" t="s">
        <v>86</v>
      </c>
      <c r="D30" t="s">
        <v>143</v>
      </c>
      <c r="E30" t="s">
        <v>87</v>
      </c>
      <c r="F30">
        <v>103.04193817007</v>
      </c>
      <c r="G30">
        <v>105.30777385170801</v>
      </c>
      <c r="H30">
        <v>107.16271717197201</v>
      </c>
      <c r="I30">
        <v>106.973553932634</v>
      </c>
      <c r="J30">
        <v>104.570848158028</v>
      </c>
      <c r="K30">
        <v>106.653708858926</v>
      </c>
      <c r="L30">
        <v>109.373725455939</v>
      </c>
      <c r="M30">
        <v>108.086583784222</v>
      </c>
      <c r="N30">
        <v>109.118320680322</v>
      </c>
      <c r="O30">
        <v>112.845537579286</v>
      </c>
      <c r="P30">
        <v>115.307853333625</v>
      </c>
      <c r="Q30">
        <v>119.805685858251</v>
      </c>
      <c r="R30">
        <v>126.74801946903899</v>
      </c>
      <c r="S30">
        <v>131.79372499302801</v>
      </c>
      <c r="T30">
        <v>110.209194015706</v>
      </c>
      <c r="U30">
        <v>110.685868864968</v>
      </c>
      <c r="V30">
        <v>106.788773471498</v>
      </c>
      <c r="W30">
        <v>105.354238328414</v>
      </c>
      <c r="X30">
        <v>113.79570812921899</v>
      </c>
      <c r="Y30">
        <v>119.17741575175501</v>
      </c>
      <c r="Z30">
        <v>117.375580240017</v>
      </c>
      <c r="AA30">
        <v>104.00859599978899</v>
      </c>
      <c r="AB30">
        <v>109.72404923998199</v>
      </c>
      <c r="AC30">
        <v>114.49156705806701</v>
      </c>
      <c r="AD30">
        <v>116.179017387586</v>
      </c>
      <c r="AE30">
        <v>100</v>
      </c>
      <c r="AF30">
        <v>97.185316041173493</v>
      </c>
    </row>
    <row r="31" spans="1:32" x14ac:dyDescent="0.3">
      <c r="A31" t="s">
        <v>29</v>
      </c>
      <c r="B31" t="s">
        <v>144</v>
      </c>
      <c r="C31" t="s">
        <v>86</v>
      </c>
      <c r="D31" t="s">
        <v>145</v>
      </c>
      <c r="E31" t="s">
        <v>87</v>
      </c>
      <c r="F31">
        <v>50.6372982248837</v>
      </c>
      <c r="G31">
        <v>50.638896539338802</v>
      </c>
      <c r="H31">
        <v>51.246949144688898</v>
      </c>
      <c r="I31">
        <v>51.162786085737103</v>
      </c>
      <c r="J31">
        <v>51.123329236166498</v>
      </c>
      <c r="K31">
        <v>51.062970205885499</v>
      </c>
      <c r="L31">
        <v>51.598853252553504</v>
      </c>
      <c r="M31">
        <v>51.089653818299901</v>
      </c>
      <c r="N31">
        <v>51.248791510225701</v>
      </c>
      <c r="O31">
        <v>51.815745526260201</v>
      </c>
      <c r="P31">
        <v>52.437842288099901</v>
      </c>
      <c r="Q31">
        <v>52.767119276271899</v>
      </c>
      <c r="R31">
        <v>53.2114663214766</v>
      </c>
      <c r="S31">
        <v>55.508340434531704</v>
      </c>
      <c r="T31">
        <v>50.999925307779201</v>
      </c>
      <c r="U31">
        <v>52.026495504368</v>
      </c>
      <c r="V31">
        <v>53.899038402724798</v>
      </c>
      <c r="W31">
        <v>53.399000452344403</v>
      </c>
      <c r="X31">
        <v>53.284342305529499</v>
      </c>
      <c r="Y31">
        <v>54.560057537484802</v>
      </c>
      <c r="Z31">
        <v>52.863890449664702</v>
      </c>
      <c r="AA31">
        <v>50.584381882086298</v>
      </c>
      <c r="AB31">
        <v>52.061408914301602</v>
      </c>
      <c r="AC31">
        <v>55.182597806921002</v>
      </c>
      <c r="AD31">
        <v>55.122004705231802</v>
      </c>
      <c r="AE31">
        <v>100</v>
      </c>
      <c r="AF31">
        <v>254.979224030648</v>
      </c>
    </row>
    <row r="32" spans="1:32" x14ac:dyDescent="0.3">
      <c r="A32" t="s">
        <v>29</v>
      </c>
      <c r="B32" t="s">
        <v>146</v>
      </c>
      <c r="C32" t="s">
        <v>86</v>
      </c>
      <c r="D32" t="s">
        <v>147</v>
      </c>
      <c r="E32" t="s">
        <v>87</v>
      </c>
      <c r="F32">
        <v>88.325708607522699</v>
      </c>
      <c r="G32">
        <v>87.858485051234297</v>
      </c>
      <c r="H32">
        <v>88.606604214784099</v>
      </c>
      <c r="I32">
        <v>88.360671644478202</v>
      </c>
      <c r="J32">
        <v>88.052963806873294</v>
      </c>
      <c r="K32">
        <v>88.294133901981397</v>
      </c>
      <c r="L32">
        <v>87.896724029996406</v>
      </c>
      <c r="M32">
        <v>87.353943685100404</v>
      </c>
      <c r="N32">
        <v>86.956311882595401</v>
      </c>
      <c r="O32">
        <v>86.936544849435705</v>
      </c>
      <c r="P32">
        <v>87.1240597948306</v>
      </c>
      <c r="Q32">
        <v>87.461658391982098</v>
      </c>
      <c r="R32">
        <v>88.328022706472098</v>
      </c>
      <c r="S32">
        <v>89.360558058619603</v>
      </c>
      <c r="T32">
        <v>87.6611719839497</v>
      </c>
      <c r="U32">
        <v>86.870651128737904</v>
      </c>
      <c r="V32">
        <v>87.490411181948801</v>
      </c>
      <c r="W32">
        <v>87.710700081692707</v>
      </c>
      <c r="X32">
        <v>88.080011601064896</v>
      </c>
      <c r="Y32">
        <v>90.843682834314606</v>
      </c>
      <c r="Z32">
        <v>91.608876284163799</v>
      </c>
      <c r="AA32">
        <v>91.366536075925097</v>
      </c>
      <c r="AB32">
        <v>92.388951849583705</v>
      </c>
      <c r="AC32">
        <v>94.638521197754201</v>
      </c>
      <c r="AD32">
        <v>96.020185594158406</v>
      </c>
      <c r="AE32">
        <v>100</v>
      </c>
      <c r="AF32">
        <v>108.042189513415</v>
      </c>
    </row>
    <row r="33" spans="1:32" x14ac:dyDescent="0.3">
      <c r="A33" t="s">
        <v>29</v>
      </c>
      <c r="B33" t="s">
        <v>148</v>
      </c>
      <c r="C33" t="s">
        <v>86</v>
      </c>
      <c r="D33" t="s">
        <v>149</v>
      </c>
      <c r="E33" t="s">
        <v>87</v>
      </c>
      <c r="F33">
        <v>92.293247005572994</v>
      </c>
      <c r="G33">
        <v>92.012875022243406</v>
      </c>
      <c r="H33">
        <v>91.761992311422603</v>
      </c>
      <c r="I33">
        <v>89.966102603018697</v>
      </c>
      <c r="J33">
        <v>89.928442795888103</v>
      </c>
      <c r="K33">
        <v>89.928777245036201</v>
      </c>
      <c r="L33">
        <v>89.744445616159894</v>
      </c>
      <c r="M33">
        <v>89.665512393775401</v>
      </c>
      <c r="N33">
        <v>89.496658888613595</v>
      </c>
      <c r="O33">
        <v>89.195522012053004</v>
      </c>
      <c r="P33">
        <v>89.172018989561295</v>
      </c>
      <c r="Q33">
        <v>89.122963411073101</v>
      </c>
      <c r="R33">
        <v>89.188526133978499</v>
      </c>
      <c r="S33">
        <v>89.309784530263798</v>
      </c>
      <c r="T33">
        <v>88.915322894949298</v>
      </c>
      <c r="U33">
        <v>88.707826877274499</v>
      </c>
      <c r="V33">
        <v>88.694005674057806</v>
      </c>
      <c r="W33">
        <v>88.716574392526795</v>
      </c>
      <c r="X33">
        <v>88.741441001129004</v>
      </c>
      <c r="Y33">
        <v>90.530816787339703</v>
      </c>
      <c r="Z33">
        <v>91.287871446092595</v>
      </c>
      <c r="AA33">
        <v>91.905411282315299</v>
      </c>
      <c r="AB33">
        <v>94.921516162517406</v>
      </c>
      <c r="AC33">
        <v>97.723642212107706</v>
      </c>
      <c r="AD33">
        <v>98.654457666993594</v>
      </c>
      <c r="AE33">
        <v>100</v>
      </c>
      <c r="AF33">
        <v>100.31532586676001</v>
      </c>
    </row>
    <row r="34" spans="1:32" x14ac:dyDescent="0.3">
      <c r="A34" t="s">
        <v>29</v>
      </c>
      <c r="B34" t="s">
        <v>150</v>
      </c>
      <c r="C34" t="s">
        <v>86</v>
      </c>
      <c r="D34" t="s">
        <v>151</v>
      </c>
      <c r="E34" t="s">
        <v>87</v>
      </c>
      <c r="F34">
        <v>85.473546563147494</v>
      </c>
      <c r="G34">
        <v>85.683271233975802</v>
      </c>
      <c r="H34">
        <v>88.096668348779602</v>
      </c>
      <c r="I34">
        <v>88.505237243631797</v>
      </c>
      <c r="J34">
        <v>88.524489262279005</v>
      </c>
      <c r="K34">
        <v>87.940756274780995</v>
      </c>
      <c r="L34">
        <v>87.291214047124498</v>
      </c>
      <c r="M34">
        <v>87.213627839645</v>
      </c>
      <c r="N34">
        <v>87.353743249513599</v>
      </c>
      <c r="O34">
        <v>87.914161546328003</v>
      </c>
      <c r="P34">
        <v>87.9757079597656</v>
      </c>
      <c r="Q34">
        <v>88.621301633751997</v>
      </c>
      <c r="R34">
        <v>89.120460512443799</v>
      </c>
      <c r="S34">
        <v>90.964718513337701</v>
      </c>
      <c r="T34">
        <v>91.364963087465597</v>
      </c>
      <c r="U34">
        <v>90.693313989581597</v>
      </c>
      <c r="V34">
        <v>90.435597893075396</v>
      </c>
      <c r="W34">
        <v>90.513297416430206</v>
      </c>
      <c r="X34">
        <v>90.603892171850404</v>
      </c>
      <c r="Y34">
        <v>93.499164849078696</v>
      </c>
      <c r="Z34">
        <v>96.2922113517279</v>
      </c>
      <c r="AA34">
        <v>97.417327697550604</v>
      </c>
      <c r="AB34">
        <v>97.960477288923698</v>
      </c>
      <c r="AC34">
        <v>98.904730865237298</v>
      </c>
      <c r="AD34">
        <v>100.246143991709</v>
      </c>
      <c r="AE34">
        <v>100</v>
      </c>
      <c r="AF34">
        <v>99.948603871624798</v>
      </c>
    </row>
    <row r="35" spans="1:32" x14ac:dyDescent="0.3">
      <c r="A35" t="s">
        <v>29</v>
      </c>
      <c r="B35" t="s">
        <v>152</v>
      </c>
      <c r="C35" t="s">
        <v>86</v>
      </c>
      <c r="D35" t="s">
        <v>153</v>
      </c>
      <c r="E35" t="s">
        <v>87</v>
      </c>
      <c r="F35">
        <v>131.719660898629</v>
      </c>
      <c r="G35">
        <v>128.55607377168701</v>
      </c>
      <c r="H35">
        <v>125.501166634067</v>
      </c>
      <c r="I35">
        <v>122.15255452856</v>
      </c>
      <c r="J35">
        <v>119.876639845078</v>
      </c>
      <c r="K35">
        <v>116.81748918243299</v>
      </c>
      <c r="L35">
        <v>112.901730964088</v>
      </c>
      <c r="M35">
        <v>110.357203566815</v>
      </c>
      <c r="N35">
        <v>108.600349675396</v>
      </c>
      <c r="O35">
        <v>107.998204125025</v>
      </c>
      <c r="P35">
        <v>106.953725918487</v>
      </c>
      <c r="Q35">
        <v>105.635383296035</v>
      </c>
      <c r="R35">
        <v>104.869898901352</v>
      </c>
      <c r="S35">
        <v>104.270078127964</v>
      </c>
      <c r="T35">
        <v>102.27366741622301</v>
      </c>
      <c r="U35">
        <v>100.57195901698699</v>
      </c>
      <c r="V35">
        <v>99.634008167330705</v>
      </c>
      <c r="W35">
        <v>99.053777084910493</v>
      </c>
      <c r="X35">
        <v>98.298871721525998</v>
      </c>
      <c r="Y35">
        <v>99.916576716630502</v>
      </c>
      <c r="Z35">
        <v>100.22531407706801</v>
      </c>
      <c r="AA35">
        <v>100.173409091406</v>
      </c>
      <c r="AB35">
        <v>99.818616691509007</v>
      </c>
      <c r="AC35">
        <v>99.798476859864607</v>
      </c>
      <c r="AD35">
        <v>99.663141647968004</v>
      </c>
      <c r="AE35">
        <v>100</v>
      </c>
      <c r="AF35">
        <v>100.27698578938001</v>
      </c>
    </row>
    <row r="36" spans="1:32" x14ac:dyDescent="0.3">
      <c r="A36" t="s">
        <v>29</v>
      </c>
      <c r="B36" t="s">
        <v>154</v>
      </c>
      <c r="C36" t="s">
        <v>86</v>
      </c>
      <c r="D36" t="s">
        <v>155</v>
      </c>
      <c r="E36" t="s">
        <v>87</v>
      </c>
      <c r="F36">
        <v>98.010448428804196</v>
      </c>
      <c r="G36">
        <v>98.220341099735805</v>
      </c>
      <c r="H36">
        <v>99.6761183982766</v>
      </c>
      <c r="I36">
        <v>100.302968431919</v>
      </c>
      <c r="J36">
        <v>100.189618836656</v>
      </c>
      <c r="K36">
        <v>100.0424831469</v>
      </c>
      <c r="L36">
        <v>99.955915532680905</v>
      </c>
      <c r="M36">
        <v>98.411333593732707</v>
      </c>
      <c r="N36">
        <v>98.192039835961907</v>
      </c>
      <c r="O36">
        <v>98.849487788824106</v>
      </c>
      <c r="P36">
        <v>98.921375533865202</v>
      </c>
      <c r="Q36">
        <v>98.989839541620597</v>
      </c>
      <c r="R36">
        <v>99.135155752704406</v>
      </c>
      <c r="S36">
        <v>98.584598804529904</v>
      </c>
      <c r="T36">
        <v>95.901681094544799</v>
      </c>
      <c r="U36">
        <v>95.669452973681203</v>
      </c>
      <c r="V36">
        <v>95.975590044986504</v>
      </c>
      <c r="W36">
        <v>96.238245846367207</v>
      </c>
      <c r="X36">
        <v>96.198932964488094</v>
      </c>
      <c r="Y36">
        <v>99.023147527130405</v>
      </c>
      <c r="Z36">
        <v>99.839490121956302</v>
      </c>
      <c r="AA36">
        <v>100.529312044973</v>
      </c>
      <c r="AB36">
        <v>100.620321305446</v>
      </c>
      <c r="AC36">
        <v>100.82477050329901</v>
      </c>
      <c r="AD36">
        <v>101.535970341796</v>
      </c>
      <c r="AE36">
        <v>100</v>
      </c>
      <c r="AF36">
        <v>103.56022030158201</v>
      </c>
    </row>
    <row r="37" spans="1:32" x14ac:dyDescent="0.3">
      <c r="A37" t="s">
        <v>29</v>
      </c>
      <c r="B37" t="s">
        <v>156</v>
      </c>
      <c r="C37" t="s">
        <v>86</v>
      </c>
      <c r="D37" t="s">
        <v>157</v>
      </c>
      <c r="E37" t="s">
        <v>87</v>
      </c>
      <c r="F37">
        <v>201.90864821663899</v>
      </c>
      <c r="G37">
        <v>190.001984510151</v>
      </c>
      <c r="H37">
        <v>174.645048104664</v>
      </c>
      <c r="I37">
        <v>160.49490670381201</v>
      </c>
      <c r="J37">
        <v>153.50143844332499</v>
      </c>
      <c r="K37">
        <v>144.35649588250899</v>
      </c>
      <c r="L37">
        <v>134.416891240518</v>
      </c>
      <c r="M37">
        <v>130.075540975244</v>
      </c>
      <c r="N37">
        <v>128.477823753883</v>
      </c>
      <c r="O37">
        <v>126.77510604132</v>
      </c>
      <c r="P37">
        <v>123.964422431305</v>
      </c>
      <c r="Q37">
        <v>119.272203889621</v>
      </c>
      <c r="R37">
        <v>116.3131653959</v>
      </c>
      <c r="S37">
        <v>114.79324515712</v>
      </c>
      <c r="T37">
        <v>113.29232097803499</v>
      </c>
      <c r="U37">
        <v>109.526755338901</v>
      </c>
      <c r="V37">
        <v>107.867570985019</v>
      </c>
      <c r="W37">
        <v>106.84154669707399</v>
      </c>
      <c r="X37">
        <v>105.385588823788</v>
      </c>
      <c r="Y37">
        <v>105.673256354633</v>
      </c>
      <c r="Z37">
        <v>105.33375025842599</v>
      </c>
      <c r="AA37">
        <v>104.285890204989</v>
      </c>
      <c r="AB37">
        <v>102.639228795297</v>
      </c>
      <c r="AC37">
        <v>101.71211378008501</v>
      </c>
      <c r="AD37">
        <v>100.113680797569</v>
      </c>
      <c r="AE37">
        <v>100</v>
      </c>
      <c r="AF37">
        <v>98.786329573626205</v>
      </c>
    </row>
    <row r="38" spans="1:32" x14ac:dyDescent="0.3">
      <c r="A38" t="s">
        <v>29</v>
      </c>
      <c r="B38" t="s">
        <v>158</v>
      </c>
      <c r="C38" t="s">
        <v>86</v>
      </c>
      <c r="D38" t="s">
        <v>159</v>
      </c>
      <c r="E38" t="s">
        <v>87</v>
      </c>
      <c r="F38">
        <v>103.480951138229</v>
      </c>
      <c r="G38">
        <v>102.863946454512</v>
      </c>
      <c r="H38">
        <v>104.808206122483</v>
      </c>
      <c r="I38">
        <v>105.86124086016299</v>
      </c>
      <c r="J38">
        <v>105.575074417422</v>
      </c>
      <c r="K38">
        <v>105.28163600617999</v>
      </c>
      <c r="L38">
        <v>103.455146224453</v>
      </c>
      <c r="M38">
        <v>101.646954643086</v>
      </c>
      <c r="N38">
        <v>98.7512731652875</v>
      </c>
      <c r="O38">
        <v>98.091827975148604</v>
      </c>
      <c r="P38">
        <v>97.537308235775001</v>
      </c>
      <c r="Q38">
        <v>97.734731777294101</v>
      </c>
      <c r="R38">
        <v>97.997826006627406</v>
      </c>
      <c r="S38">
        <v>98.029093464596002</v>
      </c>
      <c r="T38">
        <v>96.117859743699697</v>
      </c>
      <c r="U38">
        <v>95.191425639015605</v>
      </c>
      <c r="V38">
        <v>94.130826186505899</v>
      </c>
      <c r="W38">
        <v>93.432703156446095</v>
      </c>
      <c r="X38">
        <v>92.875256045025495</v>
      </c>
      <c r="Y38">
        <v>94.968324276952998</v>
      </c>
      <c r="Z38">
        <v>95.567491779207899</v>
      </c>
      <c r="AA38">
        <v>96.029322364416998</v>
      </c>
      <c r="AB38">
        <v>96.636009586979597</v>
      </c>
      <c r="AC38">
        <v>97.392101105277106</v>
      </c>
      <c r="AD38">
        <v>98.227503555094003</v>
      </c>
      <c r="AE38">
        <v>100</v>
      </c>
      <c r="AF38">
        <v>100.18905681884</v>
      </c>
    </row>
    <row r="39" spans="1:32" x14ac:dyDescent="0.3">
      <c r="A39" t="s">
        <v>29</v>
      </c>
      <c r="B39" t="s">
        <v>160</v>
      </c>
      <c r="C39" t="s">
        <v>86</v>
      </c>
      <c r="D39" t="s">
        <v>161</v>
      </c>
      <c r="E39" t="s">
        <v>87</v>
      </c>
      <c r="F39">
        <v>112.27178230047301</v>
      </c>
      <c r="G39">
        <v>115.72362540028701</v>
      </c>
      <c r="H39">
        <v>115.444349078828</v>
      </c>
      <c r="I39">
        <v>114.91373857470199</v>
      </c>
      <c r="J39">
        <v>114.39832906949</v>
      </c>
      <c r="K39">
        <v>114.860704687739</v>
      </c>
      <c r="L39">
        <v>123.726656823095</v>
      </c>
      <c r="M39">
        <v>130.20523816745001</v>
      </c>
      <c r="N39">
        <v>132.00823481984099</v>
      </c>
      <c r="O39">
        <v>130.99644993084101</v>
      </c>
      <c r="P39">
        <v>129.25761398643499</v>
      </c>
      <c r="Q39">
        <v>126.682186476982</v>
      </c>
      <c r="R39">
        <v>123.245872682664</v>
      </c>
      <c r="S39">
        <v>121.211010149559</v>
      </c>
      <c r="T39">
        <v>116.08324803237301</v>
      </c>
      <c r="U39">
        <v>114.491340771328</v>
      </c>
      <c r="V39">
        <v>111.87347092517</v>
      </c>
      <c r="W39">
        <v>107.44153217938801</v>
      </c>
      <c r="X39">
        <v>104.09078975945199</v>
      </c>
      <c r="Y39">
        <v>103.88831111154499</v>
      </c>
      <c r="Z39">
        <v>102.57366762354199</v>
      </c>
      <c r="AA39">
        <v>101.391001241399</v>
      </c>
      <c r="AB39">
        <v>100.652911365145</v>
      </c>
      <c r="AC39">
        <v>101.950788454386</v>
      </c>
      <c r="AD39">
        <v>102.77242782045199</v>
      </c>
      <c r="AE39">
        <v>100</v>
      </c>
      <c r="AF39">
        <v>97.596518100060393</v>
      </c>
    </row>
    <row r="40" spans="1:32" x14ac:dyDescent="0.3">
      <c r="A40" t="s">
        <v>29</v>
      </c>
      <c r="B40" t="s">
        <v>162</v>
      </c>
      <c r="C40" t="s">
        <v>86</v>
      </c>
      <c r="D40" t="s">
        <v>163</v>
      </c>
      <c r="E40" t="s">
        <v>87</v>
      </c>
      <c r="F40">
        <v>105.18045545876799</v>
      </c>
      <c r="G40">
        <v>106.175827318461</v>
      </c>
      <c r="H40">
        <v>107.98122324737599</v>
      </c>
      <c r="I40">
        <v>108.946381401485</v>
      </c>
      <c r="J40">
        <v>108.374278827407</v>
      </c>
      <c r="K40">
        <v>107.795005750531</v>
      </c>
      <c r="L40">
        <v>107.199585770102</v>
      </c>
      <c r="M40">
        <v>106.273184022799</v>
      </c>
      <c r="N40">
        <v>105.289744808786</v>
      </c>
      <c r="O40">
        <v>104.72093345551799</v>
      </c>
      <c r="P40">
        <v>104.758179301849</v>
      </c>
      <c r="Q40">
        <v>104.97667762010801</v>
      </c>
      <c r="R40">
        <v>105.43652782531299</v>
      </c>
      <c r="S40">
        <v>106.197757803689</v>
      </c>
      <c r="T40">
        <v>105.717992932142</v>
      </c>
      <c r="U40">
        <v>104.465325878832</v>
      </c>
      <c r="V40">
        <v>103.191670100978</v>
      </c>
      <c r="W40">
        <v>102.002964575066</v>
      </c>
      <c r="X40">
        <v>100.93011168620301</v>
      </c>
      <c r="Y40">
        <v>100.785985784217</v>
      </c>
      <c r="Z40">
        <v>100.560449457535</v>
      </c>
      <c r="AA40">
        <v>100.29512312350199</v>
      </c>
      <c r="AB40">
        <v>100.141503357296</v>
      </c>
      <c r="AC40">
        <v>100.042192609233</v>
      </c>
      <c r="AD40">
        <v>99.983710589897498</v>
      </c>
      <c r="AE40">
        <v>100</v>
      </c>
      <c r="AF40">
        <v>100.19039190138901</v>
      </c>
    </row>
    <row r="41" spans="1:32" x14ac:dyDescent="0.3">
      <c r="A41" t="s">
        <v>29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29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29</v>
      </c>
      <c r="B43" t="s">
        <v>168</v>
      </c>
      <c r="C43" t="s">
        <v>86</v>
      </c>
      <c r="D43" t="s">
        <v>169</v>
      </c>
      <c r="E43" t="s">
        <v>87</v>
      </c>
      <c r="F43">
        <v>104.58408132377301</v>
      </c>
      <c r="G43">
        <v>104.29158391700901</v>
      </c>
      <c r="H43">
        <v>105.905326758044</v>
      </c>
      <c r="I43">
        <v>105.840171560657</v>
      </c>
      <c r="J43">
        <v>104.901822933852</v>
      </c>
      <c r="K43">
        <v>104.31244684312</v>
      </c>
      <c r="L43">
        <v>101.977583350866</v>
      </c>
      <c r="M43">
        <v>99.208519602676404</v>
      </c>
      <c r="N43">
        <v>96.852442651260702</v>
      </c>
      <c r="O43">
        <v>95.116689200957595</v>
      </c>
      <c r="P43">
        <v>93.796794213597906</v>
      </c>
      <c r="Q43">
        <v>93.755788318898098</v>
      </c>
      <c r="R43">
        <v>93.543378315177407</v>
      </c>
      <c r="S43">
        <v>93.648341030224501</v>
      </c>
      <c r="T43">
        <v>91.953316030981696</v>
      </c>
      <c r="U43">
        <v>90.430590656347206</v>
      </c>
      <c r="V43">
        <v>90.211926191309004</v>
      </c>
      <c r="W43">
        <v>90.090911378890397</v>
      </c>
      <c r="X43">
        <v>90.907060426370407</v>
      </c>
      <c r="Y43">
        <v>93.632730206937794</v>
      </c>
      <c r="Z43">
        <v>95.043962475992899</v>
      </c>
      <c r="AA43">
        <v>94.856675188518906</v>
      </c>
      <c r="AB43">
        <v>96.179465298288093</v>
      </c>
      <c r="AC43">
        <v>97.427317972814294</v>
      </c>
      <c r="AD43">
        <v>98.761020171258906</v>
      </c>
      <c r="AE43">
        <v>100</v>
      </c>
      <c r="AF43">
        <v>101.47849746477</v>
      </c>
    </row>
    <row r="44" spans="1:32" x14ac:dyDescent="0.3">
      <c r="A44" t="s">
        <v>29</v>
      </c>
      <c r="B44" t="s">
        <v>170</v>
      </c>
      <c r="C44" t="s">
        <v>86</v>
      </c>
      <c r="D44" t="s">
        <v>171</v>
      </c>
      <c r="E44" t="s">
        <v>87</v>
      </c>
      <c r="F44">
        <v>101.34377802995699</v>
      </c>
      <c r="G44">
        <v>100.79877980707499</v>
      </c>
      <c r="H44">
        <v>101.73701855849301</v>
      </c>
      <c r="I44">
        <v>100.71273477996201</v>
      </c>
      <c r="J44">
        <v>98.931001214723693</v>
      </c>
      <c r="K44">
        <v>98.319663663168896</v>
      </c>
      <c r="L44">
        <v>97.324068879779503</v>
      </c>
      <c r="M44">
        <v>96.071074589749003</v>
      </c>
      <c r="N44">
        <v>95.322761787484694</v>
      </c>
      <c r="O44">
        <v>95.692526508996906</v>
      </c>
      <c r="P44">
        <v>96.274571530541394</v>
      </c>
      <c r="Q44">
        <v>97.400464529521798</v>
      </c>
      <c r="R44">
        <v>98.291779461826295</v>
      </c>
      <c r="S44">
        <v>100.487775198151</v>
      </c>
      <c r="T44">
        <v>96.013006295584503</v>
      </c>
      <c r="U44">
        <v>95.401507945962294</v>
      </c>
      <c r="V44">
        <v>95.813973319514602</v>
      </c>
      <c r="W44">
        <v>95.094441773048104</v>
      </c>
      <c r="X44">
        <v>96.347323209532306</v>
      </c>
      <c r="Y44">
        <v>99.135729942198793</v>
      </c>
      <c r="Z44">
        <v>98.745272541895602</v>
      </c>
      <c r="AA44">
        <v>96.624410329741195</v>
      </c>
      <c r="AB44">
        <v>98.227113607733699</v>
      </c>
      <c r="AC44">
        <v>99.843338042223294</v>
      </c>
      <c r="AD44">
        <v>100.257493415944</v>
      </c>
      <c r="AE44">
        <v>100</v>
      </c>
      <c r="AF44">
        <v>102.872945877673</v>
      </c>
    </row>
    <row r="45" spans="1:32" x14ac:dyDescent="0.3">
      <c r="A45" t="s">
        <v>29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29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29</v>
      </c>
      <c r="B47" t="s">
        <v>176</v>
      </c>
      <c r="C47" t="s">
        <v>86</v>
      </c>
      <c r="D47" t="s">
        <v>177</v>
      </c>
      <c r="E47" t="s">
        <v>87</v>
      </c>
      <c r="F47">
        <v>103.771535342715</v>
      </c>
      <c r="G47">
        <v>104.091588901783</v>
      </c>
      <c r="H47">
        <v>104.975261963077</v>
      </c>
      <c r="I47">
        <v>104.513272539261</v>
      </c>
      <c r="J47">
        <v>102.98547364989599</v>
      </c>
      <c r="K47">
        <v>102.252064480512</v>
      </c>
      <c r="L47">
        <v>103.811132628962</v>
      </c>
      <c r="M47">
        <v>104.50416253811299</v>
      </c>
      <c r="N47">
        <v>102.86915504305</v>
      </c>
      <c r="O47">
        <v>102.375373082202</v>
      </c>
      <c r="P47">
        <v>102.464059111967</v>
      </c>
      <c r="Q47">
        <v>102.314873890443</v>
      </c>
      <c r="R47">
        <v>101.79424830199601</v>
      </c>
      <c r="S47">
        <v>101.925514981136</v>
      </c>
      <c r="T47">
        <v>99.509955629355304</v>
      </c>
      <c r="U47">
        <v>98.647541705151795</v>
      </c>
      <c r="V47">
        <v>98.099468138782399</v>
      </c>
      <c r="W47">
        <v>96.876693980512499</v>
      </c>
      <c r="X47">
        <v>96.344926662385802</v>
      </c>
      <c r="Y47">
        <v>98.465752707092904</v>
      </c>
      <c r="Z47">
        <v>99.093873329066099</v>
      </c>
      <c r="AA47">
        <v>99.063830706331998</v>
      </c>
      <c r="AB47">
        <v>99.396078212925403</v>
      </c>
      <c r="AC47">
        <v>100.50114370180501</v>
      </c>
      <c r="AD47">
        <v>101.049194608148</v>
      </c>
      <c r="AE47">
        <v>100</v>
      </c>
      <c r="AF47">
        <v>101.154523489597</v>
      </c>
    </row>
    <row r="48" spans="1:32" x14ac:dyDescent="0.3">
      <c r="A48" t="s">
        <v>29</v>
      </c>
      <c r="B48" t="s">
        <v>178</v>
      </c>
      <c r="C48" t="s">
        <v>86</v>
      </c>
      <c r="D48" t="s">
        <v>179</v>
      </c>
      <c r="E48" t="s">
        <v>87</v>
      </c>
      <c r="F48">
        <v>101.46450583148901</v>
      </c>
      <c r="G48">
        <v>102.35251061720599</v>
      </c>
      <c r="H48">
        <v>103.512353602563</v>
      </c>
      <c r="I48">
        <v>103.45913734382999</v>
      </c>
      <c r="J48">
        <v>102.06436680956401</v>
      </c>
      <c r="K48">
        <v>104.345317598742</v>
      </c>
      <c r="L48">
        <v>105.102533723107</v>
      </c>
      <c r="M48">
        <v>104.732932495268</v>
      </c>
      <c r="N48">
        <v>103.236619477258</v>
      </c>
      <c r="O48">
        <v>102.49346363482699</v>
      </c>
      <c r="P48">
        <v>102.44494309517</v>
      </c>
      <c r="Q48">
        <v>101.92217817359899</v>
      </c>
      <c r="R48">
        <v>101.412098280202</v>
      </c>
      <c r="S48">
        <v>101.393910439584</v>
      </c>
      <c r="T48">
        <v>99.923423495037596</v>
      </c>
      <c r="U48">
        <v>99.459742850013001</v>
      </c>
      <c r="V48">
        <v>99.118168689471005</v>
      </c>
      <c r="W48">
        <v>98.487005978252398</v>
      </c>
      <c r="X48">
        <v>98.181042162180802</v>
      </c>
      <c r="Y48">
        <v>99.516624221494396</v>
      </c>
      <c r="Z48">
        <v>99.787837989784904</v>
      </c>
      <c r="AA48">
        <v>99.525413870597703</v>
      </c>
      <c r="AB48">
        <v>99.787224972488104</v>
      </c>
      <c r="AC48">
        <v>100.161012182908</v>
      </c>
      <c r="AD48">
        <v>100.42817108533001</v>
      </c>
      <c r="AE48">
        <v>100</v>
      </c>
      <c r="AF48">
        <v>100.468153395874</v>
      </c>
    </row>
    <row r="49" spans="1:32" x14ac:dyDescent="0.3">
      <c r="A49" t="s">
        <v>29</v>
      </c>
      <c r="B49" t="s">
        <v>180</v>
      </c>
      <c r="C49" t="s">
        <v>86</v>
      </c>
      <c r="D49" t="s">
        <v>181</v>
      </c>
      <c r="E49" t="s">
        <v>87</v>
      </c>
      <c r="F49">
        <v>104.351246389897</v>
      </c>
      <c r="G49">
        <v>105.49303392226101</v>
      </c>
      <c r="H49">
        <v>107.339073726026</v>
      </c>
      <c r="I49">
        <v>107.834080792816</v>
      </c>
      <c r="J49">
        <v>106.58893698733</v>
      </c>
      <c r="K49">
        <v>106.07685085733399</v>
      </c>
      <c r="L49">
        <v>106.423190420403</v>
      </c>
      <c r="M49">
        <v>105.992884576352</v>
      </c>
      <c r="N49">
        <v>103.78680512925899</v>
      </c>
      <c r="O49">
        <v>103.068422556027</v>
      </c>
      <c r="P49">
        <v>102.86623628857301</v>
      </c>
      <c r="Q49">
        <v>102.73457385794001</v>
      </c>
      <c r="R49">
        <v>102.114532590397</v>
      </c>
      <c r="S49">
        <v>101.970003517553</v>
      </c>
      <c r="T49">
        <v>98.889632194704305</v>
      </c>
      <c r="U49">
        <v>97.894963137253995</v>
      </c>
      <c r="V49">
        <v>97.385155979779995</v>
      </c>
      <c r="W49">
        <v>96.522036810218694</v>
      </c>
      <c r="X49">
        <v>96.078539676886606</v>
      </c>
      <c r="Y49">
        <v>98.140469599440706</v>
      </c>
      <c r="Z49">
        <v>98.873187063582094</v>
      </c>
      <c r="AA49">
        <v>98.867479033083299</v>
      </c>
      <c r="AB49">
        <v>99.3316091535185</v>
      </c>
      <c r="AC49">
        <v>100.120199643379</v>
      </c>
      <c r="AD49">
        <v>100.325207068078</v>
      </c>
      <c r="AE49">
        <v>100</v>
      </c>
      <c r="AF49">
        <v>101.01814409596101</v>
      </c>
    </row>
    <row r="50" spans="1:32" x14ac:dyDescent="0.3">
      <c r="A50" t="s">
        <v>29</v>
      </c>
      <c r="B50" t="s">
        <v>182</v>
      </c>
      <c r="C50" t="s">
        <v>86</v>
      </c>
      <c r="D50" t="s">
        <v>183</v>
      </c>
      <c r="E50" t="s">
        <v>87</v>
      </c>
      <c r="F50">
        <v>97.604296456555403</v>
      </c>
      <c r="G50">
        <v>98.8485352484077</v>
      </c>
      <c r="H50">
        <v>99.874447184764904</v>
      </c>
      <c r="I50">
        <v>99.886433872315607</v>
      </c>
      <c r="J50">
        <v>98.534440764620001</v>
      </c>
      <c r="K50">
        <v>105.016112819452</v>
      </c>
      <c r="L50">
        <v>105.272527975366</v>
      </c>
      <c r="M50">
        <v>104.003371256188</v>
      </c>
      <c r="N50">
        <v>102.99600815406301</v>
      </c>
      <c r="O50">
        <v>102.02928538803501</v>
      </c>
      <c r="P50">
        <v>101.94394014705399</v>
      </c>
      <c r="Q50">
        <v>100.93561795148899</v>
      </c>
      <c r="R50">
        <v>100.488317323833</v>
      </c>
      <c r="S50">
        <v>100.414522081008</v>
      </c>
      <c r="T50">
        <v>100.43077427192</v>
      </c>
      <c r="U50">
        <v>100.51116026662601</v>
      </c>
      <c r="V50">
        <v>100.39724273032699</v>
      </c>
      <c r="W50">
        <v>100.282128940029</v>
      </c>
      <c r="X50">
        <v>100.190563490343</v>
      </c>
      <c r="Y50">
        <v>100.696802387156</v>
      </c>
      <c r="Z50">
        <v>100.55152769336</v>
      </c>
      <c r="AA50">
        <v>100.04144928371601</v>
      </c>
      <c r="AB50">
        <v>100.18278603819201</v>
      </c>
      <c r="AC50">
        <v>99.951839184763401</v>
      </c>
      <c r="AD50">
        <v>100.06850725652799</v>
      </c>
      <c r="AE50">
        <v>100</v>
      </c>
      <c r="AF50">
        <v>99.854325657003201</v>
      </c>
    </row>
    <row r="51" spans="1:32" x14ac:dyDescent="0.3">
      <c r="A51" t="s">
        <v>29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29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29</v>
      </c>
      <c r="B53" t="s">
        <v>188</v>
      </c>
      <c r="C53" t="s">
        <v>86</v>
      </c>
      <c r="D53" t="s">
        <v>189</v>
      </c>
      <c r="E53" t="s">
        <v>87</v>
      </c>
      <c r="F53">
        <v>98.777333108032394</v>
      </c>
      <c r="G53">
        <v>98.050860185424</v>
      </c>
      <c r="H53">
        <v>99.474661034392597</v>
      </c>
      <c r="I53">
        <v>99.373127025849797</v>
      </c>
      <c r="J53">
        <v>98.166044502135193</v>
      </c>
      <c r="K53">
        <v>96.748127791338504</v>
      </c>
      <c r="L53">
        <v>94.925992454708705</v>
      </c>
      <c r="M53">
        <v>93.810527501932796</v>
      </c>
      <c r="N53">
        <v>93.332953803533599</v>
      </c>
      <c r="O53">
        <v>92.9988275413574</v>
      </c>
      <c r="P53">
        <v>92.407764294594102</v>
      </c>
      <c r="Q53">
        <v>92.063893932254004</v>
      </c>
      <c r="R53">
        <v>92.662997110957406</v>
      </c>
      <c r="S53">
        <v>93.116476357965794</v>
      </c>
      <c r="T53">
        <v>92.600457392735095</v>
      </c>
      <c r="U53">
        <v>92.369069016864501</v>
      </c>
      <c r="V53">
        <v>92.312951379049807</v>
      </c>
      <c r="W53">
        <v>92.053159347485405</v>
      </c>
      <c r="X53">
        <v>91.898283562430805</v>
      </c>
      <c r="Y53">
        <v>93.226870805726193</v>
      </c>
      <c r="Z53">
        <v>94.243007064857906</v>
      </c>
      <c r="AA53">
        <v>95.301404373289699</v>
      </c>
      <c r="AB53">
        <v>96.351280881975001</v>
      </c>
      <c r="AC53">
        <v>97.120035908480602</v>
      </c>
      <c r="AD53">
        <v>98.467438570811893</v>
      </c>
      <c r="AE53">
        <v>100</v>
      </c>
      <c r="AF53">
        <v>101.756266149684</v>
      </c>
    </row>
    <row r="54" spans="1:32" x14ac:dyDescent="0.3">
      <c r="A54" t="s">
        <v>29</v>
      </c>
      <c r="B54" t="s">
        <v>190</v>
      </c>
      <c r="C54" t="s">
        <v>86</v>
      </c>
      <c r="D54" t="s">
        <v>191</v>
      </c>
      <c r="E54" t="s">
        <v>87</v>
      </c>
      <c r="F54">
        <v>95.139710869827795</v>
      </c>
      <c r="G54">
        <v>94.945767550975205</v>
      </c>
      <c r="H54">
        <v>96.307881527537603</v>
      </c>
      <c r="I54">
        <v>96.3228354163723</v>
      </c>
      <c r="J54">
        <v>95.6049206177873</v>
      </c>
      <c r="K54">
        <v>95.066177634674105</v>
      </c>
      <c r="L54">
        <v>94.115179773495697</v>
      </c>
      <c r="M54">
        <v>93.352558600659506</v>
      </c>
      <c r="N54">
        <v>92.927791520295401</v>
      </c>
      <c r="O54">
        <v>92.807737513926</v>
      </c>
      <c r="P54">
        <v>92.883051861384104</v>
      </c>
      <c r="Q54">
        <v>92.957378055635502</v>
      </c>
      <c r="R54">
        <v>93.261646647247304</v>
      </c>
      <c r="S54">
        <v>93.796444289224297</v>
      </c>
      <c r="T54">
        <v>93.067262762099801</v>
      </c>
      <c r="U54">
        <v>92.839909186730395</v>
      </c>
      <c r="V54">
        <v>92.535978335593597</v>
      </c>
      <c r="W54">
        <v>92.522585189652801</v>
      </c>
      <c r="X54">
        <v>92.702357993456005</v>
      </c>
      <c r="Y54">
        <v>94.681103648753705</v>
      </c>
      <c r="Z54">
        <v>95.629747897785705</v>
      </c>
      <c r="AA54">
        <v>95.993246022803106</v>
      </c>
      <c r="AB54">
        <v>96.784762818284406</v>
      </c>
      <c r="AC54">
        <v>97.568690410330504</v>
      </c>
      <c r="AD54">
        <v>98.805379173469504</v>
      </c>
      <c r="AE54">
        <v>100</v>
      </c>
      <c r="AF54">
        <v>101.232796309173</v>
      </c>
    </row>
    <row r="55" spans="1:32" x14ac:dyDescent="0.3">
      <c r="A55" t="s">
        <v>29</v>
      </c>
      <c r="B55" t="s">
        <v>192</v>
      </c>
      <c r="C55" t="s">
        <v>86</v>
      </c>
      <c r="D55" t="s">
        <v>193</v>
      </c>
      <c r="E55" t="s">
        <v>87</v>
      </c>
      <c r="F55">
        <v>92.763954001044297</v>
      </c>
      <c r="G55">
        <v>92.967191236160701</v>
      </c>
      <c r="H55">
        <v>94.288719762092697</v>
      </c>
      <c r="I55">
        <v>94.380700430903005</v>
      </c>
      <c r="J55">
        <v>93.972851566673199</v>
      </c>
      <c r="K55">
        <v>93.984049653785107</v>
      </c>
      <c r="L55">
        <v>93.583886330535407</v>
      </c>
      <c r="M55">
        <v>93.040926460984807</v>
      </c>
      <c r="N55">
        <v>92.647634779498901</v>
      </c>
      <c r="O55">
        <v>92.649936638766306</v>
      </c>
      <c r="P55">
        <v>93.105155963545897</v>
      </c>
      <c r="Q55">
        <v>93.420125544203998</v>
      </c>
      <c r="R55">
        <v>93.563669402380896</v>
      </c>
      <c r="S55">
        <v>94.141622982222998</v>
      </c>
      <c r="T55">
        <v>93.296047302461005</v>
      </c>
      <c r="U55">
        <v>93.070885902080306</v>
      </c>
      <c r="V55">
        <v>92.641073470474595</v>
      </c>
      <c r="W55">
        <v>92.762816905158701</v>
      </c>
      <c r="X55">
        <v>93.137596834417494</v>
      </c>
      <c r="Y55">
        <v>95.509272306110603</v>
      </c>
      <c r="Z55">
        <v>96.415011535395195</v>
      </c>
      <c r="AA55">
        <v>96.359057519894193</v>
      </c>
      <c r="AB55">
        <v>96.998989314579106</v>
      </c>
      <c r="AC55">
        <v>97.791420132309895</v>
      </c>
      <c r="AD55">
        <v>98.967026868177896</v>
      </c>
      <c r="AE55">
        <v>100</v>
      </c>
      <c r="AF55">
        <v>100.969675418478</v>
      </c>
    </row>
    <row r="56" spans="1:32" x14ac:dyDescent="0.3">
      <c r="A56" t="s">
        <v>29</v>
      </c>
      <c r="B56" t="s">
        <v>194</v>
      </c>
      <c r="C56" t="s">
        <v>86</v>
      </c>
      <c r="D56" t="s">
        <v>195</v>
      </c>
      <c r="E56" t="s">
        <v>87</v>
      </c>
      <c r="F56">
        <v>124.24483592587301</v>
      </c>
      <c r="G56">
        <v>123.386582922329</v>
      </c>
      <c r="H56">
        <v>124.58124844529701</v>
      </c>
      <c r="I56">
        <v>123.715874608448</v>
      </c>
      <c r="J56">
        <v>118.067601987061</v>
      </c>
      <c r="K56">
        <v>116.475152964141</v>
      </c>
      <c r="L56">
        <v>116.73847514853</v>
      </c>
      <c r="M56">
        <v>114.922721960582</v>
      </c>
      <c r="N56">
        <v>111.929652300537</v>
      </c>
      <c r="O56">
        <v>111.381656215286</v>
      </c>
      <c r="P56">
        <v>113.446113700043</v>
      </c>
      <c r="Q56">
        <v>116.76909325941099</v>
      </c>
      <c r="R56">
        <v>119.541824427668</v>
      </c>
      <c r="S56">
        <v>113.767751280512</v>
      </c>
      <c r="T56">
        <v>102.533504921407</v>
      </c>
      <c r="U56">
        <v>100.74805717705701</v>
      </c>
      <c r="V56">
        <v>99.645439289052305</v>
      </c>
      <c r="W56">
        <v>97.853442185894906</v>
      </c>
      <c r="X56">
        <v>106.344060109569</v>
      </c>
      <c r="Y56">
        <v>109.803827072877</v>
      </c>
      <c r="Z56">
        <v>110.829335027909</v>
      </c>
      <c r="AA56">
        <v>100.74078034072301</v>
      </c>
      <c r="AB56">
        <v>106.106656839222</v>
      </c>
      <c r="AC56">
        <v>107.55101361113501</v>
      </c>
      <c r="AD56">
        <v>103.31854740391501</v>
      </c>
      <c r="AE56">
        <v>100</v>
      </c>
      <c r="AF56">
        <v>108.36913937735</v>
      </c>
    </row>
    <row r="57" spans="1:32" x14ac:dyDescent="0.3">
      <c r="A57" t="s">
        <v>29</v>
      </c>
      <c r="B57" t="s">
        <v>196</v>
      </c>
      <c r="C57" t="s">
        <v>86</v>
      </c>
      <c r="D57" t="s">
        <v>197</v>
      </c>
      <c r="E57" t="s">
        <v>87</v>
      </c>
      <c r="F57">
        <v>101.839878972463</v>
      </c>
      <c r="G57">
        <v>101.532372222032</v>
      </c>
      <c r="H57">
        <v>102.549232419791</v>
      </c>
      <c r="I57">
        <v>101.75078467646701</v>
      </c>
      <c r="J57">
        <v>100.070102171833</v>
      </c>
      <c r="K57">
        <v>99.757107378271598</v>
      </c>
      <c r="L57">
        <v>98.977386832951396</v>
      </c>
      <c r="M57">
        <v>97.838366548675296</v>
      </c>
      <c r="N57">
        <v>96.984317160154703</v>
      </c>
      <c r="O57">
        <v>97.168030647237103</v>
      </c>
      <c r="P57">
        <v>97.652212298678805</v>
      </c>
      <c r="Q57">
        <v>98.551839591528804</v>
      </c>
      <c r="R57">
        <v>99.275309547973805</v>
      </c>
      <c r="S57">
        <v>101.10374136552799</v>
      </c>
      <c r="T57">
        <v>97.252207297405405</v>
      </c>
      <c r="U57">
        <v>96.604186377456102</v>
      </c>
      <c r="V57">
        <v>96.791749593927193</v>
      </c>
      <c r="W57">
        <v>96.041673474503497</v>
      </c>
      <c r="X57">
        <v>96.964068873049797</v>
      </c>
      <c r="Y57">
        <v>99.354190899331201</v>
      </c>
      <c r="Z57">
        <v>99.061904898794396</v>
      </c>
      <c r="AA57">
        <v>97.275174351054105</v>
      </c>
      <c r="AB57">
        <v>98.599111821002595</v>
      </c>
      <c r="AC57">
        <v>99.934126104850506</v>
      </c>
      <c r="AD57">
        <v>100.272450838503</v>
      </c>
      <c r="AE57">
        <v>100</v>
      </c>
      <c r="AF57">
        <v>102.35862338680001</v>
      </c>
    </row>
    <row r="58" spans="1:32" x14ac:dyDescent="0.3">
      <c r="A58" t="s">
        <v>29</v>
      </c>
      <c r="B58" t="s">
        <v>198</v>
      </c>
      <c r="C58" t="s">
        <v>86</v>
      </c>
      <c r="D58" t="s">
        <v>199</v>
      </c>
      <c r="E58" t="s">
        <v>87</v>
      </c>
      <c r="F58">
        <v>101.735257861411</v>
      </c>
      <c r="G58">
        <v>101.430304285566</v>
      </c>
      <c r="H58">
        <v>102.446323374158</v>
      </c>
      <c r="I58">
        <v>101.648241819012</v>
      </c>
      <c r="J58">
        <v>99.983725143096194</v>
      </c>
      <c r="K58">
        <v>99.6756191278686</v>
      </c>
      <c r="L58">
        <v>98.892212516491398</v>
      </c>
      <c r="M58">
        <v>97.755891770808603</v>
      </c>
      <c r="N58">
        <v>96.909824390474299</v>
      </c>
      <c r="O58">
        <v>97.096156806063505</v>
      </c>
      <c r="P58">
        <v>97.574631068273504</v>
      </c>
      <c r="Q58">
        <v>98.465192349869199</v>
      </c>
      <c r="R58">
        <v>99.180720320138505</v>
      </c>
      <c r="S58">
        <v>101.041566954468</v>
      </c>
      <c r="T58">
        <v>97.225007554668494</v>
      </c>
      <c r="U58">
        <v>96.582681883878195</v>
      </c>
      <c r="V58">
        <v>96.777024740605199</v>
      </c>
      <c r="W58">
        <v>96.032315092419907</v>
      </c>
      <c r="X58">
        <v>96.919600907780307</v>
      </c>
      <c r="Y58">
        <v>99.304899256357004</v>
      </c>
      <c r="Z58">
        <v>99.007052076232796</v>
      </c>
      <c r="AA58">
        <v>97.258211722559395</v>
      </c>
      <c r="AB58">
        <v>98.564378365947604</v>
      </c>
      <c r="AC58">
        <v>99.898888606528701</v>
      </c>
      <c r="AD58">
        <v>100.258156002524</v>
      </c>
      <c r="AE58">
        <v>100</v>
      </c>
      <c r="AF58">
        <v>102.33203910136</v>
      </c>
    </row>
    <row r="59" spans="1:32" x14ac:dyDescent="0.3">
      <c r="A59" t="s">
        <v>29</v>
      </c>
      <c r="B59" t="s">
        <v>200</v>
      </c>
      <c r="C59" t="s">
        <v>86</v>
      </c>
      <c r="D59" t="s">
        <v>201</v>
      </c>
      <c r="E59" t="s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31</v>
      </c>
      <c r="B2" t="s">
        <v>84</v>
      </c>
      <c r="C2" t="s">
        <v>86</v>
      </c>
      <c r="D2" t="s">
        <v>85</v>
      </c>
      <c r="E2" t="s">
        <v>87</v>
      </c>
      <c r="F2">
        <v>78.4270064280757</v>
      </c>
      <c r="G2">
        <v>81.086550362962299</v>
      </c>
      <c r="H2">
        <v>82.3283955508318</v>
      </c>
      <c r="I2">
        <v>81.637889261694596</v>
      </c>
      <c r="J2">
        <v>78.850421553670003</v>
      </c>
      <c r="K2">
        <v>78.428289486307804</v>
      </c>
      <c r="L2">
        <v>79.429368654939594</v>
      </c>
      <c r="M2">
        <v>79.919699514377299</v>
      </c>
      <c r="N2">
        <v>81.380576683399596</v>
      </c>
      <c r="O2">
        <v>84.076681327983295</v>
      </c>
      <c r="P2">
        <v>85.159754806368696</v>
      </c>
      <c r="Q2">
        <v>87.675696325424099</v>
      </c>
      <c r="R2">
        <v>92.047719018196702</v>
      </c>
      <c r="S2">
        <v>100.550343314556</v>
      </c>
      <c r="T2">
        <v>92.015732986711996</v>
      </c>
      <c r="U2">
        <v>91.184292793181896</v>
      </c>
      <c r="V2">
        <v>94.567646347441794</v>
      </c>
      <c r="W2">
        <v>95.212663804576295</v>
      </c>
      <c r="X2">
        <v>99.963895471002701</v>
      </c>
      <c r="Y2">
        <v>103.131594018878</v>
      </c>
      <c r="Z2">
        <v>102.232009940137</v>
      </c>
      <c r="AA2">
        <v>98.452467265739799</v>
      </c>
      <c r="AB2">
        <v>99.197455225853204</v>
      </c>
      <c r="AC2">
        <v>101.914738834801</v>
      </c>
      <c r="AD2">
        <v>102.259051673619</v>
      </c>
      <c r="AE2">
        <v>100</v>
      </c>
      <c r="AF2">
        <v>108.12310091379101</v>
      </c>
    </row>
    <row r="3" spans="1:32" x14ac:dyDescent="0.3">
      <c r="A3" t="s">
        <v>31</v>
      </c>
      <c r="B3" t="s">
        <v>88</v>
      </c>
      <c r="C3" t="s">
        <v>86</v>
      </c>
      <c r="D3" t="s">
        <v>89</v>
      </c>
      <c r="E3" t="s">
        <v>87</v>
      </c>
      <c r="F3">
        <v>86.218874523202899</v>
      </c>
      <c r="G3">
        <v>87.566723545790495</v>
      </c>
      <c r="H3">
        <v>89.507369301866603</v>
      </c>
      <c r="I3">
        <v>87.267223245110998</v>
      </c>
      <c r="J3">
        <v>86.791652546227596</v>
      </c>
      <c r="K3">
        <v>89.836702836763394</v>
      </c>
      <c r="L3">
        <v>91.500405359445494</v>
      </c>
      <c r="M3">
        <v>92.8391017135487</v>
      </c>
      <c r="N3">
        <v>93.103738796388001</v>
      </c>
      <c r="O3">
        <v>94.446745644876103</v>
      </c>
      <c r="P3">
        <v>98.614186488085195</v>
      </c>
      <c r="Q3">
        <v>102.882468931811</v>
      </c>
      <c r="R3">
        <v>104.81489910010799</v>
      </c>
      <c r="S3">
        <v>113.60245227255901</v>
      </c>
      <c r="T3">
        <v>93.671720756870499</v>
      </c>
      <c r="U3">
        <v>97.151697296059496</v>
      </c>
      <c r="V3">
        <v>100.958111851531</v>
      </c>
      <c r="W3">
        <v>101.2074873988</v>
      </c>
      <c r="X3">
        <v>104.969145840701</v>
      </c>
      <c r="Y3">
        <v>109.508847015451</v>
      </c>
      <c r="Z3">
        <v>101.212139538914</v>
      </c>
      <c r="AA3">
        <v>95.501526596817101</v>
      </c>
      <c r="AB3">
        <v>100.10256680285799</v>
      </c>
      <c r="AC3">
        <v>105.436413326433</v>
      </c>
      <c r="AD3">
        <v>105.240872300569</v>
      </c>
      <c r="AE3">
        <v>100</v>
      </c>
      <c r="AF3">
        <v>106.828657352967</v>
      </c>
    </row>
    <row r="4" spans="1:32" x14ac:dyDescent="0.3">
      <c r="A4" t="s">
        <v>31</v>
      </c>
      <c r="B4" t="s">
        <v>90</v>
      </c>
      <c r="C4" t="s">
        <v>86</v>
      </c>
      <c r="D4" t="s">
        <v>91</v>
      </c>
      <c r="E4" t="s">
        <v>87</v>
      </c>
      <c r="F4">
        <v>90.629458277376798</v>
      </c>
      <c r="G4">
        <v>90.197571908001393</v>
      </c>
      <c r="H4">
        <v>91.772150621380106</v>
      </c>
      <c r="I4">
        <v>89.565781770451196</v>
      </c>
      <c r="J4">
        <v>87.053142310945205</v>
      </c>
      <c r="K4">
        <v>87.933660031746399</v>
      </c>
      <c r="L4">
        <v>86.565275732172495</v>
      </c>
      <c r="M4">
        <v>85.014597700781394</v>
      </c>
      <c r="N4">
        <v>85.088574006154005</v>
      </c>
      <c r="O4">
        <v>87.963695880680206</v>
      </c>
      <c r="P4">
        <v>92.060575842002706</v>
      </c>
      <c r="Q4">
        <v>97.307255059857894</v>
      </c>
      <c r="R4">
        <v>101.131199464519</v>
      </c>
      <c r="S4">
        <v>108.71885420633301</v>
      </c>
      <c r="T4">
        <v>95.748886281909506</v>
      </c>
      <c r="U4">
        <v>97.576927508693501</v>
      </c>
      <c r="V4">
        <v>101.78701958632401</v>
      </c>
      <c r="W4">
        <v>99.6040019282934</v>
      </c>
      <c r="X4">
        <v>102.900703645562</v>
      </c>
      <c r="Y4">
        <v>106.858740391526</v>
      </c>
      <c r="Z4">
        <v>101.322324675627</v>
      </c>
      <c r="AA4">
        <v>94.590240977343299</v>
      </c>
      <c r="AB4">
        <v>100.249731230888</v>
      </c>
      <c r="AC4">
        <v>104.381237012084</v>
      </c>
      <c r="AD4">
        <v>103.262909997186</v>
      </c>
      <c r="AE4">
        <v>100</v>
      </c>
      <c r="AF4">
        <v>110.55584340212</v>
      </c>
    </row>
    <row r="5" spans="1:32" x14ac:dyDescent="0.3">
      <c r="A5" t="s">
        <v>31</v>
      </c>
      <c r="B5" t="s">
        <v>92</v>
      </c>
      <c r="C5" t="s">
        <v>86</v>
      </c>
      <c r="D5" t="s">
        <v>93</v>
      </c>
      <c r="E5" t="s">
        <v>87</v>
      </c>
      <c r="F5">
        <v>86.420320145626505</v>
      </c>
      <c r="G5">
        <v>87.914067918329394</v>
      </c>
      <c r="H5">
        <v>88.199669088063303</v>
      </c>
      <c r="I5">
        <v>87.188161400673707</v>
      </c>
      <c r="J5">
        <v>85.007061271928393</v>
      </c>
      <c r="K5">
        <v>83.085877763009293</v>
      </c>
      <c r="L5">
        <v>82.693064266227395</v>
      </c>
      <c r="M5">
        <v>81.897552450917502</v>
      </c>
      <c r="N5">
        <v>82.943266996539606</v>
      </c>
      <c r="O5">
        <v>85.418465225873703</v>
      </c>
      <c r="P5">
        <v>85.151607408358799</v>
      </c>
      <c r="Q5">
        <v>86.499419736356401</v>
      </c>
      <c r="R5">
        <v>89.243667149137593</v>
      </c>
      <c r="S5">
        <v>93.430467134073695</v>
      </c>
      <c r="T5">
        <v>88.679492270011195</v>
      </c>
      <c r="U5">
        <v>88.265852189874295</v>
      </c>
      <c r="V5">
        <v>90.170618658488905</v>
      </c>
      <c r="W5">
        <v>91.098696014685302</v>
      </c>
      <c r="X5">
        <v>94.080623266797502</v>
      </c>
      <c r="Y5">
        <v>97.412810364495996</v>
      </c>
      <c r="Z5">
        <v>97.993958501058898</v>
      </c>
      <c r="AA5">
        <v>97.355612448580104</v>
      </c>
      <c r="AB5">
        <v>99.917119441411899</v>
      </c>
      <c r="AC5">
        <v>101.13975310683399</v>
      </c>
      <c r="AD5">
        <v>100.97316605536599</v>
      </c>
      <c r="AE5">
        <v>100</v>
      </c>
      <c r="AF5">
        <v>103.91714016929799</v>
      </c>
    </row>
    <row r="6" spans="1:32" x14ac:dyDescent="0.3">
      <c r="A6" t="s">
        <v>31</v>
      </c>
      <c r="B6" t="s">
        <v>94</v>
      </c>
      <c r="C6" t="s">
        <v>86</v>
      </c>
      <c r="D6" t="s">
        <v>95</v>
      </c>
      <c r="E6" t="s">
        <v>87</v>
      </c>
      <c r="F6">
        <v>82.260090020890203</v>
      </c>
      <c r="G6">
        <v>83.540983395708295</v>
      </c>
      <c r="H6">
        <v>85.717880927030095</v>
      </c>
      <c r="I6">
        <v>83.630948206687904</v>
      </c>
      <c r="J6">
        <v>80.2244598952052</v>
      </c>
      <c r="K6">
        <v>79.202328344559604</v>
      </c>
      <c r="L6">
        <v>79.288844886744698</v>
      </c>
      <c r="M6">
        <v>78.556057613043805</v>
      </c>
      <c r="N6">
        <v>79.299126925558397</v>
      </c>
      <c r="O6">
        <v>79.978929686288396</v>
      </c>
      <c r="P6">
        <v>81.365165519410198</v>
      </c>
      <c r="Q6">
        <v>84.661398273309601</v>
      </c>
      <c r="R6">
        <v>88.0865808009018</v>
      </c>
      <c r="S6">
        <v>91.427859194681503</v>
      </c>
      <c r="T6">
        <v>86.205845333958706</v>
      </c>
      <c r="U6">
        <v>87.822679984883806</v>
      </c>
      <c r="V6">
        <v>91.877254580678297</v>
      </c>
      <c r="W6">
        <v>90.445371856248201</v>
      </c>
      <c r="X6">
        <v>95.033350569796497</v>
      </c>
      <c r="Y6">
        <v>99.319251744003196</v>
      </c>
      <c r="Z6">
        <v>99.624697834979202</v>
      </c>
      <c r="AA6">
        <v>95.502857742868301</v>
      </c>
      <c r="AB6">
        <v>97.936698000809699</v>
      </c>
      <c r="AC6">
        <v>100.90007458584</v>
      </c>
      <c r="AD6">
        <v>101.121634495656</v>
      </c>
      <c r="AE6">
        <v>100</v>
      </c>
      <c r="AF6">
        <v>106.23801323005399</v>
      </c>
    </row>
    <row r="7" spans="1:32" x14ac:dyDescent="0.3">
      <c r="A7" t="s">
        <v>31</v>
      </c>
      <c r="B7" t="s">
        <v>96</v>
      </c>
      <c r="C7" t="s">
        <v>86</v>
      </c>
      <c r="D7" t="s">
        <v>97</v>
      </c>
      <c r="E7" t="s">
        <v>87</v>
      </c>
      <c r="F7">
        <v>90.245802805616904</v>
      </c>
      <c r="G7">
        <v>90.517818533734797</v>
      </c>
      <c r="H7">
        <v>90.480780509950307</v>
      </c>
      <c r="I7">
        <v>87.641560938815601</v>
      </c>
      <c r="J7">
        <v>84.174516584792499</v>
      </c>
      <c r="K7">
        <v>84.708579732296002</v>
      </c>
      <c r="L7">
        <v>83.572977813955305</v>
      </c>
      <c r="M7">
        <v>81.816971964775306</v>
      </c>
      <c r="N7">
        <v>82.382618959693403</v>
      </c>
      <c r="O7">
        <v>82.994413946952704</v>
      </c>
      <c r="P7">
        <v>83.526114340766995</v>
      </c>
      <c r="Q7">
        <v>86.215539301963801</v>
      </c>
      <c r="R7">
        <v>90.1779337422754</v>
      </c>
      <c r="S7">
        <v>94.5496498962478</v>
      </c>
      <c r="T7">
        <v>90.330491986280606</v>
      </c>
      <c r="U7">
        <v>89.899770819821399</v>
      </c>
      <c r="V7">
        <v>90.840640291232106</v>
      </c>
      <c r="W7">
        <v>91.368408063314106</v>
      </c>
      <c r="X7">
        <v>92.748265925849793</v>
      </c>
      <c r="Y7">
        <v>96.489935032898501</v>
      </c>
      <c r="Z7">
        <v>96.999846925944595</v>
      </c>
      <c r="AA7">
        <v>93.859782365858905</v>
      </c>
      <c r="AB7">
        <v>96.329487710629493</v>
      </c>
      <c r="AC7">
        <v>100.635684604311</v>
      </c>
      <c r="AD7">
        <v>102.18331622313001</v>
      </c>
      <c r="AE7">
        <v>100</v>
      </c>
      <c r="AF7">
        <v>105.35822363376801</v>
      </c>
    </row>
    <row r="8" spans="1:32" x14ac:dyDescent="0.3">
      <c r="A8" t="s">
        <v>31</v>
      </c>
      <c r="B8" t="s">
        <v>98</v>
      </c>
      <c r="C8" t="s">
        <v>86</v>
      </c>
      <c r="D8" t="s">
        <v>99</v>
      </c>
      <c r="E8" t="s">
        <v>87</v>
      </c>
      <c r="F8">
        <v>42.486149326036497</v>
      </c>
      <c r="G8">
        <v>51.274044200288799</v>
      </c>
      <c r="H8">
        <v>57.171652519956503</v>
      </c>
      <c r="I8">
        <v>46.937254911906102</v>
      </c>
      <c r="J8">
        <v>46.207723396519597</v>
      </c>
      <c r="K8">
        <v>63.579385946469202</v>
      </c>
      <c r="L8">
        <v>66.136646942747205</v>
      </c>
      <c r="M8">
        <v>65.969232019901398</v>
      </c>
      <c r="N8">
        <v>69.383558829912005</v>
      </c>
      <c r="O8">
        <v>75.851250980448199</v>
      </c>
      <c r="P8">
        <v>100.868476794682</v>
      </c>
      <c r="Q8">
        <v>125.605392697467</v>
      </c>
      <c r="R8">
        <v>135.34397941251501</v>
      </c>
      <c r="S8">
        <v>177.97923621280799</v>
      </c>
      <c r="T8">
        <v>109.83588381089</v>
      </c>
      <c r="U8">
        <v>126.79468546545201</v>
      </c>
      <c r="V8">
        <v>154.90463922401099</v>
      </c>
      <c r="W8">
        <v>159.77630914844701</v>
      </c>
      <c r="X8">
        <v>184.08869838816699</v>
      </c>
      <c r="Y8">
        <v>191.74832334511399</v>
      </c>
      <c r="Z8">
        <v>124.797338112153</v>
      </c>
      <c r="AA8">
        <v>91.768900348255301</v>
      </c>
      <c r="AB8">
        <v>120.191131739311</v>
      </c>
      <c r="AC8">
        <v>151.90835535918501</v>
      </c>
      <c r="AD8">
        <v>138.54563429763101</v>
      </c>
      <c r="AE8">
        <v>100</v>
      </c>
      <c r="AF8">
        <v>149.264049653032</v>
      </c>
    </row>
    <row r="9" spans="1:32" x14ac:dyDescent="0.3">
      <c r="A9" t="s">
        <v>31</v>
      </c>
      <c r="B9" t="s">
        <v>100</v>
      </c>
      <c r="C9" t="s">
        <v>86</v>
      </c>
      <c r="D9" t="s">
        <v>101</v>
      </c>
      <c r="E9" t="s">
        <v>87</v>
      </c>
      <c r="F9">
        <v>73.1166295718062</v>
      </c>
      <c r="G9">
        <v>73.500531178336502</v>
      </c>
      <c r="H9">
        <v>77.5254762060286</v>
      </c>
      <c r="I9">
        <v>75.116275604950303</v>
      </c>
      <c r="J9">
        <v>73.326199951094907</v>
      </c>
      <c r="K9">
        <v>78.428064686489904</v>
      </c>
      <c r="L9">
        <v>78.913040037395305</v>
      </c>
      <c r="M9">
        <v>77.722883939496995</v>
      </c>
      <c r="N9">
        <v>81.010342099168398</v>
      </c>
      <c r="O9">
        <v>87.572180362503801</v>
      </c>
      <c r="P9">
        <v>97.277129933213203</v>
      </c>
      <c r="Q9">
        <v>107.67914810120701</v>
      </c>
      <c r="R9">
        <v>116.146743408582</v>
      </c>
      <c r="S9">
        <v>126.60298397282401</v>
      </c>
      <c r="T9">
        <v>98.332630162695395</v>
      </c>
      <c r="U9">
        <v>106.49098975293001</v>
      </c>
      <c r="V9">
        <v>113.95224895646101</v>
      </c>
      <c r="W9">
        <v>114.537006966597</v>
      </c>
      <c r="X9">
        <v>126.277105616263</v>
      </c>
      <c r="Y9">
        <v>133.37560170450601</v>
      </c>
      <c r="Z9">
        <v>112.961893632821</v>
      </c>
      <c r="AA9">
        <v>98.216154801515898</v>
      </c>
      <c r="AB9">
        <v>108.46014731776501</v>
      </c>
      <c r="AC9">
        <v>119.59453188650799</v>
      </c>
      <c r="AD9">
        <v>111.006827820252</v>
      </c>
      <c r="AE9">
        <v>100</v>
      </c>
      <c r="AF9">
        <v>124.850578265152</v>
      </c>
    </row>
    <row r="10" spans="1:32" x14ac:dyDescent="0.3">
      <c r="A10" t="s">
        <v>31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31</v>
      </c>
      <c r="B11" t="s">
        <v>104</v>
      </c>
      <c r="C11" t="s">
        <v>86</v>
      </c>
      <c r="D11" t="s">
        <v>105</v>
      </c>
      <c r="E11" t="s">
        <v>87</v>
      </c>
      <c r="F11">
        <v>91.777473096284595</v>
      </c>
      <c r="G11">
        <v>91.793913672629699</v>
      </c>
      <c r="H11">
        <v>93.137549833704497</v>
      </c>
      <c r="I11">
        <v>92.576101297998093</v>
      </c>
      <c r="J11">
        <v>91.0753236877283</v>
      </c>
      <c r="K11">
        <v>91.538514000360195</v>
      </c>
      <c r="L11">
        <v>91.582644641426697</v>
      </c>
      <c r="M11">
        <v>90.592718687064007</v>
      </c>
      <c r="N11">
        <v>90.591693188171305</v>
      </c>
      <c r="O11">
        <v>91.732238377415499</v>
      </c>
      <c r="P11">
        <v>93.660431519828705</v>
      </c>
      <c r="Q11">
        <v>96.166268929646407</v>
      </c>
      <c r="R11">
        <v>98.5082814308454</v>
      </c>
      <c r="S11">
        <v>101.805913096309</v>
      </c>
      <c r="T11">
        <v>96.1621633938842</v>
      </c>
      <c r="U11">
        <v>96.728012611423594</v>
      </c>
      <c r="V11">
        <v>97.5284854628879</v>
      </c>
      <c r="W11">
        <v>97.837180545235597</v>
      </c>
      <c r="X11">
        <v>100.78065414801701</v>
      </c>
      <c r="Y11">
        <v>104.60512284907701</v>
      </c>
      <c r="Z11">
        <v>102.573848288558</v>
      </c>
      <c r="AA11">
        <v>99.171107586033699</v>
      </c>
      <c r="AB11">
        <v>101.962857930596</v>
      </c>
      <c r="AC11">
        <v>106.285044537391</v>
      </c>
      <c r="AD11">
        <v>105.644160470667</v>
      </c>
      <c r="AE11">
        <v>100</v>
      </c>
      <c r="AF11">
        <v>105.548763300044</v>
      </c>
    </row>
    <row r="12" spans="1:32" x14ac:dyDescent="0.3">
      <c r="A12" t="s">
        <v>31</v>
      </c>
      <c r="B12" t="s">
        <v>106</v>
      </c>
      <c r="C12" t="s">
        <v>86</v>
      </c>
      <c r="D12" t="s">
        <v>107</v>
      </c>
      <c r="E12" t="s">
        <v>87</v>
      </c>
      <c r="F12">
        <v>86.215609812685997</v>
      </c>
      <c r="G12">
        <v>85.457434053513495</v>
      </c>
      <c r="H12">
        <v>86.964317948845306</v>
      </c>
      <c r="I12">
        <v>84.832349536044006</v>
      </c>
      <c r="J12">
        <v>82.0948947076878</v>
      </c>
      <c r="K12">
        <v>83.292379556192998</v>
      </c>
      <c r="L12">
        <v>82.869062099349406</v>
      </c>
      <c r="M12">
        <v>80.565457919493596</v>
      </c>
      <c r="N12">
        <v>80.864539291782293</v>
      </c>
      <c r="O12">
        <v>83.017507182795001</v>
      </c>
      <c r="P12">
        <v>87.370796614825096</v>
      </c>
      <c r="Q12">
        <v>92.043126621532096</v>
      </c>
      <c r="R12">
        <v>95.758317784527094</v>
      </c>
      <c r="S12">
        <v>101.828171323617</v>
      </c>
      <c r="T12">
        <v>93.515605497364007</v>
      </c>
      <c r="U12">
        <v>94.961979782915705</v>
      </c>
      <c r="V12">
        <v>98.101520747570703</v>
      </c>
      <c r="W12">
        <v>97.439725001047705</v>
      </c>
      <c r="X12">
        <v>101.15583584755301</v>
      </c>
      <c r="Y12">
        <v>106.24245609978099</v>
      </c>
      <c r="Z12">
        <v>102.57096509256</v>
      </c>
      <c r="AA12">
        <v>96.645288762837197</v>
      </c>
      <c r="AB12">
        <v>100.251477655964</v>
      </c>
      <c r="AC12">
        <v>104.726070170216</v>
      </c>
      <c r="AD12">
        <v>104.062349881362</v>
      </c>
      <c r="AE12">
        <v>100</v>
      </c>
      <c r="AF12">
        <v>108.165880135945</v>
      </c>
    </row>
    <row r="13" spans="1:32" x14ac:dyDescent="0.3">
      <c r="A13" t="s">
        <v>31</v>
      </c>
      <c r="B13" t="s">
        <v>108</v>
      </c>
      <c r="C13" t="s">
        <v>86</v>
      </c>
      <c r="D13" t="s">
        <v>109</v>
      </c>
      <c r="E13" t="s">
        <v>87</v>
      </c>
      <c r="F13">
        <v>62.554605635952001</v>
      </c>
      <c r="G13">
        <v>61.274663369611901</v>
      </c>
      <c r="H13">
        <v>64.004956994954696</v>
      </c>
      <c r="I13">
        <v>62.361095104958302</v>
      </c>
      <c r="J13">
        <v>59.631020188102703</v>
      </c>
      <c r="K13">
        <v>60.016379237634297</v>
      </c>
      <c r="L13">
        <v>59.5286398529366</v>
      </c>
      <c r="M13">
        <v>59.909168296179502</v>
      </c>
      <c r="N13">
        <v>61.707439125118498</v>
      </c>
      <c r="O13">
        <v>70.0414071344495</v>
      </c>
      <c r="P13">
        <v>78.012753791320193</v>
      </c>
      <c r="Q13">
        <v>86.634658124278999</v>
      </c>
      <c r="R13">
        <v>93.619001198822403</v>
      </c>
      <c r="S13">
        <v>109.021314581114</v>
      </c>
      <c r="T13">
        <v>91.229102127718605</v>
      </c>
      <c r="U13">
        <v>95.787638693698796</v>
      </c>
      <c r="V13">
        <v>104.12030999227299</v>
      </c>
      <c r="W13">
        <v>95.6667436215034</v>
      </c>
      <c r="X13">
        <v>97.094913688017797</v>
      </c>
      <c r="Y13">
        <v>101.170855651545</v>
      </c>
      <c r="Z13">
        <v>95.679709496536802</v>
      </c>
      <c r="AA13">
        <v>86.296295743529299</v>
      </c>
      <c r="AB13">
        <v>98.263970335486704</v>
      </c>
      <c r="AC13">
        <v>102.170469887287</v>
      </c>
      <c r="AD13">
        <v>101.960323938244</v>
      </c>
      <c r="AE13">
        <v>100</v>
      </c>
      <c r="AF13">
        <v>120.48276662242201</v>
      </c>
    </row>
    <row r="14" spans="1:32" x14ac:dyDescent="0.3">
      <c r="A14" t="s">
        <v>31</v>
      </c>
      <c r="B14" t="s">
        <v>110</v>
      </c>
      <c r="C14" t="s">
        <v>86</v>
      </c>
      <c r="D14" t="s">
        <v>111</v>
      </c>
      <c r="E14" t="s">
        <v>87</v>
      </c>
      <c r="F14">
        <v>155.242282093395</v>
      </c>
      <c r="G14">
        <v>149.13141058939701</v>
      </c>
      <c r="H14">
        <v>146.41160233519801</v>
      </c>
      <c r="I14">
        <v>143.59078829460299</v>
      </c>
      <c r="J14">
        <v>138.30017976513099</v>
      </c>
      <c r="K14">
        <v>135.44308089789999</v>
      </c>
      <c r="L14">
        <v>127.32184213763</v>
      </c>
      <c r="M14">
        <v>120.625645133259</v>
      </c>
      <c r="N14">
        <v>115.26209657221099</v>
      </c>
      <c r="O14">
        <v>113.63278064595499</v>
      </c>
      <c r="P14">
        <v>110.636932715577</v>
      </c>
      <c r="Q14">
        <v>111.367147957963</v>
      </c>
      <c r="R14">
        <v>110.874581319676</v>
      </c>
      <c r="S14">
        <v>108.57848381379701</v>
      </c>
      <c r="T14">
        <v>101.265368302399</v>
      </c>
      <c r="U14">
        <v>99.445068180205695</v>
      </c>
      <c r="V14">
        <v>98.1665306711771</v>
      </c>
      <c r="W14">
        <v>96.299714920185906</v>
      </c>
      <c r="X14">
        <v>98.639197824029694</v>
      </c>
      <c r="Y14">
        <v>101.499728305147</v>
      </c>
      <c r="Z14">
        <v>102.067992251699</v>
      </c>
      <c r="AA14">
        <v>96.620804189306</v>
      </c>
      <c r="AB14">
        <v>98.961371798147795</v>
      </c>
      <c r="AC14">
        <v>100.405244902718</v>
      </c>
      <c r="AD14">
        <v>100.116754444417</v>
      </c>
      <c r="AE14">
        <v>100</v>
      </c>
      <c r="AF14">
        <v>104.643492217176</v>
      </c>
    </row>
    <row r="15" spans="1:32" x14ac:dyDescent="0.3">
      <c r="A15" t="s">
        <v>31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31</v>
      </c>
      <c r="B16" t="s">
        <v>114</v>
      </c>
      <c r="C16" t="s">
        <v>86</v>
      </c>
      <c r="D16" t="s">
        <v>115</v>
      </c>
      <c r="E16" t="s">
        <v>87</v>
      </c>
      <c r="F16">
        <v>119.61605695186</v>
      </c>
      <c r="G16">
        <v>116.70663700014001</v>
      </c>
      <c r="H16">
        <v>116.748219154566</v>
      </c>
      <c r="I16">
        <v>114.751736089402</v>
      </c>
      <c r="J16">
        <v>111.213712237113</v>
      </c>
      <c r="K16">
        <v>110.16984783093299</v>
      </c>
      <c r="L16">
        <v>106.078316519871</v>
      </c>
      <c r="M16">
        <v>102.625532076817</v>
      </c>
      <c r="N16">
        <v>100.09984476760199</v>
      </c>
      <c r="O16">
        <v>100.54485301964699</v>
      </c>
      <c r="P16">
        <v>100.871756947397</v>
      </c>
      <c r="Q16">
        <v>105.156310410621</v>
      </c>
      <c r="R16">
        <v>107.277190490743</v>
      </c>
      <c r="S16">
        <v>107.341388164557</v>
      </c>
      <c r="T16">
        <v>100.227865915813</v>
      </c>
      <c r="U16">
        <v>99.341751922149896</v>
      </c>
      <c r="V16">
        <v>99.247416552294894</v>
      </c>
      <c r="W16">
        <v>96.522320642351701</v>
      </c>
      <c r="X16">
        <v>98.076346769220507</v>
      </c>
      <c r="Y16">
        <v>101.06836299637099</v>
      </c>
      <c r="Z16">
        <v>101.355683846245</v>
      </c>
      <c r="AA16">
        <v>96.322102797476902</v>
      </c>
      <c r="AB16">
        <v>98.720538871368603</v>
      </c>
      <c r="AC16">
        <v>100.258972266312</v>
      </c>
      <c r="AD16">
        <v>99.974883114309407</v>
      </c>
      <c r="AE16">
        <v>100</v>
      </c>
      <c r="AF16">
        <v>105.540487146934</v>
      </c>
    </row>
    <row r="17" spans="1:32" x14ac:dyDescent="0.3">
      <c r="A17" t="s">
        <v>31</v>
      </c>
      <c r="B17" t="s">
        <v>116</v>
      </c>
      <c r="C17" t="s">
        <v>86</v>
      </c>
      <c r="D17" t="s">
        <v>117</v>
      </c>
      <c r="E17" t="s">
        <v>87</v>
      </c>
      <c r="F17">
        <v>97.234153842800396</v>
      </c>
      <c r="G17">
        <v>95.786963775719002</v>
      </c>
      <c r="H17">
        <v>96.629464531470802</v>
      </c>
      <c r="I17">
        <v>95.801935123217902</v>
      </c>
      <c r="J17">
        <v>93.5473468589406</v>
      </c>
      <c r="K17">
        <v>92.868151380397407</v>
      </c>
      <c r="L17">
        <v>91.072995479408206</v>
      </c>
      <c r="M17">
        <v>89.483448079716197</v>
      </c>
      <c r="N17">
        <v>88.454491989608599</v>
      </c>
      <c r="O17">
        <v>89.408153922308301</v>
      </c>
      <c r="P17">
        <v>90.743322934145198</v>
      </c>
      <c r="Q17">
        <v>92.828078297192405</v>
      </c>
      <c r="R17">
        <v>94.616869388813598</v>
      </c>
      <c r="S17">
        <v>97.999417795665394</v>
      </c>
      <c r="T17">
        <v>94.093576285202801</v>
      </c>
      <c r="U17">
        <v>93.417306800298803</v>
      </c>
      <c r="V17">
        <v>94.741886503866994</v>
      </c>
      <c r="W17">
        <v>92.755797705832407</v>
      </c>
      <c r="X17">
        <v>93.222452210090196</v>
      </c>
      <c r="Y17">
        <v>96.403899484404803</v>
      </c>
      <c r="Z17">
        <v>96.532613215053999</v>
      </c>
      <c r="AA17">
        <v>93.4111737709556</v>
      </c>
      <c r="AB17">
        <v>96.076336759092598</v>
      </c>
      <c r="AC17">
        <v>98.203448808693494</v>
      </c>
      <c r="AD17">
        <v>99.209955495497397</v>
      </c>
      <c r="AE17">
        <v>100</v>
      </c>
      <c r="AF17">
        <v>105.575164294315</v>
      </c>
    </row>
    <row r="18" spans="1:32" x14ac:dyDescent="0.3">
      <c r="A18" t="s">
        <v>31</v>
      </c>
      <c r="B18" t="s">
        <v>118</v>
      </c>
      <c r="C18" t="s">
        <v>86</v>
      </c>
      <c r="D18" t="s">
        <v>119</v>
      </c>
      <c r="E18" t="s">
        <v>87</v>
      </c>
      <c r="F18">
        <v>104.57139331419501</v>
      </c>
      <c r="G18">
        <v>103.08622217694401</v>
      </c>
      <c r="H18">
        <v>103.987357224482</v>
      </c>
      <c r="I18">
        <v>103.45740696727501</v>
      </c>
      <c r="J18">
        <v>101.834694510251</v>
      </c>
      <c r="K18">
        <v>100.986308744567</v>
      </c>
      <c r="L18">
        <v>99.245886272211195</v>
      </c>
      <c r="M18">
        <v>97.301706414154495</v>
      </c>
      <c r="N18">
        <v>95.754319515202397</v>
      </c>
      <c r="O18">
        <v>95.4808152722063</v>
      </c>
      <c r="P18">
        <v>96.354331024883507</v>
      </c>
      <c r="Q18">
        <v>98.166358408873606</v>
      </c>
      <c r="R18">
        <v>99.6302208117568</v>
      </c>
      <c r="S18">
        <v>102.289522196834</v>
      </c>
      <c r="T18">
        <v>100.80703910134</v>
      </c>
      <c r="U18">
        <v>98.867009365253494</v>
      </c>
      <c r="V18">
        <v>99.112712542422898</v>
      </c>
      <c r="W18">
        <v>96.916285560131101</v>
      </c>
      <c r="X18">
        <v>96.692433956282301</v>
      </c>
      <c r="Y18">
        <v>99.626601092735996</v>
      </c>
      <c r="Z18">
        <v>100.488453573805</v>
      </c>
      <c r="AA18">
        <v>97.605766748188898</v>
      </c>
      <c r="AB18">
        <v>98.622033922951999</v>
      </c>
      <c r="AC18">
        <v>99.565133555022598</v>
      </c>
      <c r="AD18">
        <v>99.651591004267999</v>
      </c>
      <c r="AE18">
        <v>100</v>
      </c>
      <c r="AF18">
        <v>103.037139570962</v>
      </c>
    </row>
    <row r="19" spans="1:32" x14ac:dyDescent="0.3">
      <c r="A19" t="s">
        <v>31</v>
      </c>
      <c r="B19" t="s">
        <v>120</v>
      </c>
      <c r="C19" t="s">
        <v>86</v>
      </c>
      <c r="D19" t="s">
        <v>121</v>
      </c>
      <c r="E19" t="s">
        <v>87</v>
      </c>
      <c r="F19">
        <v>81.879929112189402</v>
      </c>
      <c r="G19">
        <v>82.841678116197301</v>
      </c>
      <c r="H19">
        <v>86.964996218484202</v>
      </c>
      <c r="I19">
        <v>85.596269376040993</v>
      </c>
      <c r="J19">
        <v>86.931016148687704</v>
      </c>
      <c r="K19">
        <v>87.013305651402206</v>
      </c>
      <c r="L19">
        <v>86.175674639999201</v>
      </c>
      <c r="M19">
        <v>86.798767632021296</v>
      </c>
      <c r="N19">
        <v>87.312832332388396</v>
      </c>
      <c r="O19">
        <v>89.131145240728898</v>
      </c>
      <c r="P19">
        <v>91.306606512891605</v>
      </c>
      <c r="Q19">
        <v>95.213936025494704</v>
      </c>
      <c r="R19">
        <v>97.925181842679606</v>
      </c>
      <c r="S19">
        <v>99.899717769137794</v>
      </c>
      <c r="T19">
        <v>94.948930071884504</v>
      </c>
      <c r="U19">
        <v>94.697182796884505</v>
      </c>
      <c r="V19">
        <v>96.513833970404903</v>
      </c>
      <c r="W19">
        <v>95.019372219221495</v>
      </c>
      <c r="X19">
        <v>97.817545499348299</v>
      </c>
      <c r="Y19">
        <v>102.558813103715</v>
      </c>
      <c r="Z19">
        <v>101.769774150514</v>
      </c>
      <c r="AA19">
        <v>96.951599752791594</v>
      </c>
      <c r="AB19">
        <v>98.922219518064196</v>
      </c>
      <c r="AC19">
        <v>101.020961613164</v>
      </c>
      <c r="AD19">
        <v>101.344716748267</v>
      </c>
      <c r="AE19">
        <v>100</v>
      </c>
      <c r="AF19">
        <v>104.763042135771</v>
      </c>
    </row>
    <row r="20" spans="1:32" x14ac:dyDescent="0.3">
      <c r="A20" t="s">
        <v>31</v>
      </c>
      <c r="B20" t="s">
        <v>122</v>
      </c>
      <c r="C20" t="s">
        <v>86</v>
      </c>
      <c r="D20" t="s">
        <v>123</v>
      </c>
      <c r="E20" t="s">
        <v>87</v>
      </c>
      <c r="F20">
        <v>55.062458224538098</v>
      </c>
      <c r="G20">
        <v>58.547191409754603</v>
      </c>
      <c r="H20">
        <v>62.224413788782996</v>
      </c>
      <c r="I20">
        <v>57.573560452146097</v>
      </c>
      <c r="J20">
        <v>55.955432854413402</v>
      </c>
      <c r="K20">
        <v>62.700770648118002</v>
      </c>
      <c r="L20">
        <v>64.184119647438095</v>
      </c>
      <c r="M20">
        <v>63.664623095837101</v>
      </c>
      <c r="N20">
        <v>64.608694681209499</v>
      </c>
      <c r="O20">
        <v>68.470604733412301</v>
      </c>
      <c r="P20">
        <v>80.918763643547393</v>
      </c>
      <c r="Q20">
        <v>91.307399061462704</v>
      </c>
      <c r="R20">
        <v>95.529702325320301</v>
      </c>
      <c r="S20">
        <v>117.528064667446</v>
      </c>
      <c r="T20">
        <v>87.839004813652494</v>
      </c>
      <c r="U20">
        <v>93.536318876293706</v>
      </c>
      <c r="V20">
        <v>107.631557670837</v>
      </c>
      <c r="W20">
        <v>115.355267628286</v>
      </c>
      <c r="X20">
        <v>128.325545057765</v>
      </c>
      <c r="Y20">
        <v>137.66010671613699</v>
      </c>
      <c r="Z20">
        <v>115.290151572908</v>
      </c>
      <c r="AA20">
        <v>91.100865818094803</v>
      </c>
      <c r="AB20">
        <v>104.64784598441101</v>
      </c>
      <c r="AC20">
        <v>117.689498736232</v>
      </c>
      <c r="AD20">
        <v>116.478964327038</v>
      </c>
      <c r="AE20">
        <v>100</v>
      </c>
      <c r="AF20">
        <v>121.30947869078599</v>
      </c>
    </row>
    <row r="21" spans="1:32" x14ac:dyDescent="0.3">
      <c r="A21" t="s">
        <v>31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31</v>
      </c>
      <c r="B22" t="s">
        <v>126</v>
      </c>
      <c r="C22" t="s">
        <v>86</v>
      </c>
      <c r="D22" t="s">
        <v>127</v>
      </c>
      <c r="E22" t="s">
        <v>87</v>
      </c>
      <c r="F22">
        <v>75.424722772194102</v>
      </c>
      <c r="G22">
        <v>76.464346859772803</v>
      </c>
      <c r="H22">
        <v>79.051644168393494</v>
      </c>
      <c r="I22">
        <v>78.842866490949007</v>
      </c>
      <c r="J22">
        <v>78.523540831635799</v>
      </c>
      <c r="K22">
        <v>79.451659047026496</v>
      </c>
      <c r="L22">
        <v>80.259898556033804</v>
      </c>
      <c r="M22">
        <v>80.631408318806606</v>
      </c>
      <c r="N22">
        <v>80.731721272554594</v>
      </c>
      <c r="O22">
        <v>81.405437149811306</v>
      </c>
      <c r="P22">
        <v>83.125381116022297</v>
      </c>
      <c r="Q22">
        <v>84.8898285032069</v>
      </c>
      <c r="R22">
        <v>85.920674982201703</v>
      </c>
      <c r="S22">
        <v>89.064910271982896</v>
      </c>
      <c r="T22">
        <v>86.159286259941197</v>
      </c>
      <c r="U22">
        <v>86.101071727695498</v>
      </c>
      <c r="V22">
        <v>87.695189660900994</v>
      </c>
      <c r="W22">
        <v>88.807830769301304</v>
      </c>
      <c r="X22">
        <v>91.341193371326</v>
      </c>
      <c r="Y22">
        <v>95.673701468137097</v>
      </c>
      <c r="Z22">
        <v>94.746452876734296</v>
      </c>
      <c r="AA22">
        <v>91.974970507464406</v>
      </c>
      <c r="AB22">
        <v>95.038974612850296</v>
      </c>
      <c r="AC22">
        <v>99.347844368162598</v>
      </c>
      <c r="AD22">
        <v>101.41286523238</v>
      </c>
      <c r="AE22">
        <v>100</v>
      </c>
      <c r="AF22">
        <v>103.887830080801</v>
      </c>
    </row>
    <row r="23" spans="1:32" x14ac:dyDescent="0.3">
      <c r="A23" t="s">
        <v>31</v>
      </c>
      <c r="B23" t="s">
        <v>128</v>
      </c>
      <c r="C23" t="s">
        <v>86</v>
      </c>
      <c r="D23" t="s">
        <v>129</v>
      </c>
      <c r="E23" t="s">
        <v>87</v>
      </c>
      <c r="F23">
        <v>84.053638049734403</v>
      </c>
      <c r="G23">
        <v>83.882268274537694</v>
      </c>
      <c r="H23">
        <v>85.071239681593198</v>
      </c>
      <c r="I23">
        <v>82.968958538565005</v>
      </c>
      <c r="J23">
        <v>81.331980669220997</v>
      </c>
      <c r="K23">
        <v>81.018230410047707</v>
      </c>
      <c r="L23">
        <v>80.278484716734695</v>
      </c>
      <c r="M23">
        <v>79.468980120051995</v>
      </c>
      <c r="N23">
        <v>79.2264451003918</v>
      </c>
      <c r="O23">
        <v>80.298136050978499</v>
      </c>
      <c r="P23">
        <v>82.0489420269639</v>
      </c>
      <c r="Q23">
        <v>84.353431144201906</v>
      </c>
      <c r="R23">
        <v>86.133616850397701</v>
      </c>
      <c r="S23">
        <v>89.153778098960103</v>
      </c>
      <c r="T23">
        <v>86.510661923876995</v>
      </c>
      <c r="U23">
        <v>86.4858905555907</v>
      </c>
      <c r="V23">
        <v>87.699570146991803</v>
      </c>
      <c r="W23">
        <v>87.416845684801103</v>
      </c>
      <c r="X23">
        <v>89.589243355690996</v>
      </c>
      <c r="Y23">
        <v>93.966140679005306</v>
      </c>
      <c r="Z23">
        <v>94.3410444888803</v>
      </c>
      <c r="AA23">
        <v>92.929987765361602</v>
      </c>
      <c r="AB23">
        <v>95.180353070351003</v>
      </c>
      <c r="AC23">
        <v>97.960428301514796</v>
      </c>
      <c r="AD23">
        <v>99.511357409413506</v>
      </c>
      <c r="AE23">
        <v>100</v>
      </c>
      <c r="AF23">
        <v>105.759076680216</v>
      </c>
    </row>
    <row r="24" spans="1:32" x14ac:dyDescent="0.3">
      <c r="A24" t="s">
        <v>31</v>
      </c>
      <c r="B24" t="s">
        <v>130</v>
      </c>
      <c r="C24" t="s">
        <v>86</v>
      </c>
      <c r="D24" t="s">
        <v>131</v>
      </c>
      <c r="E24" t="s">
        <v>87</v>
      </c>
      <c r="F24">
        <v>108.28769235723</v>
      </c>
      <c r="G24">
        <v>107.759432375928</v>
      </c>
      <c r="H24">
        <v>107.877302320594</v>
      </c>
      <c r="I24">
        <v>106.553930900075</v>
      </c>
      <c r="J24">
        <v>104.548872011501</v>
      </c>
      <c r="K24">
        <v>103.716939613929</v>
      </c>
      <c r="L24">
        <v>103.46761651980501</v>
      </c>
      <c r="M24">
        <v>102.51212770634</v>
      </c>
      <c r="N24">
        <v>101.84768909254301</v>
      </c>
      <c r="O24">
        <v>101.377806705878</v>
      </c>
      <c r="P24">
        <v>101.270389139269</v>
      </c>
      <c r="Q24">
        <v>101.49782199901099</v>
      </c>
      <c r="R24">
        <v>101.839418735857</v>
      </c>
      <c r="S24">
        <v>103.455409399309</v>
      </c>
      <c r="T24">
        <v>100.272570298505</v>
      </c>
      <c r="U24">
        <v>98.656575695755606</v>
      </c>
      <c r="V24">
        <v>98.888648218045205</v>
      </c>
      <c r="W24">
        <v>98.370766885013396</v>
      </c>
      <c r="X24">
        <v>99.327752943075197</v>
      </c>
      <c r="Y24">
        <v>101.570371317747</v>
      </c>
      <c r="Z24">
        <v>101.056630614618</v>
      </c>
      <c r="AA24">
        <v>98.492370676195605</v>
      </c>
      <c r="AB24">
        <v>99.537828169212602</v>
      </c>
      <c r="AC24">
        <v>100.765266232179</v>
      </c>
      <c r="AD24">
        <v>101.08251098650599</v>
      </c>
      <c r="AE24">
        <v>100</v>
      </c>
      <c r="AF24">
        <v>102.04047133378999</v>
      </c>
    </row>
    <row r="25" spans="1:32" x14ac:dyDescent="0.3">
      <c r="A25" t="s">
        <v>31</v>
      </c>
      <c r="B25" t="s">
        <v>132</v>
      </c>
      <c r="C25" t="s">
        <v>86</v>
      </c>
      <c r="D25" t="s">
        <v>133</v>
      </c>
      <c r="E25" t="s">
        <v>87</v>
      </c>
      <c r="F25">
        <v>118.11077720633099</v>
      </c>
      <c r="G25">
        <v>116.129226184904</v>
      </c>
      <c r="H25">
        <v>115.99073256583399</v>
      </c>
      <c r="I25">
        <v>114.944157353927</v>
      </c>
      <c r="J25">
        <v>112.349668781427</v>
      </c>
      <c r="K25">
        <v>110.79017686025399</v>
      </c>
      <c r="L25">
        <v>109.099746903537</v>
      </c>
      <c r="M25">
        <v>106.305749050773</v>
      </c>
      <c r="N25">
        <v>103.456437598002</v>
      </c>
      <c r="O25">
        <v>101.94361270403201</v>
      </c>
      <c r="P25">
        <v>101.304362592316</v>
      </c>
      <c r="Q25">
        <v>101.25221259660501</v>
      </c>
      <c r="R25">
        <v>101.272524244118</v>
      </c>
      <c r="S25">
        <v>101.779914261507</v>
      </c>
      <c r="T25">
        <v>100.409193867013</v>
      </c>
      <c r="U25">
        <v>98.155823778597806</v>
      </c>
      <c r="V25">
        <v>97.636759363375205</v>
      </c>
      <c r="W25">
        <v>96.908862264842099</v>
      </c>
      <c r="X25">
        <v>96.934899722524406</v>
      </c>
      <c r="Y25">
        <v>99.280602027552604</v>
      </c>
      <c r="Z25">
        <v>99.974420572707103</v>
      </c>
      <c r="AA25">
        <v>97.5765754164469</v>
      </c>
      <c r="AB25">
        <v>97.998326275101306</v>
      </c>
      <c r="AC25">
        <v>98.879402796573601</v>
      </c>
      <c r="AD25">
        <v>99.445916206814701</v>
      </c>
      <c r="AE25">
        <v>100</v>
      </c>
      <c r="AF25">
        <v>101.151790988979</v>
      </c>
    </row>
    <row r="26" spans="1:32" x14ac:dyDescent="0.3">
      <c r="A26" t="s">
        <v>31</v>
      </c>
      <c r="B26" t="s">
        <v>134</v>
      </c>
      <c r="C26" t="s">
        <v>86</v>
      </c>
      <c r="D26" t="s">
        <v>135</v>
      </c>
      <c r="E26" t="s">
        <v>87</v>
      </c>
      <c r="F26">
        <v>100.976251732878</v>
      </c>
      <c r="G26">
        <v>100.672450449341</v>
      </c>
      <c r="H26">
        <v>100.668296177447</v>
      </c>
      <c r="I26">
        <v>99.386070574670697</v>
      </c>
      <c r="J26">
        <v>97.571786435426603</v>
      </c>
      <c r="K26">
        <v>96.877281104267595</v>
      </c>
      <c r="L26">
        <v>96.785846199392793</v>
      </c>
      <c r="M26">
        <v>96.334938421426301</v>
      </c>
      <c r="N26">
        <v>96.135069896258997</v>
      </c>
      <c r="O26">
        <v>96.069361271609296</v>
      </c>
      <c r="P26">
        <v>96.144937101247805</v>
      </c>
      <c r="Q26">
        <v>96.832389642843594</v>
      </c>
      <c r="R26">
        <v>97.328332338921001</v>
      </c>
      <c r="S26">
        <v>99.558709386887202</v>
      </c>
      <c r="T26">
        <v>96.290823118617496</v>
      </c>
      <c r="U26">
        <v>95.495510314604502</v>
      </c>
      <c r="V26">
        <v>95.966167006020697</v>
      </c>
      <c r="W26">
        <v>95.427448633605493</v>
      </c>
      <c r="X26">
        <v>96.412889520292495</v>
      </c>
      <c r="Y26">
        <v>98.975126632360698</v>
      </c>
      <c r="Z26">
        <v>98.168187193264302</v>
      </c>
      <c r="AA26">
        <v>96.5577868749169</v>
      </c>
      <c r="AB26">
        <v>98.057662448722397</v>
      </c>
      <c r="AC26">
        <v>100.02732055625501</v>
      </c>
      <c r="AD26">
        <v>100.64508754118501</v>
      </c>
      <c r="AE26">
        <v>100</v>
      </c>
      <c r="AF26">
        <v>102.760461317866</v>
      </c>
    </row>
    <row r="27" spans="1:32" x14ac:dyDescent="0.3">
      <c r="A27" t="s">
        <v>31</v>
      </c>
      <c r="B27" t="s">
        <v>136</v>
      </c>
      <c r="C27" t="s">
        <v>86</v>
      </c>
      <c r="D27" t="s">
        <v>137</v>
      </c>
      <c r="E27" t="s">
        <v>87</v>
      </c>
      <c r="F27">
        <v>112.532336473879</v>
      </c>
      <c r="G27">
        <v>112.218248524899</v>
      </c>
      <c r="H27">
        <v>112.646817422674</v>
      </c>
      <c r="I27">
        <v>111.18998312423599</v>
      </c>
      <c r="J27">
        <v>109.186051308234</v>
      </c>
      <c r="K27">
        <v>108.47821867313699</v>
      </c>
      <c r="L27">
        <v>108.551213189664</v>
      </c>
      <c r="M27">
        <v>107.511882157836</v>
      </c>
      <c r="N27">
        <v>106.957235712195</v>
      </c>
      <c r="O27">
        <v>106.247283959688</v>
      </c>
      <c r="P27">
        <v>106.034308660275</v>
      </c>
      <c r="Q27">
        <v>105.512454927928</v>
      </c>
      <c r="R27">
        <v>105.698029727708</v>
      </c>
      <c r="S27">
        <v>106.620730660078</v>
      </c>
      <c r="T27">
        <v>103.254051658878</v>
      </c>
      <c r="U27">
        <v>100.917065324885</v>
      </c>
      <c r="V27">
        <v>101.01648061761</v>
      </c>
      <c r="W27">
        <v>100.547825351247</v>
      </c>
      <c r="X27">
        <v>101.59652431780501</v>
      </c>
      <c r="Y27">
        <v>103.584320297321</v>
      </c>
      <c r="Z27">
        <v>103.10130334065001</v>
      </c>
      <c r="AA27">
        <v>99.862407217893804</v>
      </c>
      <c r="AB27">
        <v>100.68701287142299</v>
      </c>
      <c r="AC27">
        <v>101.460852512568</v>
      </c>
      <c r="AD27">
        <v>101.55019928415</v>
      </c>
      <c r="AE27">
        <v>100</v>
      </c>
      <c r="AF27">
        <v>101.697896841659</v>
      </c>
    </row>
    <row r="28" spans="1:32" x14ac:dyDescent="0.3">
      <c r="A28" t="s">
        <v>31</v>
      </c>
      <c r="B28" t="s">
        <v>138</v>
      </c>
      <c r="C28" t="s">
        <v>86</v>
      </c>
      <c r="D28" t="s">
        <v>139</v>
      </c>
      <c r="E28" t="s">
        <v>87</v>
      </c>
      <c r="F28">
        <v>87.623232499931405</v>
      </c>
      <c r="G28">
        <v>89.281061942570304</v>
      </c>
      <c r="H28">
        <v>91.668686111240703</v>
      </c>
      <c r="I28">
        <v>89.905270489735898</v>
      </c>
      <c r="J28">
        <v>89.193337348181799</v>
      </c>
      <c r="K28">
        <v>91.435304686856099</v>
      </c>
      <c r="L28">
        <v>92.672783804069596</v>
      </c>
      <c r="M28">
        <v>92.450682370966803</v>
      </c>
      <c r="N28">
        <v>93.222959659386106</v>
      </c>
      <c r="O28">
        <v>94.941808364953602</v>
      </c>
      <c r="P28">
        <v>97.4367905503765</v>
      </c>
      <c r="Q28">
        <v>101.057107159924</v>
      </c>
      <c r="R28">
        <v>104.60314912596</v>
      </c>
      <c r="S28">
        <v>109.965581307119</v>
      </c>
      <c r="T28">
        <v>94.943554478392102</v>
      </c>
      <c r="U28">
        <v>96.235450930067998</v>
      </c>
      <c r="V28">
        <v>98.492821722242894</v>
      </c>
      <c r="W28">
        <v>97.679734376840301</v>
      </c>
      <c r="X28">
        <v>101.016403107675</v>
      </c>
      <c r="Y28">
        <v>105.04912109081801</v>
      </c>
      <c r="Z28">
        <v>100.761265425159</v>
      </c>
      <c r="AA28">
        <v>95.135829592255206</v>
      </c>
      <c r="AB28">
        <v>99.405489676060995</v>
      </c>
      <c r="AC28">
        <v>103.879943368895</v>
      </c>
      <c r="AD28">
        <v>104.025940985924</v>
      </c>
      <c r="AE28">
        <v>100</v>
      </c>
      <c r="AF28">
        <v>107.97935929152899</v>
      </c>
    </row>
    <row r="29" spans="1:32" x14ac:dyDescent="0.3">
      <c r="A29" t="s">
        <v>31</v>
      </c>
      <c r="B29" t="s">
        <v>140</v>
      </c>
      <c r="C29" t="s">
        <v>86</v>
      </c>
      <c r="D29" t="s">
        <v>141</v>
      </c>
      <c r="E29" t="s">
        <v>87</v>
      </c>
      <c r="F29">
        <v>82.322130555136994</v>
      </c>
      <c r="G29">
        <v>83.830589122367996</v>
      </c>
      <c r="H29">
        <v>86.139059615322097</v>
      </c>
      <c r="I29">
        <v>84.189414623871102</v>
      </c>
      <c r="J29">
        <v>84.076324309800796</v>
      </c>
      <c r="K29">
        <v>86.6936772220742</v>
      </c>
      <c r="L29">
        <v>88.933644640912902</v>
      </c>
      <c r="M29">
        <v>89.771185477103103</v>
      </c>
      <c r="N29">
        <v>89.821353527704204</v>
      </c>
      <c r="O29">
        <v>91.148667884191099</v>
      </c>
      <c r="P29">
        <v>95.741651472128396</v>
      </c>
      <c r="Q29">
        <v>99.285471685196299</v>
      </c>
      <c r="R29">
        <v>101.44602302603499</v>
      </c>
      <c r="S29">
        <v>107.08093940493499</v>
      </c>
      <c r="T29">
        <v>91.301371264530303</v>
      </c>
      <c r="U29">
        <v>94.535761857844193</v>
      </c>
      <c r="V29">
        <v>98.5443412292868</v>
      </c>
      <c r="W29">
        <v>99.703988212206298</v>
      </c>
      <c r="X29">
        <v>103.879185042058</v>
      </c>
      <c r="Y29">
        <v>108.204330760546</v>
      </c>
      <c r="Z29">
        <v>101.271385168526</v>
      </c>
      <c r="AA29">
        <v>95.163734706241598</v>
      </c>
      <c r="AB29">
        <v>99.599278131111902</v>
      </c>
      <c r="AC29">
        <v>104.99274025208901</v>
      </c>
      <c r="AD29">
        <v>105.76836700882301</v>
      </c>
      <c r="AE29">
        <v>100</v>
      </c>
      <c r="AF29">
        <v>100.300424421421</v>
      </c>
    </row>
    <row r="30" spans="1:32" x14ac:dyDescent="0.3">
      <c r="A30" t="s">
        <v>31</v>
      </c>
      <c r="B30" t="s">
        <v>142</v>
      </c>
      <c r="C30" t="s">
        <v>86</v>
      </c>
      <c r="D30" t="s">
        <v>143</v>
      </c>
      <c r="E30" t="s">
        <v>87</v>
      </c>
      <c r="F30">
        <v>113.83390476326301</v>
      </c>
      <c r="G30">
        <v>115.66288672368501</v>
      </c>
      <c r="H30">
        <v>117.67528525773901</v>
      </c>
      <c r="I30">
        <v>116.666576761567</v>
      </c>
      <c r="J30">
        <v>115.660405495782</v>
      </c>
      <c r="K30">
        <v>119.593997685408</v>
      </c>
      <c r="L30">
        <v>119.468528717572</v>
      </c>
      <c r="M30">
        <v>118.47502769640199</v>
      </c>
      <c r="N30">
        <v>126.636342093777</v>
      </c>
      <c r="O30">
        <v>135.52468707331099</v>
      </c>
      <c r="P30">
        <v>133.44569064247901</v>
      </c>
      <c r="Q30">
        <v>137.94209267537701</v>
      </c>
      <c r="R30">
        <v>149.13962221687601</v>
      </c>
      <c r="S30">
        <v>157.76080740192199</v>
      </c>
      <c r="T30">
        <v>137.63254766435901</v>
      </c>
      <c r="U30">
        <v>132.69824560091001</v>
      </c>
      <c r="V30">
        <v>131.48235457743701</v>
      </c>
      <c r="W30">
        <v>121.71159991281201</v>
      </c>
      <c r="X30">
        <v>120.65615814954501</v>
      </c>
      <c r="Y30">
        <v>123.42119449110901</v>
      </c>
      <c r="Z30">
        <v>120.35275183125501</v>
      </c>
      <c r="AA30">
        <v>116.498449351202</v>
      </c>
      <c r="AB30">
        <v>122.64079909391501</v>
      </c>
      <c r="AC30">
        <v>128.395160477253</v>
      </c>
      <c r="AD30">
        <v>126.39817244373801</v>
      </c>
      <c r="AE30">
        <v>100</v>
      </c>
      <c r="AF30">
        <v>99.850387535031999</v>
      </c>
    </row>
    <row r="31" spans="1:32" x14ac:dyDescent="0.3">
      <c r="A31" t="s">
        <v>31</v>
      </c>
      <c r="B31" t="s">
        <v>144</v>
      </c>
      <c r="C31" t="s">
        <v>86</v>
      </c>
      <c r="D31" t="s">
        <v>145</v>
      </c>
      <c r="E31" t="s">
        <v>87</v>
      </c>
      <c r="F31">
        <v>67.878906710437803</v>
      </c>
      <c r="G31">
        <v>71.170815833228303</v>
      </c>
      <c r="H31">
        <v>74.961241954618103</v>
      </c>
      <c r="I31">
        <v>72.125634909362503</v>
      </c>
      <c r="J31">
        <v>69.640110128941203</v>
      </c>
      <c r="K31">
        <v>70.441999122831305</v>
      </c>
      <c r="L31">
        <v>70.220243476696098</v>
      </c>
      <c r="M31">
        <v>68.057713180212602</v>
      </c>
      <c r="N31">
        <v>65.918523861240402</v>
      </c>
      <c r="O31">
        <v>63.747636632926202</v>
      </c>
      <c r="P31">
        <v>64.604107283390505</v>
      </c>
      <c r="Q31">
        <v>68.1286843549981</v>
      </c>
      <c r="R31">
        <v>68.302110630245195</v>
      </c>
      <c r="S31">
        <v>70.613787906487602</v>
      </c>
      <c r="T31">
        <v>55.638619879901903</v>
      </c>
      <c r="U31">
        <v>58.220355756791598</v>
      </c>
      <c r="V31">
        <v>59.277134185125497</v>
      </c>
      <c r="W31">
        <v>61.314775499055003</v>
      </c>
      <c r="X31">
        <v>67.109976635303994</v>
      </c>
      <c r="Y31">
        <v>70.696522042320495</v>
      </c>
      <c r="Z31">
        <v>65.400086500007305</v>
      </c>
      <c r="AA31">
        <v>57.7839102543645</v>
      </c>
      <c r="AB31">
        <v>60.572125153922698</v>
      </c>
      <c r="AC31">
        <v>62.9230632714401</v>
      </c>
      <c r="AD31">
        <v>61.007253068957098</v>
      </c>
      <c r="AE31">
        <v>100</v>
      </c>
      <c r="AF31">
        <v>223.799866455982</v>
      </c>
    </row>
    <row r="32" spans="1:32" x14ac:dyDescent="0.3">
      <c r="A32" t="s">
        <v>31</v>
      </c>
      <c r="B32" t="s">
        <v>146</v>
      </c>
      <c r="C32" t="s">
        <v>86</v>
      </c>
      <c r="D32" t="s">
        <v>147</v>
      </c>
      <c r="E32" t="s">
        <v>87</v>
      </c>
      <c r="F32">
        <v>73.033344873243294</v>
      </c>
      <c r="G32">
        <v>73.700808018163301</v>
      </c>
      <c r="H32">
        <v>75.113104130875996</v>
      </c>
      <c r="I32">
        <v>74.315278827847294</v>
      </c>
      <c r="J32">
        <v>73.885566724152099</v>
      </c>
      <c r="K32">
        <v>74.910988713339705</v>
      </c>
      <c r="L32">
        <v>75.6346572284546</v>
      </c>
      <c r="M32">
        <v>75.166696560548004</v>
      </c>
      <c r="N32">
        <v>75.578178195978793</v>
      </c>
      <c r="O32">
        <v>77.031941814488107</v>
      </c>
      <c r="P32">
        <v>79.007378319253604</v>
      </c>
      <c r="Q32">
        <v>81.550463293815397</v>
      </c>
      <c r="R32">
        <v>84.266253651294306</v>
      </c>
      <c r="S32">
        <v>88.335677633494498</v>
      </c>
      <c r="T32">
        <v>82.333666518990796</v>
      </c>
      <c r="U32">
        <v>83.270690908191796</v>
      </c>
      <c r="V32">
        <v>85.661047959848105</v>
      </c>
      <c r="W32">
        <v>86.465450564554203</v>
      </c>
      <c r="X32">
        <v>90.017810685968698</v>
      </c>
      <c r="Y32">
        <v>94.523684792122793</v>
      </c>
      <c r="Z32">
        <v>95.158419009869306</v>
      </c>
      <c r="AA32">
        <v>91.956227222802696</v>
      </c>
      <c r="AB32">
        <v>95.118058855770798</v>
      </c>
      <c r="AC32">
        <v>98.130088459708006</v>
      </c>
      <c r="AD32">
        <v>100.383311360325</v>
      </c>
      <c r="AE32">
        <v>100</v>
      </c>
      <c r="AF32">
        <v>107.44995352945401</v>
      </c>
    </row>
    <row r="33" spans="1:32" x14ac:dyDescent="0.3">
      <c r="A33" t="s">
        <v>31</v>
      </c>
      <c r="B33" t="s">
        <v>148</v>
      </c>
      <c r="C33" t="s">
        <v>86</v>
      </c>
      <c r="D33" t="s">
        <v>149</v>
      </c>
      <c r="E33" t="s">
        <v>87</v>
      </c>
      <c r="F33">
        <v>95.375351784045407</v>
      </c>
      <c r="G33">
        <v>94.464192526939499</v>
      </c>
      <c r="H33">
        <v>95.383678929604898</v>
      </c>
      <c r="I33">
        <v>94.707150381445899</v>
      </c>
      <c r="J33">
        <v>93.970803911523802</v>
      </c>
      <c r="K33">
        <v>94.0238081807219</v>
      </c>
      <c r="L33">
        <v>93.469507371134895</v>
      </c>
      <c r="M33">
        <v>92.520297555278304</v>
      </c>
      <c r="N33">
        <v>91.878873966726701</v>
      </c>
      <c r="O33">
        <v>91.712040928580095</v>
      </c>
      <c r="P33">
        <v>92.154453205531297</v>
      </c>
      <c r="Q33">
        <v>93.102798808988695</v>
      </c>
      <c r="R33">
        <v>94.235456861844995</v>
      </c>
      <c r="S33">
        <v>96.685549685376301</v>
      </c>
      <c r="T33">
        <v>92.280959727117605</v>
      </c>
      <c r="U33">
        <v>92.401716833061897</v>
      </c>
      <c r="V33">
        <v>94.084794640143002</v>
      </c>
      <c r="W33">
        <v>94.197099213577005</v>
      </c>
      <c r="X33">
        <v>95.858571100611101</v>
      </c>
      <c r="Y33">
        <v>99.220450684412398</v>
      </c>
      <c r="Z33">
        <v>96.376253333022603</v>
      </c>
      <c r="AA33">
        <v>94.074722864551106</v>
      </c>
      <c r="AB33">
        <v>96.842723054753293</v>
      </c>
      <c r="AC33">
        <v>100.702059388054</v>
      </c>
      <c r="AD33">
        <v>101.76830766030599</v>
      </c>
      <c r="AE33">
        <v>100</v>
      </c>
      <c r="AF33">
        <v>104.287991656393</v>
      </c>
    </row>
    <row r="34" spans="1:32" x14ac:dyDescent="0.3">
      <c r="A34" t="s">
        <v>31</v>
      </c>
      <c r="B34" t="s">
        <v>150</v>
      </c>
      <c r="C34" t="s">
        <v>86</v>
      </c>
      <c r="D34" t="s">
        <v>151</v>
      </c>
      <c r="E34" t="s">
        <v>87</v>
      </c>
      <c r="F34">
        <v>89.928160771243796</v>
      </c>
      <c r="G34">
        <v>90.210049258221602</v>
      </c>
      <c r="H34">
        <v>91.591780020153493</v>
      </c>
      <c r="I34">
        <v>91.393567255697903</v>
      </c>
      <c r="J34">
        <v>89.972974827740899</v>
      </c>
      <c r="K34">
        <v>88.260533885968499</v>
      </c>
      <c r="L34">
        <v>88.239978366475995</v>
      </c>
      <c r="M34">
        <v>87.463269018962706</v>
      </c>
      <c r="N34">
        <v>87.284796743058706</v>
      </c>
      <c r="O34">
        <v>88.439029934064294</v>
      </c>
      <c r="P34">
        <v>88.596985660204396</v>
      </c>
      <c r="Q34">
        <v>89.4010495958684</v>
      </c>
      <c r="R34">
        <v>90.413382347880997</v>
      </c>
      <c r="S34">
        <v>93.348034219172504</v>
      </c>
      <c r="T34">
        <v>90.272643188130999</v>
      </c>
      <c r="U34">
        <v>90.519455554274899</v>
      </c>
      <c r="V34">
        <v>91.276015534267003</v>
      </c>
      <c r="W34">
        <v>91.770153421444107</v>
      </c>
      <c r="X34">
        <v>93.711119714673302</v>
      </c>
      <c r="Y34">
        <v>98.111135885164799</v>
      </c>
      <c r="Z34">
        <v>99.643843804927997</v>
      </c>
      <c r="AA34">
        <v>98.047895924114002</v>
      </c>
      <c r="AB34">
        <v>99.389857150970002</v>
      </c>
      <c r="AC34">
        <v>100.735214749297</v>
      </c>
      <c r="AD34">
        <v>100.78304505016899</v>
      </c>
      <c r="AE34">
        <v>100</v>
      </c>
      <c r="AF34">
        <v>102.179657122981</v>
      </c>
    </row>
    <row r="35" spans="1:32" x14ac:dyDescent="0.3">
      <c r="A35" t="s">
        <v>31</v>
      </c>
      <c r="B35" t="s">
        <v>152</v>
      </c>
      <c r="C35" t="s">
        <v>86</v>
      </c>
      <c r="D35" t="s">
        <v>153</v>
      </c>
      <c r="E35" t="s">
        <v>87</v>
      </c>
      <c r="F35">
        <v>111.26731378814</v>
      </c>
      <c r="G35">
        <v>110.854170746101</v>
      </c>
      <c r="H35">
        <v>111.46835265834601</v>
      </c>
      <c r="I35">
        <v>110.283043717561</v>
      </c>
      <c r="J35">
        <v>108.237570413981</v>
      </c>
      <c r="K35">
        <v>106.692131643295</v>
      </c>
      <c r="L35">
        <v>104.594024994471</v>
      </c>
      <c r="M35">
        <v>102.719529598527</v>
      </c>
      <c r="N35">
        <v>101.600605875394</v>
      </c>
      <c r="O35">
        <v>100.658071580899</v>
      </c>
      <c r="P35">
        <v>100.424791090581</v>
      </c>
      <c r="Q35">
        <v>100.39714085583</v>
      </c>
      <c r="R35">
        <v>100.453808984886</v>
      </c>
      <c r="S35">
        <v>100.94289486246799</v>
      </c>
      <c r="T35">
        <v>98.691843350828407</v>
      </c>
      <c r="U35">
        <v>96.548954889707801</v>
      </c>
      <c r="V35">
        <v>95.648367078910397</v>
      </c>
      <c r="W35">
        <v>94.880616714789994</v>
      </c>
      <c r="X35">
        <v>95.243657817840202</v>
      </c>
      <c r="Y35">
        <v>97.560945287013695</v>
      </c>
      <c r="Z35">
        <v>98.186333658530401</v>
      </c>
      <c r="AA35">
        <v>97.407066485137904</v>
      </c>
      <c r="AB35">
        <v>98.078297479528004</v>
      </c>
      <c r="AC35">
        <v>98.863473589215602</v>
      </c>
      <c r="AD35">
        <v>99.541305457982702</v>
      </c>
      <c r="AE35">
        <v>100</v>
      </c>
      <c r="AF35">
        <v>101.265503480479</v>
      </c>
    </row>
    <row r="36" spans="1:32" x14ac:dyDescent="0.3">
      <c r="A36" t="s">
        <v>31</v>
      </c>
      <c r="B36" t="s">
        <v>154</v>
      </c>
      <c r="C36" t="s">
        <v>86</v>
      </c>
      <c r="D36" t="s">
        <v>155</v>
      </c>
      <c r="E36" t="s">
        <v>87</v>
      </c>
      <c r="F36">
        <v>103.08588555308501</v>
      </c>
      <c r="G36">
        <v>103.33241337379</v>
      </c>
      <c r="H36">
        <v>104.20086278962999</v>
      </c>
      <c r="I36">
        <v>103.219521990191</v>
      </c>
      <c r="J36">
        <v>100.987878033261</v>
      </c>
      <c r="K36">
        <v>100.606131385182</v>
      </c>
      <c r="L36">
        <v>99.966713346010707</v>
      </c>
      <c r="M36">
        <v>98.647000408759396</v>
      </c>
      <c r="N36">
        <v>98.0686234840216</v>
      </c>
      <c r="O36">
        <v>97.299819612989594</v>
      </c>
      <c r="P36">
        <v>96.865648162476106</v>
      </c>
      <c r="Q36">
        <v>96.916845666136297</v>
      </c>
      <c r="R36">
        <v>97.541696861356201</v>
      </c>
      <c r="S36">
        <v>98.259027728201602</v>
      </c>
      <c r="T36">
        <v>95.877420357958599</v>
      </c>
      <c r="U36">
        <v>94.136420958511195</v>
      </c>
      <c r="V36">
        <v>93.603213690490094</v>
      </c>
      <c r="W36">
        <v>93.192098372186805</v>
      </c>
      <c r="X36">
        <v>94.100662733800803</v>
      </c>
      <c r="Y36">
        <v>96.830543182626698</v>
      </c>
      <c r="Z36">
        <v>97.820122114863906</v>
      </c>
      <c r="AA36">
        <v>97.090777197425496</v>
      </c>
      <c r="AB36">
        <v>97.966573865051402</v>
      </c>
      <c r="AC36">
        <v>98.606308593200197</v>
      </c>
      <c r="AD36">
        <v>99.6390316470832</v>
      </c>
      <c r="AE36">
        <v>100</v>
      </c>
      <c r="AF36">
        <v>102.012010982253</v>
      </c>
    </row>
    <row r="37" spans="1:32" x14ac:dyDescent="0.3">
      <c r="A37" t="s">
        <v>31</v>
      </c>
      <c r="B37" t="s">
        <v>156</v>
      </c>
      <c r="C37" t="s">
        <v>86</v>
      </c>
      <c r="D37" t="s">
        <v>157</v>
      </c>
      <c r="E37" t="s">
        <v>87</v>
      </c>
      <c r="F37">
        <v>125.804339245599</v>
      </c>
      <c r="G37">
        <v>124.15551719576401</v>
      </c>
      <c r="H37">
        <v>123.850640599873</v>
      </c>
      <c r="I37">
        <v>121.680816651192</v>
      </c>
      <c r="J37">
        <v>119.445626460434</v>
      </c>
      <c r="K37">
        <v>116.141803473171</v>
      </c>
      <c r="L37">
        <v>111.973453796548</v>
      </c>
      <c r="M37">
        <v>109.372154416594</v>
      </c>
      <c r="N37">
        <v>107.90881073990001</v>
      </c>
      <c r="O37">
        <v>106.804137619925</v>
      </c>
      <c r="P37">
        <v>106.944308478202</v>
      </c>
      <c r="Q37">
        <v>106.764192708111</v>
      </c>
      <c r="R37">
        <v>106.208130814176</v>
      </c>
      <c r="S37">
        <v>106.10457298086401</v>
      </c>
      <c r="T37">
        <v>103.617885764874</v>
      </c>
      <c r="U37">
        <v>100.58983909080401</v>
      </c>
      <c r="V37">
        <v>99.250151847647501</v>
      </c>
      <c r="W37">
        <v>98.052748334317997</v>
      </c>
      <c r="X37">
        <v>97.354934530807199</v>
      </c>
      <c r="Y37">
        <v>98.970709991342304</v>
      </c>
      <c r="Z37">
        <v>99.139339832370993</v>
      </c>
      <c r="AA37">
        <v>98.319412379929801</v>
      </c>
      <c r="AB37">
        <v>98.559836597917496</v>
      </c>
      <c r="AC37">
        <v>99.389568458704005</v>
      </c>
      <c r="AD37">
        <v>99.703891613479101</v>
      </c>
      <c r="AE37">
        <v>100</v>
      </c>
      <c r="AF37">
        <v>100.89768399671</v>
      </c>
    </row>
    <row r="38" spans="1:32" x14ac:dyDescent="0.3">
      <c r="A38" t="s">
        <v>31</v>
      </c>
      <c r="B38" t="s">
        <v>158</v>
      </c>
      <c r="C38" t="s">
        <v>86</v>
      </c>
      <c r="D38" t="s">
        <v>159</v>
      </c>
      <c r="E38" t="s">
        <v>87</v>
      </c>
      <c r="F38">
        <v>104.616249243407</v>
      </c>
      <c r="G38">
        <v>104.071075787865</v>
      </c>
      <c r="H38">
        <v>105.05454055640899</v>
      </c>
      <c r="I38">
        <v>104.45127907536801</v>
      </c>
      <c r="J38">
        <v>102.907013067265</v>
      </c>
      <c r="K38">
        <v>102.064691576812</v>
      </c>
      <c r="L38">
        <v>100.70188880593</v>
      </c>
      <c r="M38">
        <v>99.040794045863805</v>
      </c>
      <c r="N38">
        <v>97.729791014918703</v>
      </c>
      <c r="O38">
        <v>96.777565848411996</v>
      </c>
      <c r="P38">
        <v>96.394643790457593</v>
      </c>
      <c r="Q38">
        <v>96.444831260893395</v>
      </c>
      <c r="R38">
        <v>96.588826427996295</v>
      </c>
      <c r="S38">
        <v>97.404371944726904</v>
      </c>
      <c r="T38">
        <v>95.529827349120495</v>
      </c>
      <c r="U38">
        <v>93.920724084141696</v>
      </c>
      <c r="V38">
        <v>93.1705130788242</v>
      </c>
      <c r="W38">
        <v>92.548635392061996</v>
      </c>
      <c r="X38">
        <v>93.645261099099699</v>
      </c>
      <c r="Y38">
        <v>96.419430885567607</v>
      </c>
      <c r="Z38">
        <v>97.280687690808904</v>
      </c>
      <c r="AA38">
        <v>96.510029788605294</v>
      </c>
      <c r="AB38">
        <v>97.535123358148297</v>
      </c>
      <c r="AC38">
        <v>98.380281483782298</v>
      </c>
      <c r="AD38">
        <v>99.257469947126594</v>
      </c>
      <c r="AE38">
        <v>100</v>
      </c>
      <c r="AF38">
        <v>101.241123479821</v>
      </c>
    </row>
    <row r="39" spans="1:32" x14ac:dyDescent="0.3">
      <c r="A39" t="s">
        <v>31</v>
      </c>
      <c r="B39" t="s">
        <v>160</v>
      </c>
      <c r="C39" t="s">
        <v>86</v>
      </c>
      <c r="D39" t="s">
        <v>161</v>
      </c>
      <c r="E39" t="s">
        <v>87</v>
      </c>
      <c r="F39">
        <v>104.130491283076</v>
      </c>
      <c r="G39">
        <v>103.955911946135</v>
      </c>
      <c r="H39">
        <v>105.02639752925801</v>
      </c>
      <c r="I39">
        <v>104.369549874556</v>
      </c>
      <c r="J39">
        <v>102.990703641355</v>
      </c>
      <c r="K39">
        <v>102.357179576962</v>
      </c>
      <c r="L39">
        <v>101.657003397415</v>
      </c>
      <c r="M39">
        <v>100.382746164973</v>
      </c>
      <c r="N39">
        <v>99.363019572283704</v>
      </c>
      <c r="O39">
        <v>98.3782584240886</v>
      </c>
      <c r="P39">
        <v>97.897466385683501</v>
      </c>
      <c r="Q39">
        <v>97.707004955343905</v>
      </c>
      <c r="R39">
        <v>97.5596667936058</v>
      </c>
      <c r="S39">
        <v>97.993831138970805</v>
      </c>
      <c r="T39">
        <v>96.212570956467403</v>
      </c>
      <c r="U39">
        <v>94.966209388211496</v>
      </c>
      <c r="V39">
        <v>94.776924405595494</v>
      </c>
      <c r="W39">
        <v>94.354335478833505</v>
      </c>
      <c r="X39">
        <v>94.653699061195894</v>
      </c>
      <c r="Y39">
        <v>97.101965294516802</v>
      </c>
      <c r="Z39">
        <v>97.679625851392302</v>
      </c>
      <c r="AA39">
        <v>97.079035038595904</v>
      </c>
      <c r="AB39">
        <v>97.978404983177697</v>
      </c>
      <c r="AC39">
        <v>98.956638414279098</v>
      </c>
      <c r="AD39">
        <v>99.786848133305497</v>
      </c>
      <c r="AE39">
        <v>100</v>
      </c>
      <c r="AF39">
        <v>101.228736917454</v>
      </c>
    </row>
    <row r="40" spans="1:32" x14ac:dyDescent="0.3">
      <c r="A40" t="s">
        <v>31</v>
      </c>
      <c r="B40" t="s">
        <v>162</v>
      </c>
      <c r="C40" t="s">
        <v>86</v>
      </c>
      <c r="D40" t="s">
        <v>163</v>
      </c>
      <c r="E40" t="s">
        <v>87</v>
      </c>
      <c r="F40">
        <v>112.856793186315</v>
      </c>
      <c r="G40">
        <v>115.22519161268799</v>
      </c>
      <c r="H40">
        <v>114.9023800156</v>
      </c>
      <c r="I40">
        <v>112.575925629357</v>
      </c>
      <c r="J40">
        <v>108.94475339388001</v>
      </c>
      <c r="K40">
        <v>108.830306118194</v>
      </c>
      <c r="L40">
        <v>119.082981228459</v>
      </c>
      <c r="M40">
        <v>125.150277271432</v>
      </c>
      <c r="N40">
        <v>126.142415210029</v>
      </c>
      <c r="O40">
        <v>125.139607645616</v>
      </c>
      <c r="P40">
        <v>125.893292847716</v>
      </c>
      <c r="Q40">
        <v>123.067049256985</v>
      </c>
      <c r="R40">
        <v>120.88258982212901</v>
      </c>
      <c r="S40">
        <v>120.23559034085299</v>
      </c>
      <c r="T40">
        <v>115.651290745731</v>
      </c>
      <c r="U40">
        <v>113.415813509703</v>
      </c>
      <c r="V40">
        <v>111.07023171953099</v>
      </c>
      <c r="W40">
        <v>107.221258768951</v>
      </c>
      <c r="X40">
        <v>104.464586863311</v>
      </c>
      <c r="Y40">
        <v>105.36638208365</v>
      </c>
      <c r="Z40">
        <v>103.937276749552</v>
      </c>
      <c r="AA40">
        <v>101.64812347585</v>
      </c>
      <c r="AB40">
        <v>100.471351825177</v>
      </c>
      <c r="AC40">
        <v>102.19103134924799</v>
      </c>
      <c r="AD40">
        <v>103.202947614791</v>
      </c>
      <c r="AE40">
        <v>100</v>
      </c>
      <c r="AF40">
        <v>98.545885780926298</v>
      </c>
    </row>
    <row r="41" spans="1:32" x14ac:dyDescent="0.3">
      <c r="A41" t="s">
        <v>31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31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31</v>
      </c>
      <c r="B43" t="s">
        <v>168</v>
      </c>
      <c r="C43" t="s">
        <v>86</v>
      </c>
      <c r="D43" t="s">
        <v>169</v>
      </c>
      <c r="E43" t="s">
        <v>87</v>
      </c>
      <c r="F43">
        <v>99.970835754434006</v>
      </c>
      <c r="G43">
        <v>100.04349044493701</v>
      </c>
      <c r="H43">
        <v>101.151826303487</v>
      </c>
      <c r="I43">
        <v>100.620442824319</v>
      </c>
      <c r="J43">
        <v>99.505691822605101</v>
      </c>
      <c r="K43">
        <v>99.165108152223297</v>
      </c>
      <c r="L43">
        <v>98.845449081907802</v>
      </c>
      <c r="M43">
        <v>97.289176897206104</v>
      </c>
      <c r="N43">
        <v>96.456755581579998</v>
      </c>
      <c r="O43">
        <v>96.369005285892698</v>
      </c>
      <c r="P43">
        <v>96.668143490997707</v>
      </c>
      <c r="Q43">
        <v>97.101029810162402</v>
      </c>
      <c r="R43">
        <v>97.252169464850397</v>
      </c>
      <c r="S43">
        <v>97.995890681553007</v>
      </c>
      <c r="T43">
        <v>94.880753086322699</v>
      </c>
      <c r="U43">
        <v>94.095989900377504</v>
      </c>
      <c r="V43">
        <v>94.449875108437695</v>
      </c>
      <c r="W43">
        <v>94.561294369001999</v>
      </c>
      <c r="X43">
        <v>95.311121373172796</v>
      </c>
      <c r="Y43">
        <v>98.132529438442702</v>
      </c>
      <c r="Z43">
        <v>98.534390631608304</v>
      </c>
      <c r="AA43">
        <v>98.097839347673798</v>
      </c>
      <c r="AB43">
        <v>99.076677618164794</v>
      </c>
      <c r="AC43">
        <v>100.070177206845</v>
      </c>
      <c r="AD43">
        <v>100.92987461427499</v>
      </c>
      <c r="AE43">
        <v>100</v>
      </c>
      <c r="AF43">
        <v>102.36687649564</v>
      </c>
    </row>
    <row r="44" spans="1:32" x14ac:dyDescent="0.3">
      <c r="A44" t="s">
        <v>31</v>
      </c>
      <c r="B44" t="s">
        <v>170</v>
      </c>
      <c r="C44" t="s">
        <v>86</v>
      </c>
      <c r="D44" t="s">
        <v>171</v>
      </c>
      <c r="E44" t="s">
        <v>87</v>
      </c>
      <c r="F44">
        <v>91.886378065293599</v>
      </c>
      <c r="G44">
        <v>91.834795533102906</v>
      </c>
      <c r="H44">
        <v>93.274997239672004</v>
      </c>
      <c r="I44">
        <v>91.410194449023194</v>
      </c>
      <c r="J44">
        <v>89.356988700328202</v>
      </c>
      <c r="K44">
        <v>89.807033709409893</v>
      </c>
      <c r="L44">
        <v>89.019343584147606</v>
      </c>
      <c r="M44">
        <v>87.824492311751996</v>
      </c>
      <c r="N44">
        <v>87.723307515943304</v>
      </c>
      <c r="O44">
        <v>89.465274537129105</v>
      </c>
      <c r="P44">
        <v>92.199777748045904</v>
      </c>
      <c r="Q44">
        <v>95.692722370642798</v>
      </c>
      <c r="R44">
        <v>98.2854662652326</v>
      </c>
      <c r="S44">
        <v>103.89140540696999</v>
      </c>
      <c r="T44">
        <v>94.577055781085605</v>
      </c>
      <c r="U44">
        <v>95.341685345641395</v>
      </c>
      <c r="V44">
        <v>98.213912638047006</v>
      </c>
      <c r="W44">
        <v>97.322839835355296</v>
      </c>
      <c r="X44">
        <v>100.09319348515</v>
      </c>
      <c r="Y44">
        <v>103.86075783870901</v>
      </c>
      <c r="Z44">
        <v>100.367474682037</v>
      </c>
      <c r="AA44">
        <v>95.424527824591195</v>
      </c>
      <c r="AB44">
        <v>99.333054757152695</v>
      </c>
      <c r="AC44">
        <v>102.608767423573</v>
      </c>
      <c r="AD44">
        <v>102.38467729545</v>
      </c>
      <c r="AE44">
        <v>100</v>
      </c>
      <c r="AF44">
        <v>107.332124772989</v>
      </c>
    </row>
    <row r="45" spans="1:32" x14ac:dyDescent="0.3">
      <c r="A45" t="s">
        <v>31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31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31</v>
      </c>
      <c r="B47" t="s">
        <v>176</v>
      </c>
      <c r="C47" t="s">
        <v>86</v>
      </c>
      <c r="D47" t="s">
        <v>177</v>
      </c>
      <c r="E47" t="s">
        <v>87</v>
      </c>
      <c r="F47">
        <v>58.385612501611803</v>
      </c>
      <c r="G47">
        <v>59.690875448425601</v>
      </c>
      <c r="H47">
        <v>61.763380208445703</v>
      </c>
      <c r="I47">
        <v>62.116437087100401</v>
      </c>
      <c r="J47">
        <v>62.0022678431272</v>
      </c>
      <c r="K47">
        <v>62.699236663071297</v>
      </c>
      <c r="L47">
        <v>64.668639276099597</v>
      </c>
      <c r="M47">
        <v>65.963681560786199</v>
      </c>
      <c r="N47">
        <v>66.923093967792298</v>
      </c>
      <c r="O47">
        <v>67.782284356097307</v>
      </c>
      <c r="P47">
        <v>69.559743675025501</v>
      </c>
      <c r="Q47">
        <v>71.261300182103696</v>
      </c>
      <c r="R47">
        <v>72.587392418405202</v>
      </c>
      <c r="S47">
        <v>75.183023773562695</v>
      </c>
      <c r="T47">
        <v>73.241821594194306</v>
      </c>
      <c r="U47">
        <v>74.562937138094</v>
      </c>
      <c r="V47">
        <v>76.838928114064899</v>
      </c>
      <c r="W47">
        <v>78.506463491490905</v>
      </c>
      <c r="X47">
        <v>81.5790543737956</v>
      </c>
      <c r="Y47">
        <v>85.956232555534896</v>
      </c>
      <c r="Z47">
        <v>86.812961820228907</v>
      </c>
      <c r="AA47">
        <v>86.671713343958601</v>
      </c>
      <c r="AB47">
        <v>90.469307188725793</v>
      </c>
      <c r="AC47">
        <v>95.335119002809705</v>
      </c>
      <c r="AD47">
        <v>98.436787588976202</v>
      </c>
      <c r="AE47">
        <v>100</v>
      </c>
      <c r="AF47">
        <v>104.78065387383501</v>
      </c>
    </row>
    <row r="48" spans="1:32" x14ac:dyDescent="0.3">
      <c r="A48" t="s">
        <v>31</v>
      </c>
      <c r="B48" t="s">
        <v>178</v>
      </c>
      <c r="C48" t="s">
        <v>86</v>
      </c>
      <c r="D48" t="s">
        <v>179</v>
      </c>
      <c r="E48" t="s">
        <v>87</v>
      </c>
      <c r="F48">
        <v>77.724792569009097</v>
      </c>
      <c r="G48">
        <v>78.519364801285505</v>
      </c>
      <c r="H48">
        <v>80.505108380916695</v>
      </c>
      <c r="I48">
        <v>80.598646473892103</v>
      </c>
      <c r="J48">
        <v>80.203878822097906</v>
      </c>
      <c r="K48">
        <v>82.885298865767695</v>
      </c>
      <c r="L48">
        <v>84.138131214355894</v>
      </c>
      <c r="M48">
        <v>84.563393339788604</v>
      </c>
      <c r="N48">
        <v>84.975359918756098</v>
      </c>
      <c r="O48">
        <v>85.421026215017605</v>
      </c>
      <c r="P48">
        <v>86.722856556743594</v>
      </c>
      <c r="Q48">
        <v>87.805699242149302</v>
      </c>
      <c r="R48">
        <v>88.844672964455896</v>
      </c>
      <c r="S48">
        <v>90.582458460055506</v>
      </c>
      <c r="T48">
        <v>88.217772124807794</v>
      </c>
      <c r="U48">
        <v>88.036294790230798</v>
      </c>
      <c r="V48">
        <v>89.127679158545206</v>
      </c>
      <c r="W48">
        <v>89.473517704901298</v>
      </c>
      <c r="X48">
        <v>91.527671816683096</v>
      </c>
      <c r="Y48">
        <v>94.796189038054706</v>
      </c>
      <c r="Z48">
        <v>95.510473808852296</v>
      </c>
      <c r="AA48">
        <v>93.925745795169505</v>
      </c>
      <c r="AB48">
        <v>96.045355256728598</v>
      </c>
      <c r="AC48">
        <v>98.370203901562107</v>
      </c>
      <c r="AD48">
        <v>99.797794801120205</v>
      </c>
      <c r="AE48">
        <v>100</v>
      </c>
      <c r="AF48">
        <v>102.76561956394799</v>
      </c>
    </row>
    <row r="49" spans="1:32" x14ac:dyDescent="0.3">
      <c r="A49" t="s">
        <v>31</v>
      </c>
      <c r="B49" t="s">
        <v>180</v>
      </c>
      <c r="C49" t="s">
        <v>86</v>
      </c>
      <c r="D49" t="s">
        <v>181</v>
      </c>
      <c r="E49" t="s">
        <v>87</v>
      </c>
      <c r="F49">
        <v>45.134711152876697</v>
      </c>
      <c r="G49">
        <v>46.788960514793601</v>
      </c>
      <c r="H49">
        <v>49.371663347261503</v>
      </c>
      <c r="I49">
        <v>50.531381657274103</v>
      </c>
      <c r="J49">
        <v>51.661482052707697</v>
      </c>
      <c r="K49">
        <v>53.6569311695133</v>
      </c>
      <c r="L49">
        <v>55.610882279953799</v>
      </c>
      <c r="M49">
        <v>57.177748025751498</v>
      </c>
      <c r="N49">
        <v>58.662530546581003</v>
      </c>
      <c r="O49">
        <v>60.389759882358398</v>
      </c>
      <c r="P49">
        <v>62.7527376493967</v>
      </c>
      <c r="Q49">
        <v>65.199990161175094</v>
      </c>
      <c r="R49">
        <v>67.144704028040806</v>
      </c>
      <c r="S49">
        <v>70.294037672649196</v>
      </c>
      <c r="T49">
        <v>68.806070007879995</v>
      </c>
      <c r="U49">
        <v>69.526154006501201</v>
      </c>
      <c r="V49">
        <v>71.549880687766006</v>
      </c>
      <c r="W49">
        <v>73.568722221255797</v>
      </c>
      <c r="X49">
        <v>76.937384471239199</v>
      </c>
      <c r="Y49">
        <v>82.029328384217607</v>
      </c>
      <c r="Z49">
        <v>83.758889823414094</v>
      </c>
      <c r="AA49">
        <v>83.386108420655603</v>
      </c>
      <c r="AB49">
        <v>87.711977499019994</v>
      </c>
      <c r="AC49">
        <v>93.281210530156002</v>
      </c>
      <c r="AD49">
        <v>97.769075177778106</v>
      </c>
      <c r="AE49">
        <v>100</v>
      </c>
      <c r="AF49">
        <v>105.72095166183099</v>
      </c>
    </row>
    <row r="50" spans="1:32" x14ac:dyDescent="0.3">
      <c r="A50" t="s">
        <v>31</v>
      </c>
      <c r="B50" t="s">
        <v>182</v>
      </c>
      <c r="C50" t="s">
        <v>86</v>
      </c>
      <c r="D50" t="s">
        <v>183</v>
      </c>
      <c r="E50" t="s">
        <v>87</v>
      </c>
      <c r="F50">
        <v>104.24690542397801</v>
      </c>
      <c r="G50">
        <v>103.937030595267</v>
      </c>
      <c r="H50">
        <v>105.305072354583</v>
      </c>
      <c r="I50">
        <v>104.641396858408</v>
      </c>
      <c r="J50">
        <v>103.362992910855</v>
      </c>
      <c r="K50">
        <v>108.350416749575</v>
      </c>
      <c r="L50">
        <v>108.257781098175</v>
      </c>
      <c r="M50">
        <v>107.109280040694</v>
      </c>
      <c r="N50">
        <v>106.341341219581</v>
      </c>
      <c r="O50">
        <v>105.71584046381901</v>
      </c>
      <c r="P50">
        <v>105.93591696918899</v>
      </c>
      <c r="Q50">
        <v>105.801195050437</v>
      </c>
      <c r="R50">
        <v>106.138071299446</v>
      </c>
      <c r="S50">
        <v>106.539104345309</v>
      </c>
      <c r="T50">
        <v>103.622687848567</v>
      </c>
      <c r="U50">
        <v>101.75120511434299</v>
      </c>
      <c r="V50">
        <v>101.55206592898099</v>
      </c>
      <c r="W50">
        <v>100.392736330782</v>
      </c>
      <c r="X50">
        <v>101.246359857188</v>
      </c>
      <c r="Y50">
        <v>103.209109184337</v>
      </c>
      <c r="Z50">
        <v>103.560936520315</v>
      </c>
      <c r="AA50">
        <v>100.628641831769</v>
      </c>
      <c r="AB50">
        <v>101.163508430664</v>
      </c>
      <c r="AC50">
        <v>101.250686176672</v>
      </c>
      <c r="AD50">
        <v>101.076494856693</v>
      </c>
      <c r="AE50">
        <v>100</v>
      </c>
      <c r="AF50">
        <v>100.999334434205</v>
      </c>
    </row>
    <row r="51" spans="1:32" x14ac:dyDescent="0.3">
      <c r="A51" t="s">
        <v>31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31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31</v>
      </c>
      <c r="B53" t="s">
        <v>188</v>
      </c>
      <c r="C53" t="s">
        <v>86</v>
      </c>
      <c r="D53" t="s">
        <v>189</v>
      </c>
      <c r="E53" t="s">
        <v>87</v>
      </c>
      <c r="F53">
        <v>93.521101469260401</v>
      </c>
      <c r="G53">
        <v>93.746694216877401</v>
      </c>
      <c r="H53">
        <v>95.239539424166594</v>
      </c>
      <c r="I53">
        <v>94.224502793399594</v>
      </c>
      <c r="J53">
        <v>92.868058783298196</v>
      </c>
      <c r="K53">
        <v>93.1561869028491</v>
      </c>
      <c r="L53">
        <v>93.568259655258998</v>
      </c>
      <c r="M53">
        <v>93.131439412566905</v>
      </c>
      <c r="N53">
        <v>92.544902064324603</v>
      </c>
      <c r="O53">
        <v>92.512514848252493</v>
      </c>
      <c r="P53">
        <v>93.255013064347494</v>
      </c>
      <c r="Q53">
        <v>94.4308160164626</v>
      </c>
      <c r="R53">
        <v>95.165957011713601</v>
      </c>
      <c r="S53">
        <v>97.420455437483199</v>
      </c>
      <c r="T53">
        <v>92.961247913060404</v>
      </c>
      <c r="U53">
        <v>92.5596270973152</v>
      </c>
      <c r="V53">
        <v>93.574741967824494</v>
      </c>
      <c r="W53">
        <v>94.141947460570904</v>
      </c>
      <c r="X53">
        <v>96.283064537941598</v>
      </c>
      <c r="Y53">
        <v>99.973282602009704</v>
      </c>
      <c r="Z53">
        <v>98.871063221335206</v>
      </c>
      <c r="AA53">
        <v>96.413691544144797</v>
      </c>
      <c r="AB53">
        <v>98.327629852170304</v>
      </c>
      <c r="AC53">
        <v>100.583888651257</v>
      </c>
      <c r="AD53">
        <v>101.37354166115</v>
      </c>
      <c r="AE53">
        <v>100</v>
      </c>
      <c r="AF53">
        <v>103.07304576807201</v>
      </c>
    </row>
    <row r="54" spans="1:32" x14ac:dyDescent="0.3">
      <c r="A54" t="s">
        <v>31</v>
      </c>
      <c r="B54" t="s">
        <v>190</v>
      </c>
      <c r="C54" t="s">
        <v>86</v>
      </c>
      <c r="D54" t="s">
        <v>191</v>
      </c>
      <c r="E54" t="s">
        <v>87</v>
      </c>
      <c r="F54">
        <v>93.219719417352707</v>
      </c>
      <c r="G54">
        <v>93.324878158545999</v>
      </c>
      <c r="H54">
        <v>94.657867238213896</v>
      </c>
      <c r="I54">
        <v>93.726680047048305</v>
      </c>
      <c r="J54">
        <v>92.446763057989997</v>
      </c>
      <c r="K54">
        <v>92.548695343489399</v>
      </c>
      <c r="L54">
        <v>92.849605799464797</v>
      </c>
      <c r="M54">
        <v>92.4959115943645</v>
      </c>
      <c r="N54">
        <v>92.027187153241201</v>
      </c>
      <c r="O54">
        <v>92.057472847068397</v>
      </c>
      <c r="P54">
        <v>92.894478923549798</v>
      </c>
      <c r="Q54">
        <v>94.154293466233199</v>
      </c>
      <c r="R54">
        <v>94.944599353887199</v>
      </c>
      <c r="S54">
        <v>97.389188569969704</v>
      </c>
      <c r="T54">
        <v>93.180072392674703</v>
      </c>
      <c r="U54">
        <v>92.745851769573406</v>
      </c>
      <c r="V54">
        <v>93.550012145001006</v>
      </c>
      <c r="W54">
        <v>93.9759946945004</v>
      </c>
      <c r="X54">
        <v>95.718603530816793</v>
      </c>
      <c r="Y54">
        <v>99.208819716786607</v>
      </c>
      <c r="Z54">
        <v>98.518084221852902</v>
      </c>
      <c r="AA54">
        <v>96.376053211840798</v>
      </c>
      <c r="AB54">
        <v>98.065566725211994</v>
      </c>
      <c r="AC54">
        <v>100.082581270723</v>
      </c>
      <c r="AD54">
        <v>100.919750472891</v>
      </c>
      <c r="AE54">
        <v>100</v>
      </c>
      <c r="AF54">
        <v>102.547044613154</v>
      </c>
    </row>
    <row r="55" spans="1:32" x14ac:dyDescent="0.3">
      <c r="A55" t="s">
        <v>31</v>
      </c>
      <c r="B55" t="s">
        <v>192</v>
      </c>
      <c r="C55" t="s">
        <v>86</v>
      </c>
      <c r="D55" t="s">
        <v>193</v>
      </c>
      <c r="E55" t="s">
        <v>87</v>
      </c>
      <c r="F55">
        <v>93.104279534394806</v>
      </c>
      <c r="G55">
        <v>93.111827902925896</v>
      </c>
      <c r="H55">
        <v>94.320056563025801</v>
      </c>
      <c r="I55">
        <v>93.448860172320195</v>
      </c>
      <c r="J55">
        <v>92.222517630865696</v>
      </c>
      <c r="K55">
        <v>92.193314594809806</v>
      </c>
      <c r="L55">
        <v>92.406680534104595</v>
      </c>
      <c r="M55">
        <v>92.112862148863201</v>
      </c>
      <c r="N55">
        <v>91.725310967279697</v>
      </c>
      <c r="O55">
        <v>91.795336580019196</v>
      </c>
      <c r="P55">
        <v>92.691401702209305</v>
      </c>
      <c r="Q55">
        <v>94.0036333800047</v>
      </c>
      <c r="R55">
        <v>94.826200556145196</v>
      </c>
      <c r="S55">
        <v>97.372221190671695</v>
      </c>
      <c r="T55">
        <v>93.298216665878797</v>
      </c>
      <c r="U55">
        <v>92.847375880231297</v>
      </c>
      <c r="V55">
        <v>93.553207102322403</v>
      </c>
      <c r="W55">
        <v>93.911529460574698</v>
      </c>
      <c r="X55">
        <v>95.460192942085499</v>
      </c>
      <c r="Y55">
        <v>98.848305598014505</v>
      </c>
      <c r="Z55">
        <v>98.382326343979599</v>
      </c>
      <c r="AA55">
        <v>96.409881160195994</v>
      </c>
      <c r="AB55">
        <v>97.980218984472899</v>
      </c>
      <c r="AC55">
        <v>99.874083264891496</v>
      </c>
      <c r="AD55">
        <v>100.735057980032</v>
      </c>
      <c r="AE55">
        <v>100</v>
      </c>
      <c r="AF55">
        <v>102.31888399087499</v>
      </c>
    </row>
    <row r="56" spans="1:32" x14ac:dyDescent="0.3">
      <c r="A56" t="s">
        <v>31</v>
      </c>
      <c r="B56" t="s">
        <v>194</v>
      </c>
      <c r="C56" t="s">
        <v>86</v>
      </c>
      <c r="D56" t="s">
        <v>195</v>
      </c>
      <c r="E56" t="s">
        <v>87</v>
      </c>
      <c r="F56">
        <v>104.638024217295</v>
      </c>
      <c r="G56">
        <v>103.395973350849</v>
      </c>
      <c r="H56">
        <v>104.77768392447</v>
      </c>
      <c r="I56">
        <v>103.85959379449</v>
      </c>
      <c r="J56">
        <v>102.311448531804</v>
      </c>
      <c r="K56">
        <v>101.981599312588</v>
      </c>
      <c r="L56">
        <v>101.070273563756</v>
      </c>
      <c r="M56">
        <v>100.075263089088</v>
      </c>
      <c r="N56">
        <v>98.694634087834302</v>
      </c>
      <c r="O56">
        <v>98.775130928104801</v>
      </c>
      <c r="P56">
        <v>99.816499004659306</v>
      </c>
      <c r="Q56">
        <v>101.47471055621099</v>
      </c>
      <c r="R56">
        <v>102.358945007896</v>
      </c>
      <c r="S56">
        <v>104.38300383832301</v>
      </c>
      <c r="T56">
        <v>97.960091362926093</v>
      </c>
      <c r="U56">
        <v>96.707140713716001</v>
      </c>
      <c r="V56">
        <v>97.697071621910695</v>
      </c>
      <c r="W56">
        <v>96.568936352445206</v>
      </c>
      <c r="X56">
        <v>97.080690959259897</v>
      </c>
      <c r="Y56">
        <v>99.933883426827606</v>
      </c>
      <c r="Z56">
        <v>98.586319616327998</v>
      </c>
      <c r="AA56">
        <v>96.814583503311397</v>
      </c>
      <c r="AB56">
        <v>98.401215970837498</v>
      </c>
      <c r="AC56">
        <v>100.63832823157099</v>
      </c>
      <c r="AD56">
        <v>100.97116492217</v>
      </c>
      <c r="AE56">
        <v>100</v>
      </c>
      <c r="AF56">
        <v>102.703137031438</v>
      </c>
    </row>
    <row r="57" spans="1:32" x14ac:dyDescent="0.3">
      <c r="A57" t="s">
        <v>31</v>
      </c>
      <c r="B57" t="s">
        <v>196</v>
      </c>
      <c r="C57" t="s">
        <v>86</v>
      </c>
      <c r="D57" t="s">
        <v>197</v>
      </c>
      <c r="E57" t="s">
        <v>87</v>
      </c>
      <c r="F57">
        <v>91.323569822131404</v>
      </c>
      <c r="G57">
        <v>91.368032050010001</v>
      </c>
      <c r="H57">
        <v>92.825869852515794</v>
      </c>
      <c r="I57">
        <v>91.106971088616405</v>
      </c>
      <c r="J57">
        <v>89.160483974075404</v>
      </c>
      <c r="K57">
        <v>89.770605404940795</v>
      </c>
      <c r="L57">
        <v>89.341203770724107</v>
      </c>
      <c r="M57">
        <v>88.414820384621507</v>
      </c>
      <c r="N57">
        <v>88.370352592900204</v>
      </c>
      <c r="O57">
        <v>89.948468267104801</v>
      </c>
      <c r="P57">
        <v>92.526876854928005</v>
      </c>
      <c r="Q57">
        <v>95.710002620497306</v>
      </c>
      <c r="R57">
        <v>98.085342389834807</v>
      </c>
      <c r="S57">
        <v>103.252604123981</v>
      </c>
      <c r="T57">
        <v>94.643626349665894</v>
      </c>
      <c r="U57">
        <v>95.241648829023902</v>
      </c>
      <c r="V57">
        <v>97.811242364918002</v>
      </c>
      <c r="W57">
        <v>96.939842981358098</v>
      </c>
      <c r="X57">
        <v>99.477200136373497</v>
      </c>
      <c r="Y57">
        <v>103.114058285279</v>
      </c>
      <c r="Z57">
        <v>100.03501887485</v>
      </c>
      <c r="AA57">
        <v>95.466637185188006</v>
      </c>
      <c r="AB57">
        <v>99.070647865326194</v>
      </c>
      <c r="AC57">
        <v>102.219646341648</v>
      </c>
      <c r="AD57">
        <v>102.16929213508899</v>
      </c>
      <c r="AE57">
        <v>100</v>
      </c>
      <c r="AF57">
        <v>106.59553989218399</v>
      </c>
    </row>
    <row r="58" spans="1:32" x14ac:dyDescent="0.3">
      <c r="A58" t="s">
        <v>31</v>
      </c>
      <c r="B58" t="s">
        <v>198</v>
      </c>
      <c r="C58" t="s">
        <v>86</v>
      </c>
      <c r="D58" t="s">
        <v>199</v>
      </c>
      <c r="E58" t="s">
        <v>87</v>
      </c>
      <c r="F58">
        <v>91.251614087662901</v>
      </c>
      <c r="G58">
        <v>91.300933530181894</v>
      </c>
      <c r="H58">
        <v>92.758763615911505</v>
      </c>
      <c r="I58">
        <v>91.036904843155895</v>
      </c>
      <c r="J58">
        <v>89.089107512929004</v>
      </c>
      <c r="K58">
        <v>89.703054637951496</v>
      </c>
      <c r="L58">
        <v>89.275822496857998</v>
      </c>
      <c r="M58">
        <v>88.349875864786398</v>
      </c>
      <c r="N58">
        <v>88.311772588140698</v>
      </c>
      <c r="O58">
        <v>89.896821019354505</v>
      </c>
      <c r="P58">
        <v>92.482914642409796</v>
      </c>
      <c r="Q58">
        <v>95.674026924089901</v>
      </c>
      <c r="R58">
        <v>98.057607271193007</v>
      </c>
      <c r="S58">
        <v>103.243028426688</v>
      </c>
      <c r="T58">
        <v>94.620694163386801</v>
      </c>
      <c r="U58">
        <v>95.230662654405506</v>
      </c>
      <c r="V58">
        <v>97.810680607193106</v>
      </c>
      <c r="W58">
        <v>96.940945611530907</v>
      </c>
      <c r="X58">
        <v>99.4912035707613</v>
      </c>
      <c r="Y58">
        <v>103.132913679981</v>
      </c>
      <c r="Z58">
        <v>100.04335756376599</v>
      </c>
      <c r="AA58">
        <v>95.458095262043599</v>
      </c>
      <c r="AB58">
        <v>99.074324452561299</v>
      </c>
      <c r="AC58">
        <v>102.22880754877499</v>
      </c>
      <c r="AD58">
        <v>102.17615098403201</v>
      </c>
      <c r="AE58">
        <v>100</v>
      </c>
      <c r="AF58">
        <v>106.617147790052</v>
      </c>
    </row>
    <row r="59" spans="1:32" x14ac:dyDescent="0.3">
      <c r="A59" t="s">
        <v>31</v>
      </c>
      <c r="B59" t="s">
        <v>200</v>
      </c>
      <c r="C59" t="s">
        <v>86</v>
      </c>
      <c r="D59" t="s">
        <v>201</v>
      </c>
      <c r="E59" t="s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59"/>
  <sheetViews>
    <sheetView topLeftCell="P1" workbookViewId="0">
      <selection activeCell="AF1" sqref="AF1"/>
    </sheetView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34</v>
      </c>
      <c r="B2" t="s">
        <v>84</v>
      </c>
      <c r="C2" t="s">
        <v>86</v>
      </c>
      <c r="D2" t="s">
        <v>85</v>
      </c>
      <c r="E2" t="s">
        <v>87</v>
      </c>
      <c r="F2">
        <v>8602663.8719192892</v>
      </c>
      <c r="G2">
        <v>9136340.9896043204</v>
      </c>
      <c r="H2">
        <v>8955756.2388108</v>
      </c>
      <c r="I2">
        <v>9087783.8853926808</v>
      </c>
      <c r="J2">
        <v>9034876.7271357495</v>
      </c>
      <c r="K2">
        <v>9676940.1082069408</v>
      </c>
      <c r="L2">
        <v>8952881.8490053508</v>
      </c>
      <c r="M2">
        <v>9482947.0732084904</v>
      </c>
      <c r="N2">
        <v>8585068.7646515295</v>
      </c>
      <c r="O2">
        <v>7721123.9871010296</v>
      </c>
      <c r="P2">
        <v>7719881.7240617201</v>
      </c>
      <c r="Q2">
        <v>7636444.06226392</v>
      </c>
      <c r="R2">
        <v>8111950.6816429701</v>
      </c>
      <c r="S2">
        <v>8727384.4485331606</v>
      </c>
      <c r="T2">
        <v>8095359.8502356801</v>
      </c>
      <c r="U2">
        <v>7704754.5626289304</v>
      </c>
      <c r="V2">
        <v>7822479.5270335004</v>
      </c>
      <c r="W2">
        <v>7740580.6900206599</v>
      </c>
      <c r="X2">
        <v>7625198.5632522497</v>
      </c>
      <c r="Y2">
        <v>7237350.8084505498</v>
      </c>
      <c r="Z2">
        <v>6957663.0810831301</v>
      </c>
      <c r="AA2">
        <v>6438820.4690047698</v>
      </c>
      <c r="AB2">
        <v>6498962.3420781996</v>
      </c>
      <c r="AC2">
        <v>6079808.6878231699</v>
      </c>
      <c r="AD2">
        <v>6353053.1150978096</v>
      </c>
      <c r="AE2">
        <v>5942145</v>
      </c>
      <c r="AF2">
        <v>6176911</v>
      </c>
    </row>
    <row r="3" spans="1:32" x14ac:dyDescent="0.3">
      <c r="A3" t="s">
        <v>34</v>
      </c>
      <c r="B3" t="s">
        <v>88</v>
      </c>
      <c r="C3" t="s">
        <v>86</v>
      </c>
      <c r="D3" t="s">
        <v>89</v>
      </c>
      <c r="E3" t="s">
        <v>87</v>
      </c>
      <c r="F3">
        <v>1067845.04969634</v>
      </c>
      <c r="G3">
        <v>1139756.3536897199</v>
      </c>
      <c r="H3">
        <v>1094340.58618908</v>
      </c>
      <c r="I3">
        <v>1041662.85960043</v>
      </c>
      <c r="J3">
        <v>1028453.2166737301</v>
      </c>
      <c r="K3">
        <v>1144344.7115759901</v>
      </c>
      <c r="L3">
        <v>1201007.0979257401</v>
      </c>
      <c r="M3">
        <v>1107316.97632368</v>
      </c>
      <c r="N3">
        <v>1082510.2779605801</v>
      </c>
      <c r="O3">
        <v>903179.93368950905</v>
      </c>
      <c r="P3">
        <v>917458.91206842801</v>
      </c>
      <c r="Q3">
        <v>887051.52621617005</v>
      </c>
      <c r="R3">
        <v>814174.58085178596</v>
      </c>
      <c r="S3">
        <v>710674.63426150498</v>
      </c>
      <c r="T3">
        <v>400938.160139766</v>
      </c>
      <c r="U3">
        <v>420024.25876926898</v>
      </c>
      <c r="V3">
        <v>427468.83028496802</v>
      </c>
      <c r="W3">
        <v>396464.97035986901</v>
      </c>
      <c r="X3">
        <v>452095.635866386</v>
      </c>
      <c r="Y3">
        <v>460166.57766736002</v>
      </c>
      <c r="Z3">
        <v>437117.56386980199</v>
      </c>
      <c r="AA3">
        <v>401669.94109459902</v>
      </c>
      <c r="AB3">
        <v>433312.39884771599</v>
      </c>
      <c r="AC3">
        <v>424393.15814765502</v>
      </c>
      <c r="AD3">
        <v>401705.929094925</v>
      </c>
      <c r="AE3">
        <v>382131</v>
      </c>
      <c r="AF3">
        <v>362074</v>
      </c>
    </row>
    <row r="4" spans="1:32" x14ac:dyDescent="0.3">
      <c r="A4" t="s">
        <v>34</v>
      </c>
      <c r="B4" t="s">
        <v>90</v>
      </c>
      <c r="C4" t="s">
        <v>86</v>
      </c>
      <c r="D4" t="s">
        <v>91</v>
      </c>
      <c r="E4" t="s">
        <v>87</v>
      </c>
      <c r="F4">
        <v>87840980.136142105</v>
      </c>
      <c r="G4">
        <v>91336151.951879397</v>
      </c>
      <c r="H4">
        <v>93465491.847825304</v>
      </c>
      <c r="I4">
        <v>89669170.044854105</v>
      </c>
      <c r="J4">
        <v>88839724.231957003</v>
      </c>
      <c r="K4">
        <v>93400219.763542399</v>
      </c>
      <c r="L4">
        <v>88565702.922110602</v>
      </c>
      <c r="M4">
        <v>87356006.077209696</v>
      </c>
      <c r="N4">
        <v>91137780.804999396</v>
      </c>
      <c r="O4">
        <v>96051207.441389799</v>
      </c>
      <c r="P4">
        <v>100739571.890606</v>
      </c>
      <c r="Q4">
        <v>104595457.202354</v>
      </c>
      <c r="R4">
        <v>109994652.588157</v>
      </c>
      <c r="S4">
        <v>109731096.760355</v>
      </c>
      <c r="T4">
        <v>90096363.867585003</v>
      </c>
      <c r="U4">
        <v>104812757.749568</v>
      </c>
      <c r="V4">
        <v>101690662.059332</v>
      </c>
      <c r="W4">
        <v>103850553.22955</v>
      </c>
      <c r="X4">
        <v>103272202.57533599</v>
      </c>
      <c r="Y4">
        <v>105646075.225219</v>
      </c>
      <c r="Z4">
        <v>108687243.713741</v>
      </c>
      <c r="AA4">
        <v>108768943.39407501</v>
      </c>
      <c r="AB4">
        <v>113254315.539997</v>
      </c>
      <c r="AC4">
        <v>117103679.07522</v>
      </c>
      <c r="AD4">
        <v>114974515.50097001</v>
      </c>
      <c r="AE4">
        <v>108011729</v>
      </c>
      <c r="AF4">
        <v>116130594</v>
      </c>
    </row>
    <row r="5" spans="1:32" x14ac:dyDescent="0.3">
      <c r="A5" t="s">
        <v>34</v>
      </c>
      <c r="B5" t="s">
        <v>92</v>
      </c>
      <c r="C5" t="s">
        <v>86</v>
      </c>
      <c r="D5" t="s">
        <v>93</v>
      </c>
      <c r="E5" t="s">
        <v>87</v>
      </c>
      <c r="F5">
        <v>15564646.7175298</v>
      </c>
      <c r="G5">
        <v>15803588.318527499</v>
      </c>
      <c r="H5">
        <v>15589649.891047699</v>
      </c>
      <c r="I5">
        <v>15752545.6357705</v>
      </c>
      <c r="J5">
        <v>15466688.4405738</v>
      </c>
      <c r="K5">
        <v>15142043.3591535</v>
      </c>
      <c r="L5">
        <v>15282947.997734699</v>
      </c>
      <c r="M5">
        <v>15050289.395068901</v>
      </c>
      <c r="N5">
        <v>15139467.519097401</v>
      </c>
      <c r="O5">
        <v>15126375.4782233</v>
      </c>
      <c r="P5">
        <v>14725967.832572101</v>
      </c>
      <c r="Q5">
        <v>14671645.908317801</v>
      </c>
      <c r="R5">
        <v>14921274.654320899</v>
      </c>
      <c r="S5">
        <v>14118853.668289799</v>
      </c>
      <c r="T5">
        <v>12934981.841605101</v>
      </c>
      <c r="U5">
        <v>13433899.122418201</v>
      </c>
      <c r="V5">
        <v>12737015.616017999</v>
      </c>
      <c r="W5">
        <v>13004649.089537799</v>
      </c>
      <c r="X5">
        <v>13101761.8564495</v>
      </c>
      <c r="Y5">
        <v>13258062.6887857</v>
      </c>
      <c r="Z5">
        <v>13874861.0625048</v>
      </c>
      <c r="AA5">
        <v>14086045.034344999</v>
      </c>
      <c r="AB5">
        <v>14328446.042697299</v>
      </c>
      <c r="AC5">
        <v>14252638.882779101</v>
      </c>
      <c r="AD5">
        <v>14227342.7929431</v>
      </c>
      <c r="AE5">
        <v>13181470</v>
      </c>
      <c r="AF5">
        <v>13622409</v>
      </c>
    </row>
    <row r="6" spans="1:32" x14ac:dyDescent="0.3">
      <c r="A6" t="s">
        <v>34</v>
      </c>
      <c r="B6" t="s">
        <v>94</v>
      </c>
      <c r="C6" t="s">
        <v>86</v>
      </c>
      <c r="D6" t="s">
        <v>95</v>
      </c>
      <c r="E6" t="s">
        <v>87</v>
      </c>
      <c r="F6">
        <v>4894707.2331649698</v>
      </c>
      <c r="G6">
        <v>4586637.94230536</v>
      </c>
      <c r="H6">
        <v>4241213.4813778596</v>
      </c>
      <c r="I6">
        <v>3899869.3583479398</v>
      </c>
      <c r="J6">
        <v>3258457.7015706799</v>
      </c>
      <c r="K6">
        <v>2960603.5811361698</v>
      </c>
      <c r="L6">
        <v>2555437.5452420702</v>
      </c>
      <c r="M6">
        <v>2282783.94188734</v>
      </c>
      <c r="N6">
        <v>2193589.00617179</v>
      </c>
      <c r="O6">
        <v>2097571.9647113299</v>
      </c>
      <c r="P6">
        <v>1895829.0933902001</v>
      </c>
      <c r="Q6">
        <v>1871094.96825268</v>
      </c>
      <c r="R6">
        <v>1910887.01195542</v>
      </c>
      <c r="S6">
        <v>1849787.57409977</v>
      </c>
      <c r="T6">
        <v>1458522.2003649999</v>
      </c>
      <c r="U6">
        <v>1408570.86141152</v>
      </c>
      <c r="V6">
        <v>1475730.38395366</v>
      </c>
      <c r="W6">
        <v>1464632.67678485</v>
      </c>
      <c r="X6">
        <v>1393842.4275092001</v>
      </c>
      <c r="Y6">
        <v>1399408.0329990799</v>
      </c>
      <c r="Z6">
        <v>1568066.91123105</v>
      </c>
      <c r="AA6">
        <v>1300347.7338832601</v>
      </c>
      <c r="AB6">
        <v>1272520.8253261701</v>
      </c>
      <c r="AC6">
        <v>1364583.4465099799</v>
      </c>
      <c r="AD6">
        <v>1355146.0754929399</v>
      </c>
      <c r="AE6">
        <v>1223550</v>
      </c>
      <c r="AF6">
        <v>1099813</v>
      </c>
    </row>
    <row r="7" spans="1:32" x14ac:dyDescent="0.3">
      <c r="A7" t="s">
        <v>34</v>
      </c>
      <c r="B7" t="s">
        <v>96</v>
      </c>
      <c r="C7" t="s">
        <v>86</v>
      </c>
      <c r="D7" t="s">
        <v>97</v>
      </c>
      <c r="E7" t="s">
        <v>87</v>
      </c>
      <c r="F7">
        <v>9104197.8748963401</v>
      </c>
      <c r="G7">
        <v>9176267.5992624201</v>
      </c>
      <c r="H7">
        <v>8978972.3625272494</v>
      </c>
      <c r="I7">
        <v>8825094.8425805103</v>
      </c>
      <c r="J7">
        <v>8191985.4378085304</v>
      </c>
      <c r="K7">
        <v>8290735.7436048603</v>
      </c>
      <c r="L7">
        <v>7847757.00820335</v>
      </c>
      <c r="M7">
        <v>7393589.4782054303</v>
      </c>
      <c r="N7">
        <v>7210562.13479078</v>
      </c>
      <c r="O7">
        <v>7202681.3951938096</v>
      </c>
      <c r="P7">
        <v>7534983.63033487</v>
      </c>
      <c r="Q7">
        <v>7254390.9319389798</v>
      </c>
      <c r="R7">
        <v>7059602.9505577097</v>
      </c>
      <c r="S7">
        <v>6822299.2699081302</v>
      </c>
      <c r="T7">
        <v>5989167.9682424804</v>
      </c>
      <c r="U7">
        <v>6369663.71438378</v>
      </c>
      <c r="V7">
        <v>6103360.6166912401</v>
      </c>
      <c r="W7">
        <v>5905368.74689773</v>
      </c>
      <c r="X7">
        <v>6165508.4847092601</v>
      </c>
      <c r="Y7">
        <v>6184066.91625477</v>
      </c>
      <c r="Z7">
        <v>6748607.7028306201</v>
      </c>
      <c r="AA7">
        <v>6529188.6104006497</v>
      </c>
      <c r="AB7">
        <v>6593763.6811942495</v>
      </c>
      <c r="AC7">
        <v>6542368.1630611997</v>
      </c>
      <c r="AD7">
        <v>6456604.3704812201</v>
      </c>
      <c r="AE7">
        <v>5676079</v>
      </c>
      <c r="AF7">
        <v>5578686</v>
      </c>
    </row>
    <row r="8" spans="1:32" x14ac:dyDescent="0.3">
      <c r="A8" t="s">
        <v>34</v>
      </c>
      <c r="B8" t="s">
        <v>98</v>
      </c>
      <c r="C8" t="s">
        <v>86</v>
      </c>
      <c r="D8" t="s">
        <v>99</v>
      </c>
      <c r="E8" t="s">
        <v>87</v>
      </c>
      <c r="F8">
        <v>10180908.155874901</v>
      </c>
      <c r="G8">
        <v>11732681.7055973</v>
      </c>
      <c r="H8">
        <v>12042342.165552</v>
      </c>
      <c r="I8">
        <v>10305077.1344127</v>
      </c>
      <c r="J8">
        <v>9286565.4781212099</v>
      </c>
      <c r="K8">
        <v>9326328.0910534598</v>
      </c>
      <c r="L8">
        <v>8657135.6015834492</v>
      </c>
      <c r="M8">
        <v>7761153.3676116997</v>
      </c>
      <c r="N8">
        <v>6813286.9416318303</v>
      </c>
      <c r="O8">
        <v>6290330.3660410196</v>
      </c>
      <c r="P8">
        <v>6109110.2886224696</v>
      </c>
      <c r="Q8">
        <v>6340023.5990490802</v>
      </c>
      <c r="R8">
        <v>5898647.9066864401</v>
      </c>
      <c r="S8">
        <v>5810453.8688097298</v>
      </c>
      <c r="T8">
        <v>6065273.2631777301</v>
      </c>
      <c r="U8">
        <v>6366240.2504161699</v>
      </c>
      <c r="V8">
        <v>5884637.6568298601</v>
      </c>
      <c r="W8">
        <v>6404153.13097513</v>
      </c>
      <c r="X8">
        <v>8307559.3377745301</v>
      </c>
      <c r="Y8">
        <v>7288988.0737377498</v>
      </c>
      <c r="Z8">
        <v>6037584.9439864103</v>
      </c>
      <c r="AA8">
        <v>6114927.05740052</v>
      </c>
      <c r="AB8">
        <v>6232908.4929814897</v>
      </c>
      <c r="AC8">
        <v>6247825.3601884497</v>
      </c>
      <c r="AD8">
        <v>6086228.3211854603</v>
      </c>
      <c r="AE8">
        <v>5826296</v>
      </c>
      <c r="AF8">
        <v>6628242</v>
      </c>
    </row>
    <row r="9" spans="1:32" x14ac:dyDescent="0.3">
      <c r="A9" t="s">
        <v>34</v>
      </c>
      <c r="B9" t="s">
        <v>100</v>
      </c>
      <c r="C9" t="s">
        <v>86</v>
      </c>
      <c r="D9" t="s">
        <v>101</v>
      </c>
      <c r="E9" t="s">
        <v>87</v>
      </c>
      <c r="F9">
        <v>6738097.1114705903</v>
      </c>
      <c r="G9">
        <v>7029965.5140694603</v>
      </c>
      <c r="H9">
        <v>7280694.4843389904</v>
      </c>
      <c r="I9">
        <v>6845219.7363477899</v>
      </c>
      <c r="J9">
        <v>7175924.9544100501</v>
      </c>
      <c r="K9">
        <v>6501884.1187595697</v>
      </c>
      <c r="L9">
        <v>6407493.2349036997</v>
      </c>
      <c r="M9">
        <v>6498952.2239789097</v>
      </c>
      <c r="N9">
        <v>6450521.5834039198</v>
      </c>
      <c r="O9">
        <v>6152439.7360571101</v>
      </c>
      <c r="P9">
        <v>6110599.7337313602</v>
      </c>
      <c r="Q9">
        <v>5942291.9456532197</v>
      </c>
      <c r="R9">
        <v>5977630.6359901503</v>
      </c>
      <c r="S9">
        <v>5722038.2198037002</v>
      </c>
      <c r="T9">
        <v>5300506.8139023697</v>
      </c>
      <c r="U9">
        <v>5825955.2998469304</v>
      </c>
      <c r="V9">
        <v>5549538.1378844101</v>
      </c>
      <c r="W9">
        <v>5868272.4803517498</v>
      </c>
      <c r="X9">
        <v>5958190.8915424095</v>
      </c>
      <c r="Y9">
        <v>5972086.3391539603</v>
      </c>
      <c r="Z9">
        <v>6772564.5359498896</v>
      </c>
      <c r="AA9">
        <v>7316840.2820795001</v>
      </c>
      <c r="AB9">
        <v>7186279.9345892202</v>
      </c>
      <c r="AC9">
        <v>7455100.0180807402</v>
      </c>
      <c r="AD9">
        <v>8200074.2662698198</v>
      </c>
      <c r="AE9">
        <v>8124291</v>
      </c>
      <c r="AF9">
        <v>7783095</v>
      </c>
    </row>
    <row r="10" spans="1:32" x14ac:dyDescent="0.3">
      <c r="A10" t="s">
        <v>34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34</v>
      </c>
      <c r="B11" t="s">
        <v>104</v>
      </c>
      <c r="C11" t="s">
        <v>86</v>
      </c>
      <c r="D11" t="s">
        <v>105</v>
      </c>
      <c r="E11" t="s">
        <v>87</v>
      </c>
      <c r="F11">
        <v>1481292.9159799099</v>
      </c>
      <c r="G11">
        <v>1551592.3038916599</v>
      </c>
      <c r="H11">
        <v>1584203.47438119</v>
      </c>
      <c r="I11">
        <v>1606407.78145609</v>
      </c>
      <c r="J11">
        <v>1681333.9966728601</v>
      </c>
      <c r="K11">
        <v>1913107.6220758699</v>
      </c>
      <c r="L11">
        <v>1913653.82130066</v>
      </c>
      <c r="M11">
        <v>2047334.6704607101</v>
      </c>
      <c r="N11">
        <v>2193703.83091756</v>
      </c>
      <c r="O11">
        <v>2279469.68912479</v>
      </c>
      <c r="P11">
        <v>2260392.32430082</v>
      </c>
      <c r="Q11">
        <v>2479727.1736535202</v>
      </c>
      <c r="R11">
        <v>2483352.6482270402</v>
      </c>
      <c r="S11">
        <v>2665715.6253200602</v>
      </c>
      <c r="T11">
        <v>2687558.9836741802</v>
      </c>
      <c r="U11">
        <v>3061189.05674562</v>
      </c>
      <c r="V11">
        <v>3090070.2556628701</v>
      </c>
      <c r="W11">
        <v>3078836.0173922498</v>
      </c>
      <c r="X11">
        <v>3135263.3753028801</v>
      </c>
      <c r="Y11">
        <v>3072451.0179245202</v>
      </c>
      <c r="Z11">
        <v>3243628.16426322</v>
      </c>
      <c r="AA11">
        <v>3590377.7694582301</v>
      </c>
      <c r="AB11">
        <v>3703296.2529869801</v>
      </c>
      <c r="AC11">
        <v>4023571.9224456199</v>
      </c>
      <c r="AD11">
        <v>4035603.3275922802</v>
      </c>
      <c r="AE11">
        <v>4591255</v>
      </c>
      <c r="AF11">
        <v>4780791</v>
      </c>
    </row>
    <row r="12" spans="1:32" x14ac:dyDescent="0.3">
      <c r="A12" t="s">
        <v>34</v>
      </c>
      <c r="B12" t="s">
        <v>106</v>
      </c>
      <c r="C12" t="s">
        <v>86</v>
      </c>
      <c r="D12" t="s">
        <v>107</v>
      </c>
      <c r="E12" t="s">
        <v>87</v>
      </c>
      <c r="F12">
        <v>9768217.0317296498</v>
      </c>
      <c r="G12">
        <v>9737471.1142586693</v>
      </c>
      <c r="H12">
        <v>9524435.3518718202</v>
      </c>
      <c r="I12">
        <v>8780238.2750755809</v>
      </c>
      <c r="J12">
        <v>8201729.4134818604</v>
      </c>
      <c r="K12">
        <v>8586033.9100585096</v>
      </c>
      <c r="L12">
        <v>8044248.0593515402</v>
      </c>
      <c r="M12">
        <v>7691234.2832324598</v>
      </c>
      <c r="N12">
        <v>7978074.4750808598</v>
      </c>
      <c r="O12">
        <v>8673254.5001963191</v>
      </c>
      <c r="P12">
        <v>8674261.6387722902</v>
      </c>
      <c r="Q12">
        <v>8575977.0637486707</v>
      </c>
      <c r="R12">
        <v>9255330.1656672005</v>
      </c>
      <c r="S12">
        <v>8910069.5396573506</v>
      </c>
      <c r="T12">
        <v>6478671.49038311</v>
      </c>
      <c r="U12">
        <v>7589207.2515870798</v>
      </c>
      <c r="V12">
        <v>7834345.2403293103</v>
      </c>
      <c r="W12">
        <v>7725280.2695608297</v>
      </c>
      <c r="X12">
        <v>8094130.2448296398</v>
      </c>
      <c r="Y12">
        <v>8344595.0113679701</v>
      </c>
      <c r="Z12">
        <v>8702148.8657354992</v>
      </c>
      <c r="AA12">
        <v>8475259.8371413797</v>
      </c>
      <c r="AB12">
        <v>9235888.0432074405</v>
      </c>
      <c r="AC12">
        <v>9644377.8838652503</v>
      </c>
      <c r="AD12">
        <v>9385495.4440085106</v>
      </c>
      <c r="AE12">
        <v>9092588</v>
      </c>
      <c r="AF12">
        <v>9783285</v>
      </c>
    </row>
    <row r="13" spans="1:32" x14ac:dyDescent="0.3">
      <c r="A13" t="s">
        <v>34</v>
      </c>
      <c r="B13" t="s">
        <v>108</v>
      </c>
      <c r="C13" t="s">
        <v>86</v>
      </c>
      <c r="D13" t="s">
        <v>109</v>
      </c>
      <c r="E13" t="s">
        <v>87</v>
      </c>
      <c r="F13">
        <v>18264491.227705002</v>
      </c>
      <c r="G13">
        <v>18578064.044719301</v>
      </c>
      <c r="H13">
        <v>18991647.666101798</v>
      </c>
      <c r="I13">
        <v>17017048.445487902</v>
      </c>
      <c r="J13">
        <v>16832022.121756598</v>
      </c>
      <c r="K13">
        <v>18068102.1054415</v>
      </c>
      <c r="L13">
        <v>16933259.194882099</v>
      </c>
      <c r="M13">
        <v>15692859.8185557</v>
      </c>
      <c r="N13">
        <v>15871365.4853609</v>
      </c>
      <c r="O13">
        <v>16372480.2750958</v>
      </c>
      <c r="P13">
        <v>17629610.251265801</v>
      </c>
      <c r="Q13">
        <v>18289826.211410701</v>
      </c>
      <c r="R13">
        <v>18749963.898912199</v>
      </c>
      <c r="S13">
        <v>18370712.984822001</v>
      </c>
      <c r="T13">
        <v>14047588.073104599</v>
      </c>
      <c r="U13">
        <v>18029014.580587599</v>
      </c>
      <c r="V13">
        <v>15560889.200526999</v>
      </c>
      <c r="W13">
        <v>16778118.2148013</v>
      </c>
      <c r="X13">
        <v>17139915.743383899</v>
      </c>
      <c r="Y13">
        <v>17441307.470575102</v>
      </c>
      <c r="Z13">
        <v>17277512.691733502</v>
      </c>
      <c r="AA13">
        <v>17171417.658393301</v>
      </c>
      <c r="AB13">
        <v>17434096.682118502</v>
      </c>
      <c r="AC13">
        <v>16858283.533384498</v>
      </c>
      <c r="AD13">
        <v>16051550.616219399</v>
      </c>
      <c r="AE13">
        <v>14246950</v>
      </c>
      <c r="AF13">
        <v>15812876</v>
      </c>
    </row>
    <row r="14" spans="1:32" x14ac:dyDescent="0.3">
      <c r="A14" t="s">
        <v>34</v>
      </c>
      <c r="B14" t="s">
        <v>110</v>
      </c>
      <c r="C14" t="s">
        <v>86</v>
      </c>
      <c r="D14" t="s">
        <v>111</v>
      </c>
      <c r="E14" t="s">
        <v>87</v>
      </c>
      <c r="F14">
        <v>2272287.1804483002</v>
      </c>
      <c r="G14">
        <v>2677674.5414704401</v>
      </c>
      <c r="H14">
        <v>3054712.6606607698</v>
      </c>
      <c r="I14">
        <v>3083977.3371614702</v>
      </c>
      <c r="J14">
        <v>3334329.2648861702</v>
      </c>
      <c r="K14">
        <v>3937683.83624333</v>
      </c>
      <c r="L14">
        <v>3527853.0426771399</v>
      </c>
      <c r="M14">
        <v>3799197.9450913998</v>
      </c>
      <c r="N14">
        <v>4762200.3851088099</v>
      </c>
      <c r="O14">
        <v>5625445.9495102698</v>
      </c>
      <c r="P14">
        <v>6220852.70238024</v>
      </c>
      <c r="Q14">
        <v>7011560.0788370296</v>
      </c>
      <c r="R14">
        <v>8103521.0159055898</v>
      </c>
      <c r="S14">
        <v>8514590.4040061999</v>
      </c>
      <c r="T14">
        <v>7397876.7761637699</v>
      </c>
      <c r="U14">
        <v>9272339.5363609791</v>
      </c>
      <c r="V14">
        <v>9247790.2664380595</v>
      </c>
      <c r="W14">
        <v>8891912.7252733</v>
      </c>
      <c r="X14">
        <v>8677235.4112022296</v>
      </c>
      <c r="Y14">
        <v>9423397.54895062</v>
      </c>
      <c r="Z14">
        <v>9938027.0790953804</v>
      </c>
      <c r="AA14">
        <v>10013996.713188</v>
      </c>
      <c r="AB14">
        <v>9834218.3092472795</v>
      </c>
      <c r="AC14">
        <v>10860356.919330699</v>
      </c>
      <c r="AD14">
        <v>10401536.3847507</v>
      </c>
      <c r="AE14">
        <v>10578765</v>
      </c>
      <c r="AF14">
        <v>12221331</v>
      </c>
    </row>
    <row r="15" spans="1:32" x14ac:dyDescent="0.3">
      <c r="A15" t="s">
        <v>34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34</v>
      </c>
      <c r="B16" t="s">
        <v>114</v>
      </c>
      <c r="C16" t="s">
        <v>86</v>
      </c>
      <c r="D16" t="s">
        <v>115</v>
      </c>
      <c r="E16" t="s">
        <v>87</v>
      </c>
      <c r="F16">
        <v>4610953.4554853803</v>
      </c>
      <c r="G16">
        <v>4530158.1605004203</v>
      </c>
      <c r="H16">
        <v>4654678.6049211603</v>
      </c>
      <c r="I16">
        <v>4429733.8176751202</v>
      </c>
      <c r="J16">
        <v>4238261.3951879004</v>
      </c>
      <c r="K16">
        <v>4552273.1350891897</v>
      </c>
      <c r="L16">
        <v>4160266.49979098</v>
      </c>
      <c r="M16">
        <v>3880314.9100896399</v>
      </c>
      <c r="N16">
        <v>4244061.4234803896</v>
      </c>
      <c r="O16">
        <v>4567329.75481096</v>
      </c>
      <c r="P16">
        <v>4863791.6352359196</v>
      </c>
      <c r="Q16">
        <v>5347590.9073039796</v>
      </c>
      <c r="R16">
        <v>5712179.8182980502</v>
      </c>
      <c r="S16">
        <v>5406840.57222177</v>
      </c>
      <c r="T16">
        <v>4378373.5715883505</v>
      </c>
      <c r="U16">
        <v>5214631.0173257198</v>
      </c>
      <c r="V16">
        <v>5351619.5182964699</v>
      </c>
      <c r="W16">
        <v>5409155.8653353304</v>
      </c>
      <c r="X16">
        <v>5334941.6640677396</v>
      </c>
      <c r="Y16">
        <v>6024132.6812615702</v>
      </c>
      <c r="Z16">
        <v>5963749.0135413399</v>
      </c>
      <c r="AA16">
        <v>6035652.6906712204</v>
      </c>
      <c r="AB16">
        <v>6850464.3173457803</v>
      </c>
      <c r="AC16">
        <v>7545046.5417382</v>
      </c>
      <c r="AD16">
        <v>7391063.4378994796</v>
      </c>
      <c r="AE16">
        <v>6836641</v>
      </c>
      <c r="AF16">
        <v>7097398</v>
      </c>
    </row>
    <row r="17" spans="1:32" x14ac:dyDescent="0.3">
      <c r="A17" t="s">
        <v>34</v>
      </c>
      <c r="B17" t="s">
        <v>116</v>
      </c>
      <c r="C17" t="s">
        <v>86</v>
      </c>
      <c r="D17" t="s">
        <v>117</v>
      </c>
      <c r="E17" t="s">
        <v>87</v>
      </c>
      <c r="F17">
        <v>10682766.344296699</v>
      </c>
      <c r="G17">
        <v>11253046.2745037</v>
      </c>
      <c r="H17">
        <v>11618749.1505125</v>
      </c>
      <c r="I17">
        <v>10803696.913981801</v>
      </c>
      <c r="J17">
        <v>10379308.7374095</v>
      </c>
      <c r="K17">
        <v>11099529.2476556</v>
      </c>
      <c r="L17">
        <v>10344516.648306999</v>
      </c>
      <c r="M17">
        <v>9258904.5987399202</v>
      </c>
      <c r="N17">
        <v>10096245.3276996</v>
      </c>
      <c r="O17">
        <v>11218258.83529</v>
      </c>
      <c r="P17">
        <v>12095739.739726501</v>
      </c>
      <c r="Q17">
        <v>13163576.664167801</v>
      </c>
      <c r="R17">
        <v>14152682.578320401</v>
      </c>
      <c r="S17">
        <v>14765187.6392406</v>
      </c>
      <c r="T17">
        <v>10194104.9343361</v>
      </c>
      <c r="U17">
        <v>11968885.7171246</v>
      </c>
      <c r="V17">
        <v>13389577.9658005</v>
      </c>
      <c r="W17">
        <v>13175457.0897412</v>
      </c>
      <c r="X17">
        <v>12355421.710724801</v>
      </c>
      <c r="Y17">
        <v>12666956.7573574</v>
      </c>
      <c r="Z17">
        <v>13278853.983930901</v>
      </c>
      <c r="AA17">
        <v>12918554.6123982</v>
      </c>
      <c r="AB17">
        <v>14312550.8373041</v>
      </c>
      <c r="AC17">
        <v>15354593.557405701</v>
      </c>
      <c r="AD17">
        <v>14827150.9840858</v>
      </c>
      <c r="AE17">
        <v>13337438</v>
      </c>
      <c r="AF17">
        <v>15265647</v>
      </c>
    </row>
    <row r="18" spans="1:32" x14ac:dyDescent="0.3">
      <c r="A18" t="s">
        <v>34</v>
      </c>
      <c r="B18" t="s">
        <v>118</v>
      </c>
      <c r="C18" t="s">
        <v>86</v>
      </c>
      <c r="D18" t="s">
        <v>119</v>
      </c>
      <c r="E18" t="s">
        <v>87</v>
      </c>
      <c r="F18">
        <v>11144142.8832576</v>
      </c>
      <c r="G18">
        <v>10932195.4601421</v>
      </c>
      <c r="H18">
        <v>10576826.430751501</v>
      </c>
      <c r="I18">
        <v>10715893.4001176</v>
      </c>
      <c r="J18">
        <v>11174804.454851501</v>
      </c>
      <c r="K18">
        <v>11733818.687160401</v>
      </c>
      <c r="L18">
        <v>11763200.184144</v>
      </c>
      <c r="M18">
        <v>13064325.879718499</v>
      </c>
      <c r="N18">
        <v>12836601.3763036</v>
      </c>
      <c r="O18">
        <v>13717386.4900728</v>
      </c>
      <c r="P18">
        <v>15359056.115475999</v>
      </c>
      <c r="Q18">
        <v>15532194.704092</v>
      </c>
      <c r="R18">
        <v>16647341.2821119</v>
      </c>
      <c r="S18">
        <v>17017255.015088499</v>
      </c>
      <c r="T18">
        <v>12810121.6501272</v>
      </c>
      <c r="U18">
        <v>15712171.343805701</v>
      </c>
      <c r="V18">
        <v>14222912.118333099</v>
      </c>
      <c r="W18">
        <v>15349542.528823899</v>
      </c>
      <c r="X18">
        <v>13234636.2874655</v>
      </c>
      <c r="Y18">
        <v>13530252.356098199</v>
      </c>
      <c r="Z18">
        <v>13746241.967828</v>
      </c>
      <c r="AA18">
        <v>13695060.4578948</v>
      </c>
      <c r="AB18">
        <v>14499678.650686501</v>
      </c>
      <c r="AC18">
        <v>14774807.553816199</v>
      </c>
      <c r="AD18">
        <v>14332888.509183301</v>
      </c>
      <c r="AE18">
        <v>13086223</v>
      </c>
      <c r="AF18">
        <v>13804377</v>
      </c>
    </row>
    <row r="19" spans="1:32" x14ac:dyDescent="0.3">
      <c r="A19" t="s">
        <v>34</v>
      </c>
      <c r="B19" t="s">
        <v>120</v>
      </c>
      <c r="C19" t="s">
        <v>86</v>
      </c>
      <c r="D19" t="s">
        <v>121</v>
      </c>
      <c r="E19" t="s">
        <v>87</v>
      </c>
      <c r="F19">
        <v>1759451.1094147901</v>
      </c>
      <c r="G19">
        <v>1892157.9574219501</v>
      </c>
      <c r="H19">
        <v>2106164.4876221302</v>
      </c>
      <c r="I19">
        <v>2087943.8098786401</v>
      </c>
      <c r="J19">
        <v>2160779.1516810399</v>
      </c>
      <c r="K19">
        <v>2317571.6383573599</v>
      </c>
      <c r="L19">
        <v>2218860.8387135402</v>
      </c>
      <c r="M19">
        <v>2263131.5937953298</v>
      </c>
      <c r="N19">
        <v>2309162.8052402898</v>
      </c>
      <c r="O19">
        <v>2332407.1082979501</v>
      </c>
      <c r="P19">
        <v>2479295.8355453499</v>
      </c>
      <c r="Q19">
        <v>2407766.8744234699</v>
      </c>
      <c r="R19">
        <v>2466237.6260349401</v>
      </c>
      <c r="S19">
        <v>2414800.06149258</v>
      </c>
      <c r="T19">
        <v>1857909.77353566</v>
      </c>
      <c r="U19">
        <v>1948136.53286644</v>
      </c>
      <c r="V19">
        <v>1995347.53382356</v>
      </c>
      <c r="W19">
        <v>1980540.49158945</v>
      </c>
      <c r="X19">
        <v>2081105.05276843</v>
      </c>
      <c r="Y19">
        <v>2193970.46536496</v>
      </c>
      <c r="Z19">
        <v>2209429.8884000699</v>
      </c>
      <c r="AA19">
        <v>1989898.23015953</v>
      </c>
      <c r="AB19">
        <v>2179763.9470303101</v>
      </c>
      <c r="AC19">
        <v>2333036.12256988</v>
      </c>
      <c r="AD19">
        <v>2357557.1343707498</v>
      </c>
      <c r="AE19">
        <v>2210183</v>
      </c>
      <c r="AF19">
        <v>2652644</v>
      </c>
    </row>
    <row r="20" spans="1:32" x14ac:dyDescent="0.3">
      <c r="A20" t="s">
        <v>34</v>
      </c>
      <c r="B20" t="s">
        <v>122</v>
      </c>
      <c r="C20" t="s">
        <v>86</v>
      </c>
      <c r="D20" t="s">
        <v>123</v>
      </c>
      <c r="E20" t="s">
        <v>87</v>
      </c>
      <c r="F20">
        <v>11766305.2384107</v>
      </c>
      <c r="G20">
        <v>12850322.974884501</v>
      </c>
      <c r="H20">
        <v>13367920.746624099</v>
      </c>
      <c r="I20">
        <v>13928335.8911127</v>
      </c>
      <c r="J20">
        <v>14153226.4170174</v>
      </c>
      <c r="K20">
        <v>14563498.189877899</v>
      </c>
      <c r="L20">
        <v>14997741.363573899</v>
      </c>
      <c r="M20">
        <v>15027662.8748038</v>
      </c>
      <c r="N20">
        <v>15010531.282725999</v>
      </c>
      <c r="O20">
        <v>15591492.9224956</v>
      </c>
      <c r="P20">
        <v>17082856.006427001</v>
      </c>
      <c r="Q20">
        <v>17123830.6715496</v>
      </c>
      <c r="R20">
        <v>15645835.214345399</v>
      </c>
      <c r="S20">
        <v>17111787.770169798</v>
      </c>
      <c r="T20">
        <v>11125225.7486872</v>
      </c>
      <c r="U20">
        <v>13225345.8027885</v>
      </c>
      <c r="V20">
        <v>10421485.626550101</v>
      </c>
      <c r="W20">
        <v>7439597.0957306502</v>
      </c>
      <c r="X20">
        <v>8885908.1668381691</v>
      </c>
      <c r="Y20">
        <v>9928387.5708550494</v>
      </c>
      <c r="Z20">
        <v>9373495.4197647702</v>
      </c>
      <c r="AA20">
        <v>9278659.2528807707</v>
      </c>
      <c r="AB20">
        <v>10375768.938146301</v>
      </c>
      <c r="AC20">
        <v>10566181.3374897</v>
      </c>
      <c r="AD20">
        <v>10048023.105376501</v>
      </c>
      <c r="AE20">
        <v>9372026</v>
      </c>
      <c r="AF20">
        <v>9333451</v>
      </c>
    </row>
    <row r="21" spans="1:32" x14ac:dyDescent="0.3">
      <c r="A21" t="s">
        <v>34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34</v>
      </c>
      <c r="B22" t="s">
        <v>126</v>
      </c>
      <c r="C22" t="s">
        <v>86</v>
      </c>
      <c r="D22" t="s">
        <v>127</v>
      </c>
      <c r="E22" t="s">
        <v>87</v>
      </c>
      <c r="F22">
        <v>6180990.3349490901</v>
      </c>
      <c r="G22">
        <v>6412370.4683355903</v>
      </c>
      <c r="H22">
        <v>6488544.2796323001</v>
      </c>
      <c r="I22">
        <v>6624320.0321396198</v>
      </c>
      <c r="J22">
        <v>6854944.7306259004</v>
      </c>
      <c r="K22">
        <v>6813456.3881909996</v>
      </c>
      <c r="L22">
        <v>6891748.9086990096</v>
      </c>
      <c r="M22">
        <v>6800057.9410606697</v>
      </c>
      <c r="N22">
        <v>6774548.9147821302</v>
      </c>
      <c r="O22">
        <v>6806561.8682670696</v>
      </c>
      <c r="P22">
        <v>6874392.6681000404</v>
      </c>
      <c r="Q22">
        <v>6888019.8873946304</v>
      </c>
      <c r="R22">
        <v>6976563.6892024204</v>
      </c>
      <c r="S22">
        <v>6960267.1084501296</v>
      </c>
      <c r="T22">
        <v>6793090.9651460396</v>
      </c>
      <c r="U22">
        <v>6672400.11829112</v>
      </c>
      <c r="V22">
        <v>6793192.7090438902</v>
      </c>
      <c r="W22">
        <v>6788714.6182134002</v>
      </c>
      <c r="X22">
        <v>6854786.2364029204</v>
      </c>
      <c r="Y22">
        <v>7033859.3127699802</v>
      </c>
      <c r="Z22">
        <v>7077817.7954609999</v>
      </c>
      <c r="AA22">
        <v>7098216.1502435002</v>
      </c>
      <c r="AB22">
        <v>7466519.8091156399</v>
      </c>
      <c r="AC22">
        <v>7751710.8005133104</v>
      </c>
      <c r="AD22">
        <v>7909686.7888968997</v>
      </c>
      <c r="AE22">
        <v>7917086</v>
      </c>
      <c r="AF22">
        <v>8284252</v>
      </c>
    </row>
    <row r="23" spans="1:32" x14ac:dyDescent="0.3">
      <c r="A23" t="s">
        <v>34</v>
      </c>
      <c r="B23" t="s">
        <v>128</v>
      </c>
      <c r="C23" t="s">
        <v>86</v>
      </c>
      <c r="D23" t="s">
        <v>129</v>
      </c>
      <c r="E23" t="s">
        <v>87</v>
      </c>
      <c r="F23">
        <v>44656664.053605698</v>
      </c>
      <c r="G23">
        <v>45865099.9152731</v>
      </c>
      <c r="H23">
        <v>42735395.705893397</v>
      </c>
      <c r="I23">
        <v>41713055.3059595</v>
      </c>
      <c r="J23">
        <v>40983464.647200003</v>
      </c>
      <c r="K23">
        <v>39376283.314209901</v>
      </c>
      <c r="L23">
        <v>38057380.671714798</v>
      </c>
      <c r="M23">
        <v>36318683.993518896</v>
      </c>
      <c r="N23">
        <v>34688663.510759398</v>
      </c>
      <c r="O23">
        <v>33543089.7818643</v>
      </c>
      <c r="P23">
        <v>32432102.7646471</v>
      </c>
      <c r="Q23">
        <v>32202673.476463199</v>
      </c>
      <c r="R23">
        <v>29905634.388185602</v>
      </c>
      <c r="S23">
        <v>27767351.996110201</v>
      </c>
      <c r="T23">
        <v>27273849.615291301</v>
      </c>
      <c r="U23">
        <v>25884404.088878799</v>
      </c>
      <c r="V23">
        <v>26080543.8806643</v>
      </c>
      <c r="W23">
        <v>25939224.950147402</v>
      </c>
      <c r="X23">
        <v>27979264.2740134</v>
      </c>
      <c r="Y23">
        <v>28506446.0690111</v>
      </c>
      <c r="Z23">
        <v>29479523.102948599</v>
      </c>
      <c r="AA23">
        <v>30840779.929568999</v>
      </c>
      <c r="AB23">
        <v>31503186.612115901</v>
      </c>
      <c r="AC23">
        <v>31288863.419054002</v>
      </c>
      <c r="AD23">
        <v>31001012.109204601</v>
      </c>
      <c r="AE23">
        <v>30809216</v>
      </c>
      <c r="AF23">
        <v>29933004</v>
      </c>
    </row>
    <row r="24" spans="1:32" x14ac:dyDescent="0.3">
      <c r="A24" t="s">
        <v>34</v>
      </c>
      <c r="B24" t="s">
        <v>130</v>
      </c>
      <c r="C24" t="s">
        <v>86</v>
      </c>
      <c r="D24" t="s">
        <v>131</v>
      </c>
      <c r="E24" t="s">
        <v>87</v>
      </c>
      <c r="F24">
        <v>78226641.2035826</v>
      </c>
      <c r="G24">
        <v>80185288.569177195</v>
      </c>
      <c r="H24">
        <v>81926307.639926895</v>
      </c>
      <c r="I24">
        <v>79829101.856463701</v>
      </c>
      <c r="J24">
        <v>80091402.479524001</v>
      </c>
      <c r="K24">
        <v>78654667.608918205</v>
      </c>
      <c r="L24">
        <v>80586447.7048098</v>
      </c>
      <c r="M24">
        <v>81521976.919834495</v>
      </c>
      <c r="N24">
        <v>81817946.762047395</v>
      </c>
      <c r="O24">
        <v>85387604.626735896</v>
      </c>
      <c r="P24">
        <v>85888613.753411502</v>
      </c>
      <c r="Q24">
        <v>81720352.641072005</v>
      </c>
      <c r="R24">
        <v>78846096.675314605</v>
      </c>
      <c r="S24">
        <v>76900372.068780601</v>
      </c>
      <c r="T24">
        <v>72956226.091960996</v>
      </c>
      <c r="U24">
        <v>74740377.817857593</v>
      </c>
      <c r="V24">
        <v>75671254.358719304</v>
      </c>
      <c r="W24">
        <v>77670241.504968598</v>
      </c>
      <c r="X24">
        <v>78870597.801127806</v>
      </c>
      <c r="Y24">
        <v>75434935.232939094</v>
      </c>
      <c r="Z24">
        <v>76654088.672821298</v>
      </c>
      <c r="AA24">
        <v>76096317.100916907</v>
      </c>
      <c r="AB24">
        <v>78521841.791505501</v>
      </c>
      <c r="AC24">
        <v>76653582.464225903</v>
      </c>
      <c r="AD24">
        <v>74344114.237225205</v>
      </c>
      <c r="AE24">
        <v>71171530</v>
      </c>
      <c r="AF24">
        <v>75843574</v>
      </c>
    </row>
    <row r="25" spans="1:32" x14ac:dyDescent="0.3">
      <c r="A25" t="s">
        <v>34</v>
      </c>
      <c r="B25" t="s">
        <v>132</v>
      </c>
      <c r="C25" t="s">
        <v>86</v>
      </c>
      <c r="D25" t="s">
        <v>133</v>
      </c>
      <c r="E25" t="s">
        <v>87</v>
      </c>
      <c r="F25">
        <v>4934393.6934931399</v>
      </c>
      <c r="G25">
        <v>5506387.6168060498</v>
      </c>
      <c r="H25">
        <v>5759392.2852061596</v>
      </c>
      <c r="I25">
        <v>5719337.1650207201</v>
      </c>
      <c r="J25">
        <v>6163549.0711789597</v>
      </c>
      <c r="K25">
        <v>6599433.7305341996</v>
      </c>
      <c r="L25">
        <v>5933158.0197908003</v>
      </c>
      <c r="M25">
        <v>5731424.66432859</v>
      </c>
      <c r="N25">
        <v>5663904.2995474497</v>
      </c>
      <c r="O25">
        <v>5722495.7987354901</v>
      </c>
      <c r="P25">
        <v>4717786.08024038</v>
      </c>
      <c r="Q25">
        <v>4324040.6012546504</v>
      </c>
      <c r="R25">
        <v>3885117.6405799598</v>
      </c>
      <c r="S25">
        <v>3260264.6974708</v>
      </c>
      <c r="T25">
        <v>2485638.7234150101</v>
      </c>
      <c r="U25">
        <v>2330046.2654935601</v>
      </c>
      <c r="V25">
        <v>1785425.8328180399</v>
      </c>
      <c r="W25">
        <v>1890781.2283409201</v>
      </c>
      <c r="X25">
        <v>2046539.0243226199</v>
      </c>
      <c r="Y25">
        <v>2253720.0423507402</v>
      </c>
      <c r="Z25">
        <v>2392625.7347636502</v>
      </c>
      <c r="AA25">
        <v>2365886.4992070799</v>
      </c>
      <c r="AB25">
        <v>2521106.8749862202</v>
      </c>
      <c r="AC25">
        <v>2534158.3595116599</v>
      </c>
      <c r="AD25">
        <v>2524742.7846227302</v>
      </c>
      <c r="AE25">
        <v>2440969</v>
      </c>
      <c r="AF25">
        <v>2340816</v>
      </c>
    </row>
    <row r="26" spans="1:32" x14ac:dyDescent="0.3">
      <c r="A26" t="s">
        <v>34</v>
      </c>
      <c r="B26" t="s">
        <v>134</v>
      </c>
      <c r="C26" t="s">
        <v>86</v>
      </c>
      <c r="D26" t="s">
        <v>135</v>
      </c>
      <c r="E26" t="s">
        <v>87</v>
      </c>
      <c r="F26">
        <v>44280399.6903148</v>
      </c>
      <c r="G26">
        <v>45533135.271618403</v>
      </c>
      <c r="H26">
        <v>48057937.134996101</v>
      </c>
      <c r="I26">
        <v>47755166.955765203</v>
      </c>
      <c r="J26">
        <v>47876727.651964299</v>
      </c>
      <c r="K26">
        <v>46177164.297209702</v>
      </c>
      <c r="L26">
        <v>47018412.230510198</v>
      </c>
      <c r="M26">
        <v>47020247.281551398</v>
      </c>
      <c r="N26">
        <v>46822450.663036399</v>
      </c>
      <c r="O26">
        <v>50597520.9351964</v>
      </c>
      <c r="P26">
        <v>53878933.014649503</v>
      </c>
      <c r="Q26">
        <v>51341445.470792703</v>
      </c>
      <c r="R26">
        <v>48405020.583235301</v>
      </c>
      <c r="S26">
        <v>47186956.645059198</v>
      </c>
      <c r="T26">
        <v>42600352.098792396</v>
      </c>
      <c r="U26">
        <v>43824924.160434</v>
      </c>
      <c r="V26">
        <v>45272073.623872504</v>
      </c>
      <c r="W26">
        <v>44708246.293224201</v>
      </c>
      <c r="X26">
        <v>43736069.093277097</v>
      </c>
      <c r="Y26">
        <v>39567789.865811899</v>
      </c>
      <c r="Z26">
        <v>39278353.315165803</v>
      </c>
      <c r="AA26">
        <v>39224181.405777097</v>
      </c>
      <c r="AB26">
        <v>41509161.309350997</v>
      </c>
      <c r="AC26">
        <v>41019279.345366597</v>
      </c>
      <c r="AD26">
        <v>38360100.570062503</v>
      </c>
      <c r="AE26">
        <v>36389644</v>
      </c>
      <c r="AF26">
        <v>39965282</v>
      </c>
    </row>
    <row r="27" spans="1:32" x14ac:dyDescent="0.3">
      <c r="A27" t="s">
        <v>34</v>
      </c>
      <c r="B27" t="s">
        <v>136</v>
      </c>
      <c r="C27" t="s">
        <v>86</v>
      </c>
      <c r="D27" t="s">
        <v>137</v>
      </c>
      <c r="E27" t="s">
        <v>87</v>
      </c>
      <c r="F27">
        <v>28941423.4764359</v>
      </c>
      <c r="G27">
        <v>29173911.899886101</v>
      </c>
      <c r="H27">
        <v>28208939.883994199</v>
      </c>
      <c r="I27">
        <v>26501654.3960407</v>
      </c>
      <c r="J27">
        <v>26296096.6777968</v>
      </c>
      <c r="K27">
        <v>26207421.065582</v>
      </c>
      <c r="L27">
        <v>27759379.404583</v>
      </c>
      <c r="M27">
        <v>28810849.248266201</v>
      </c>
      <c r="N27">
        <v>29338772.475830201</v>
      </c>
      <c r="O27">
        <v>29094025.5920275</v>
      </c>
      <c r="P27">
        <v>27155304.7381857</v>
      </c>
      <c r="Q27">
        <v>25897460.446390402</v>
      </c>
      <c r="R27">
        <v>26383242.2976017</v>
      </c>
      <c r="S27">
        <v>26204079.542268202</v>
      </c>
      <c r="T27">
        <v>27672141.999243502</v>
      </c>
      <c r="U27">
        <v>28349841.5650489</v>
      </c>
      <c r="V27">
        <v>28297995.192030299</v>
      </c>
      <c r="W27">
        <v>30838003.138245299</v>
      </c>
      <c r="X27">
        <v>32922400.2025791</v>
      </c>
      <c r="Y27">
        <v>33594947.391067997</v>
      </c>
      <c r="Z27">
        <v>35013988.422751099</v>
      </c>
      <c r="AA27">
        <v>34532805.965655804</v>
      </c>
      <c r="AB27">
        <v>34528832.860715799</v>
      </c>
      <c r="AC27">
        <v>33151651.5168445</v>
      </c>
      <c r="AD27">
        <v>33467104.547786701</v>
      </c>
      <c r="AE27">
        <v>32340917</v>
      </c>
      <c r="AF27">
        <v>33537476</v>
      </c>
    </row>
    <row r="28" spans="1:32" x14ac:dyDescent="0.3">
      <c r="A28" t="s">
        <v>34</v>
      </c>
      <c r="B28" t="s">
        <v>138</v>
      </c>
      <c r="C28" t="s">
        <v>86</v>
      </c>
      <c r="D28" t="s">
        <v>139</v>
      </c>
      <c r="E28" t="s">
        <v>87</v>
      </c>
      <c r="F28">
        <v>31809265.416232701</v>
      </c>
      <c r="G28">
        <v>30286959.299813401</v>
      </c>
      <c r="H28">
        <v>30305796.372222502</v>
      </c>
      <c r="I28">
        <v>28958174.6937734</v>
      </c>
      <c r="J28">
        <v>28483882.8612906</v>
      </c>
      <c r="K28">
        <v>28922883.034177698</v>
      </c>
      <c r="L28">
        <v>29100572.954047602</v>
      </c>
      <c r="M28">
        <v>29458538.1018169</v>
      </c>
      <c r="N28">
        <v>30106893.878794499</v>
      </c>
      <c r="O28">
        <v>31244602.776983902</v>
      </c>
      <c r="P28">
        <v>31261750.6725333</v>
      </c>
      <c r="Q28">
        <v>33014147.9840484</v>
      </c>
      <c r="R28">
        <v>34253109.575565003</v>
      </c>
      <c r="S28">
        <v>33360032.641922001</v>
      </c>
      <c r="T28">
        <v>29092624.6193587</v>
      </c>
      <c r="U28">
        <v>30030954.2108256</v>
      </c>
      <c r="V28">
        <v>29671469.124864101</v>
      </c>
      <c r="W28">
        <v>30781761.8547711</v>
      </c>
      <c r="X28">
        <v>31058037.388630401</v>
      </c>
      <c r="Y28">
        <v>31801234.187348701</v>
      </c>
      <c r="Z28">
        <v>31194034.5405862</v>
      </c>
      <c r="AA28">
        <v>31063369.799397599</v>
      </c>
      <c r="AB28">
        <v>32068182.6943295</v>
      </c>
      <c r="AC28">
        <v>31600941.340587199</v>
      </c>
      <c r="AD28">
        <v>31378193.748568799</v>
      </c>
      <c r="AE28">
        <v>22754632</v>
      </c>
      <c r="AF28">
        <v>23234957</v>
      </c>
    </row>
    <row r="29" spans="1:32" x14ac:dyDescent="0.3">
      <c r="A29" t="s">
        <v>34</v>
      </c>
      <c r="B29" t="s">
        <v>140</v>
      </c>
      <c r="C29" t="s">
        <v>86</v>
      </c>
      <c r="D29" t="s">
        <v>141</v>
      </c>
      <c r="E29" t="s">
        <v>87</v>
      </c>
      <c r="F29">
        <v>22360874.1551545</v>
      </c>
      <c r="G29">
        <v>21003585.405521002</v>
      </c>
      <c r="H29">
        <v>21047520.282303501</v>
      </c>
      <c r="I29">
        <v>20146061.345812999</v>
      </c>
      <c r="J29">
        <v>20163324.2261963</v>
      </c>
      <c r="K29">
        <v>20787057.213604301</v>
      </c>
      <c r="L29">
        <v>21246177.229663499</v>
      </c>
      <c r="M29">
        <v>21628243.197509401</v>
      </c>
      <c r="N29">
        <v>22247039.846593998</v>
      </c>
      <c r="O29">
        <v>22757076.6615831</v>
      </c>
      <c r="P29">
        <v>22870813.840864599</v>
      </c>
      <c r="Q29">
        <v>24139766.629695799</v>
      </c>
      <c r="R29">
        <v>25056971.803458299</v>
      </c>
      <c r="S29">
        <v>24507776.789117102</v>
      </c>
      <c r="T29">
        <v>21716536.506791599</v>
      </c>
      <c r="U29">
        <v>22111561.0765053</v>
      </c>
      <c r="V29">
        <v>21805471.528126098</v>
      </c>
      <c r="W29">
        <v>22756197.582057599</v>
      </c>
      <c r="X29">
        <v>22929232.582718</v>
      </c>
      <c r="Y29">
        <v>23663791.938404702</v>
      </c>
      <c r="Z29">
        <v>23075744.627720401</v>
      </c>
      <c r="AA29">
        <v>22761393.149354398</v>
      </c>
      <c r="AB29">
        <v>23594351.811829198</v>
      </c>
      <c r="AC29">
        <v>23771080.657636601</v>
      </c>
      <c r="AD29">
        <v>23805435.836269598</v>
      </c>
      <c r="AE29">
        <v>17586889</v>
      </c>
      <c r="AF29">
        <v>18896730</v>
      </c>
    </row>
    <row r="30" spans="1:32" x14ac:dyDescent="0.3">
      <c r="A30" t="s">
        <v>34</v>
      </c>
      <c r="B30" t="s">
        <v>142</v>
      </c>
      <c r="C30" t="s">
        <v>86</v>
      </c>
      <c r="D30" t="s">
        <v>143</v>
      </c>
      <c r="E30" t="s">
        <v>87</v>
      </c>
      <c r="F30">
        <v>3603077.0070879199</v>
      </c>
      <c r="G30">
        <v>2853945.53016466</v>
      </c>
      <c r="H30">
        <v>3115687.6860113898</v>
      </c>
      <c r="I30">
        <v>3290316.0587784899</v>
      </c>
      <c r="J30">
        <v>3050403.3996764598</v>
      </c>
      <c r="K30">
        <v>2818635.3729468202</v>
      </c>
      <c r="L30">
        <v>2671903.9183714199</v>
      </c>
      <c r="M30">
        <v>2672407.0935011902</v>
      </c>
      <c r="N30">
        <v>2913877.83981892</v>
      </c>
      <c r="O30">
        <v>3155818.0194695098</v>
      </c>
      <c r="P30">
        <v>2906078.4212305499</v>
      </c>
      <c r="Q30">
        <v>3061774.9032884799</v>
      </c>
      <c r="R30">
        <v>3370013.4731204198</v>
      </c>
      <c r="S30">
        <v>3371594.8007757901</v>
      </c>
      <c r="T30">
        <v>2846913.84681002</v>
      </c>
      <c r="U30">
        <v>3060390.4774581599</v>
      </c>
      <c r="V30">
        <v>2950713.4358979799</v>
      </c>
      <c r="W30">
        <v>2607101.6411294099</v>
      </c>
      <c r="X30">
        <v>2084140.86995861</v>
      </c>
      <c r="Y30">
        <v>2024206.6211278399</v>
      </c>
      <c r="Z30">
        <v>1978593.2421722501</v>
      </c>
      <c r="AA30">
        <v>2338108.46543174</v>
      </c>
      <c r="AB30">
        <v>2300063.9302955801</v>
      </c>
      <c r="AC30">
        <v>1750064.0929821299</v>
      </c>
      <c r="AD30">
        <v>1605109.71123791</v>
      </c>
      <c r="AE30">
        <v>1486993</v>
      </c>
      <c r="AF30">
        <v>1480155</v>
      </c>
    </row>
    <row r="31" spans="1:32" x14ac:dyDescent="0.3">
      <c r="A31" t="s">
        <v>34</v>
      </c>
      <c r="B31" t="s">
        <v>144</v>
      </c>
      <c r="C31" t="s">
        <v>86</v>
      </c>
      <c r="D31" t="s">
        <v>145</v>
      </c>
      <c r="E31" t="s">
        <v>87</v>
      </c>
      <c r="F31">
        <v>6841560.3893708102</v>
      </c>
      <c r="G31">
        <v>7432978.3737180997</v>
      </c>
      <c r="H31">
        <v>7671500.1751933498</v>
      </c>
      <c r="I31">
        <v>7159924.3369610999</v>
      </c>
      <c r="J31">
        <v>7131029.1543191904</v>
      </c>
      <c r="K31">
        <v>7696431.1130009303</v>
      </c>
      <c r="L31">
        <v>6780576.7849182598</v>
      </c>
      <c r="M31">
        <v>6465309.7577022603</v>
      </c>
      <c r="N31">
        <v>5722265.8029572899</v>
      </c>
      <c r="O31">
        <v>5888004.1424968103</v>
      </c>
      <c r="P31">
        <v>5622452.6487837899</v>
      </c>
      <c r="Q31">
        <v>6155312.3712485302</v>
      </c>
      <c r="R31">
        <v>6207372.2344052801</v>
      </c>
      <c r="S31">
        <v>5188659.3419864401</v>
      </c>
      <c r="T31">
        <v>3368463.4131500502</v>
      </c>
      <c r="U31">
        <v>3879508.78359106</v>
      </c>
      <c r="V31">
        <v>3912225.9946715799</v>
      </c>
      <c r="W31">
        <v>3894636.5413759798</v>
      </c>
      <c r="X31">
        <v>4665521.6894609602</v>
      </c>
      <c r="Y31">
        <v>4445339.2668824196</v>
      </c>
      <c r="Z31">
        <v>4082408.9077529698</v>
      </c>
      <c r="AA31">
        <v>3854040.43722936</v>
      </c>
      <c r="AB31">
        <v>3872031.78268264</v>
      </c>
      <c r="AC31">
        <v>3576171.08751202</v>
      </c>
      <c r="AD31">
        <v>3356623.4016075199</v>
      </c>
      <c r="AE31">
        <v>727900</v>
      </c>
      <c r="AF31">
        <v>97062.000000000102</v>
      </c>
    </row>
    <row r="32" spans="1:32" x14ac:dyDescent="0.3">
      <c r="A32" t="s">
        <v>34</v>
      </c>
      <c r="B32" t="s">
        <v>146</v>
      </c>
      <c r="C32" t="s">
        <v>86</v>
      </c>
      <c r="D32" t="s">
        <v>147</v>
      </c>
      <c r="E32" t="s">
        <v>87</v>
      </c>
      <c r="F32">
        <v>1305406.5410604901</v>
      </c>
      <c r="G32">
        <v>1510033.3996397599</v>
      </c>
      <c r="H32">
        <v>1303192.0510281201</v>
      </c>
      <c r="I32">
        <v>1024552.4272366801</v>
      </c>
      <c r="J32">
        <v>835777.37759052997</v>
      </c>
      <c r="K32">
        <v>695178.87842347205</v>
      </c>
      <c r="L32">
        <v>732949.37535006902</v>
      </c>
      <c r="M32">
        <v>796264.006494442</v>
      </c>
      <c r="N32">
        <v>836940.58104956697</v>
      </c>
      <c r="O32">
        <v>1096435.9134955099</v>
      </c>
      <c r="P32">
        <v>1258007.1637315999</v>
      </c>
      <c r="Q32">
        <v>1330574.1235446699</v>
      </c>
      <c r="R32">
        <v>1351681.3178789001</v>
      </c>
      <c r="S32">
        <v>1486062.1524777401</v>
      </c>
      <c r="T32">
        <v>1255387.48740517</v>
      </c>
      <c r="U32">
        <v>1453768.02741569</v>
      </c>
      <c r="V32">
        <v>1442276.48687005</v>
      </c>
      <c r="W32">
        <v>1870247.09619482</v>
      </c>
      <c r="X32">
        <v>2070496.1133149101</v>
      </c>
      <c r="Y32">
        <v>2257686.7871560701</v>
      </c>
      <c r="Z32">
        <v>2463141.96181555</v>
      </c>
      <c r="AA32">
        <v>2308741.7741527399</v>
      </c>
      <c r="AB32">
        <v>2476453.1959821</v>
      </c>
      <c r="AC32">
        <v>2441365.9479344999</v>
      </c>
      <c r="AD32">
        <v>2408333.1605935101</v>
      </c>
      <c r="AE32">
        <v>1422279</v>
      </c>
      <c r="AF32">
        <v>1255796</v>
      </c>
    </row>
    <row r="33" spans="1:32" x14ac:dyDescent="0.3">
      <c r="A33" t="s">
        <v>34</v>
      </c>
      <c r="B33" t="s">
        <v>148</v>
      </c>
      <c r="C33" t="s">
        <v>86</v>
      </c>
      <c r="D33" t="s">
        <v>149</v>
      </c>
      <c r="E33" t="s">
        <v>87</v>
      </c>
      <c r="F33">
        <v>1869529.68411813</v>
      </c>
      <c r="G33">
        <v>1892681.5641308101</v>
      </c>
      <c r="H33">
        <v>1888191.0847078201</v>
      </c>
      <c r="I33">
        <v>1864741.14345029</v>
      </c>
      <c r="J33">
        <v>1844314.5182297199</v>
      </c>
      <c r="K33">
        <v>1861250.9373244001</v>
      </c>
      <c r="L33">
        <v>1866973.14401143</v>
      </c>
      <c r="M33">
        <v>1828276.7252021099</v>
      </c>
      <c r="N33">
        <v>1783638.08323043</v>
      </c>
      <c r="O33">
        <v>1803241.83145327</v>
      </c>
      <c r="P33">
        <v>1785868.2890451499</v>
      </c>
      <c r="Q33">
        <v>1831355.56526611</v>
      </c>
      <c r="R33">
        <v>1800345.06377226</v>
      </c>
      <c r="S33">
        <v>1657406.6934794399</v>
      </c>
      <c r="T33">
        <v>1628183.88245864</v>
      </c>
      <c r="U33">
        <v>1553282.3559151599</v>
      </c>
      <c r="V33">
        <v>1594403.9034544299</v>
      </c>
      <c r="W33">
        <v>1545685.90738957</v>
      </c>
      <c r="X33">
        <v>1548553.7379097301</v>
      </c>
      <c r="Y33">
        <v>1521120.4735651501</v>
      </c>
      <c r="Z33">
        <v>1511490.2253409</v>
      </c>
      <c r="AA33">
        <v>1506819.2463917499</v>
      </c>
      <c r="AB33">
        <v>1512041.53122994</v>
      </c>
      <c r="AC33">
        <v>1540589.7684043699</v>
      </c>
      <c r="AD33">
        <v>1550736.7350159299</v>
      </c>
      <c r="AE33">
        <v>1530571</v>
      </c>
      <c r="AF33">
        <v>1505214</v>
      </c>
    </row>
    <row r="34" spans="1:32" x14ac:dyDescent="0.3">
      <c r="A34" t="s">
        <v>34</v>
      </c>
      <c r="B34" t="s">
        <v>150</v>
      </c>
      <c r="C34" t="s">
        <v>86</v>
      </c>
      <c r="D34" t="s">
        <v>151</v>
      </c>
      <c r="E34" t="s">
        <v>87</v>
      </c>
      <c r="F34">
        <v>19760730.476795301</v>
      </c>
      <c r="G34">
        <v>20352970.996289</v>
      </c>
      <c r="H34">
        <v>20527818.603900801</v>
      </c>
      <c r="I34">
        <v>20406532.791256599</v>
      </c>
      <c r="J34">
        <v>19940247.845959201</v>
      </c>
      <c r="K34">
        <v>19151018.171064701</v>
      </c>
      <c r="L34">
        <v>19048731.540852301</v>
      </c>
      <c r="M34">
        <v>18722538.241767298</v>
      </c>
      <c r="N34">
        <v>18025774.3654796</v>
      </c>
      <c r="O34">
        <v>17362585.953540199</v>
      </c>
      <c r="P34">
        <v>16602263.819080399</v>
      </c>
      <c r="Q34">
        <v>16592947.7443847</v>
      </c>
      <c r="R34">
        <v>16777277.499813799</v>
      </c>
      <c r="S34">
        <v>15834620.640896199</v>
      </c>
      <c r="T34">
        <v>14534099.4791929</v>
      </c>
      <c r="U34">
        <v>14254416.755833801</v>
      </c>
      <c r="V34">
        <v>14062882.9478155</v>
      </c>
      <c r="W34">
        <v>13505147.729584901</v>
      </c>
      <c r="X34">
        <v>14525838.2937044</v>
      </c>
      <c r="Y34">
        <v>14713499.2641587</v>
      </c>
      <c r="Z34">
        <v>13865872.9730459</v>
      </c>
      <c r="AA34">
        <v>14420206.439571099</v>
      </c>
      <c r="AB34">
        <v>14848628.218535701</v>
      </c>
      <c r="AC34">
        <v>14845146.862366101</v>
      </c>
      <c r="AD34">
        <v>13919257.4368982</v>
      </c>
      <c r="AE34">
        <v>8949706</v>
      </c>
      <c r="AF34">
        <v>7956002</v>
      </c>
    </row>
    <row r="35" spans="1:32" x14ac:dyDescent="0.3">
      <c r="A35" t="s">
        <v>34</v>
      </c>
      <c r="B35" t="s">
        <v>152</v>
      </c>
      <c r="C35" t="s">
        <v>86</v>
      </c>
      <c r="D35" t="s">
        <v>153</v>
      </c>
      <c r="E35" t="s">
        <v>87</v>
      </c>
      <c r="F35">
        <v>11524367.6261045</v>
      </c>
      <c r="G35">
        <v>13675618.5614854</v>
      </c>
      <c r="H35">
        <v>15569451.517399799</v>
      </c>
      <c r="I35">
        <v>17539628.366097402</v>
      </c>
      <c r="J35">
        <v>18404723.191739202</v>
      </c>
      <c r="K35">
        <v>19924873.429204199</v>
      </c>
      <c r="L35">
        <v>21574246.123452701</v>
      </c>
      <c r="M35">
        <v>22514154.003966101</v>
      </c>
      <c r="N35">
        <v>23203463.575731799</v>
      </c>
      <c r="O35">
        <v>23013915.645491298</v>
      </c>
      <c r="P35">
        <v>23676656.236520302</v>
      </c>
      <c r="Q35">
        <v>24215889.375486702</v>
      </c>
      <c r="R35">
        <v>24633260.623615</v>
      </c>
      <c r="S35">
        <v>24939229.297230098</v>
      </c>
      <c r="T35">
        <v>24312843.5029536</v>
      </c>
      <c r="U35">
        <v>24205838.917555898</v>
      </c>
      <c r="V35">
        <v>23995386.3983832</v>
      </c>
      <c r="W35">
        <v>24100393.354379799</v>
      </c>
      <c r="X35">
        <v>24915497.3525309</v>
      </c>
      <c r="Y35">
        <v>25024938.642558899</v>
      </c>
      <c r="Z35">
        <v>25991169.728890002</v>
      </c>
      <c r="AA35">
        <v>26224375.852499299</v>
      </c>
      <c r="AB35">
        <v>26378434.485067401</v>
      </c>
      <c r="AC35">
        <v>26962368.3086452</v>
      </c>
      <c r="AD35">
        <v>27235291.882606398</v>
      </c>
      <c r="AE35">
        <v>27412976</v>
      </c>
      <c r="AF35">
        <v>28248402</v>
      </c>
    </row>
    <row r="36" spans="1:32" x14ac:dyDescent="0.3">
      <c r="A36" t="s">
        <v>34</v>
      </c>
      <c r="B36" t="s">
        <v>154</v>
      </c>
      <c r="C36" t="s">
        <v>86</v>
      </c>
      <c r="D36" t="s">
        <v>155</v>
      </c>
      <c r="E36" t="s">
        <v>87</v>
      </c>
      <c r="F36">
        <v>5179689.6144476803</v>
      </c>
      <c r="G36">
        <v>5560955.9453907702</v>
      </c>
      <c r="H36">
        <v>5522826.71602658</v>
      </c>
      <c r="I36">
        <v>5533078.5676019499</v>
      </c>
      <c r="J36">
        <v>5363619.0262014996</v>
      </c>
      <c r="K36">
        <v>5470055.6433475902</v>
      </c>
      <c r="L36">
        <v>5400018.0698811002</v>
      </c>
      <c r="M36">
        <v>5415256.1732001398</v>
      </c>
      <c r="N36">
        <v>5475059.7196369702</v>
      </c>
      <c r="O36">
        <v>5388637.5300390897</v>
      </c>
      <c r="P36">
        <v>5638240.0589132197</v>
      </c>
      <c r="Q36">
        <v>5465790.9497678597</v>
      </c>
      <c r="R36">
        <v>5341486.0345680304</v>
      </c>
      <c r="S36">
        <v>5022394.4764201501</v>
      </c>
      <c r="T36">
        <v>4834864.6864435198</v>
      </c>
      <c r="U36">
        <v>4799979.0434003202</v>
      </c>
      <c r="V36">
        <v>4457081.5556608904</v>
      </c>
      <c r="W36">
        <v>4287751.4900040198</v>
      </c>
      <c r="X36">
        <v>4480417.0705170603</v>
      </c>
      <c r="Y36">
        <v>4632117.91660487</v>
      </c>
      <c r="Z36">
        <v>5004728.5172163704</v>
      </c>
      <c r="AA36">
        <v>4827545.3484753603</v>
      </c>
      <c r="AB36">
        <v>4663841.2278273096</v>
      </c>
      <c r="AC36">
        <v>4713870.7633542297</v>
      </c>
      <c r="AD36">
        <v>4690054.1089561302</v>
      </c>
      <c r="AE36">
        <v>4576623</v>
      </c>
      <c r="AF36">
        <v>4528212</v>
      </c>
    </row>
    <row r="37" spans="1:32" x14ac:dyDescent="0.3">
      <c r="A37" t="s">
        <v>34</v>
      </c>
      <c r="B37" t="s">
        <v>156</v>
      </c>
      <c r="C37" t="s">
        <v>86</v>
      </c>
      <c r="D37" t="s">
        <v>157</v>
      </c>
      <c r="E37" t="s">
        <v>87</v>
      </c>
      <c r="F37">
        <v>2740432.6714520198</v>
      </c>
      <c r="G37">
        <v>3444703.13314733</v>
      </c>
      <c r="H37">
        <v>4298457.3075099699</v>
      </c>
      <c r="I37">
        <v>4850898.6821507998</v>
      </c>
      <c r="J37">
        <v>5166103.4285695404</v>
      </c>
      <c r="K37">
        <v>5690000.7111875601</v>
      </c>
      <c r="L37">
        <v>6255169.28182826</v>
      </c>
      <c r="M37">
        <v>6470035.00197729</v>
      </c>
      <c r="N37">
        <v>6588678.72484311</v>
      </c>
      <c r="O37">
        <v>6332450.6031921096</v>
      </c>
      <c r="P37">
        <v>6280320.5409422303</v>
      </c>
      <c r="Q37">
        <v>6544842.2525773803</v>
      </c>
      <c r="R37">
        <v>6836137.6450781198</v>
      </c>
      <c r="S37">
        <v>7293199.6612918004</v>
      </c>
      <c r="T37">
        <v>7355028.93043843</v>
      </c>
      <c r="U37">
        <v>7714115.3342225598</v>
      </c>
      <c r="V37">
        <v>7891369.94914963</v>
      </c>
      <c r="W37">
        <v>7970873.4315544004</v>
      </c>
      <c r="X37">
        <v>8301496.7983908001</v>
      </c>
      <c r="Y37">
        <v>8370290.1392706502</v>
      </c>
      <c r="Z37">
        <v>8711706.4759162907</v>
      </c>
      <c r="AA37">
        <v>9134107.0656852201</v>
      </c>
      <c r="AB37">
        <v>9203951.7188326493</v>
      </c>
      <c r="AC37">
        <v>9513294.1882454995</v>
      </c>
      <c r="AD37">
        <v>9453415.3345038593</v>
      </c>
      <c r="AE37">
        <v>10300898</v>
      </c>
      <c r="AF37">
        <v>10390582</v>
      </c>
    </row>
    <row r="38" spans="1:32" x14ac:dyDescent="0.3">
      <c r="A38" t="s">
        <v>34</v>
      </c>
      <c r="B38" t="s">
        <v>158</v>
      </c>
      <c r="C38" t="s">
        <v>86</v>
      </c>
      <c r="D38" t="s">
        <v>159</v>
      </c>
      <c r="E38" t="s">
        <v>87</v>
      </c>
      <c r="F38">
        <v>4736229.6288002403</v>
      </c>
      <c r="G38">
        <v>5632227.8202497503</v>
      </c>
      <c r="H38">
        <v>6206991.0090263998</v>
      </c>
      <c r="I38">
        <v>7598852.2743144799</v>
      </c>
      <c r="J38">
        <v>8232307.5692266496</v>
      </c>
      <c r="K38">
        <v>9051038.0017353501</v>
      </c>
      <c r="L38">
        <v>10132045.4755613</v>
      </c>
      <c r="M38">
        <v>10871622.408935299</v>
      </c>
      <c r="N38">
        <v>11424361.0136161</v>
      </c>
      <c r="O38">
        <v>11682738.7069842</v>
      </c>
      <c r="P38">
        <v>12278034.419184299</v>
      </c>
      <c r="Q38">
        <v>12691967.551946901</v>
      </c>
      <c r="R38">
        <v>12893719.516404601</v>
      </c>
      <c r="S38">
        <v>12965365.1878295</v>
      </c>
      <c r="T38">
        <v>12388337.0584879</v>
      </c>
      <c r="U38">
        <v>11839203.0710767</v>
      </c>
      <c r="V38">
        <v>11736830.404853599</v>
      </c>
      <c r="W38">
        <v>11930574.625600999</v>
      </c>
      <c r="X38">
        <v>12206310.716229299</v>
      </c>
      <c r="Y38">
        <v>12077239.5230023</v>
      </c>
      <c r="Z38">
        <v>12310060.8993029</v>
      </c>
      <c r="AA38">
        <v>12249907.5582339</v>
      </c>
      <c r="AB38">
        <v>12515404.6014437</v>
      </c>
      <c r="AC38">
        <v>12731756.2520879</v>
      </c>
      <c r="AD38">
        <v>13106961.3465413</v>
      </c>
      <c r="AE38">
        <v>12535455</v>
      </c>
      <c r="AF38">
        <v>13329608</v>
      </c>
    </row>
    <row r="39" spans="1:32" x14ac:dyDescent="0.3">
      <c r="A39" t="s">
        <v>34</v>
      </c>
      <c r="B39" t="s">
        <v>160</v>
      </c>
      <c r="C39" t="s">
        <v>86</v>
      </c>
      <c r="D39" t="s">
        <v>161</v>
      </c>
      <c r="E39" t="s">
        <v>87</v>
      </c>
      <c r="F39">
        <v>22337305.220246799</v>
      </c>
      <c r="G39">
        <v>22759087.893675499</v>
      </c>
      <c r="H39">
        <v>23161233.625317398</v>
      </c>
      <c r="I39">
        <v>22110307.4579092</v>
      </c>
      <c r="J39">
        <v>21671353.2711787</v>
      </c>
      <c r="K39">
        <v>21687834.332377199</v>
      </c>
      <c r="L39">
        <v>21178097.860785998</v>
      </c>
      <c r="M39">
        <v>21081877.961665299</v>
      </c>
      <c r="N39">
        <v>21328161.428701099</v>
      </c>
      <c r="O39">
        <v>21260430.373706501</v>
      </c>
      <c r="P39">
        <v>21789089.491858099</v>
      </c>
      <c r="Q39">
        <v>21746395.612213399</v>
      </c>
      <c r="R39">
        <v>22589519.707009699</v>
      </c>
      <c r="S39">
        <v>19345288.6753336</v>
      </c>
      <c r="T39">
        <v>19395677.205556698</v>
      </c>
      <c r="U39">
        <v>19424287.402507201</v>
      </c>
      <c r="V39">
        <v>19119351.8117011</v>
      </c>
      <c r="W39">
        <v>19513483.742233101</v>
      </c>
      <c r="X39">
        <v>21183737.1707839</v>
      </c>
      <c r="Y39">
        <v>21115777.504902899</v>
      </c>
      <c r="Z39">
        <v>21812171.538462698</v>
      </c>
      <c r="AA39">
        <v>21422192.7305375</v>
      </c>
      <c r="AB39">
        <v>21849531.8952065</v>
      </c>
      <c r="AC39">
        <v>21927786.780709401</v>
      </c>
      <c r="AD39">
        <v>21617502.308011599</v>
      </c>
      <c r="AE39">
        <v>22661723</v>
      </c>
      <c r="AF39">
        <v>24488126</v>
      </c>
    </row>
    <row r="40" spans="1:32" x14ac:dyDescent="0.3">
      <c r="A40" t="s">
        <v>34</v>
      </c>
      <c r="B40" t="s">
        <v>162</v>
      </c>
      <c r="C40" t="s">
        <v>86</v>
      </c>
      <c r="D40" t="s">
        <v>163</v>
      </c>
      <c r="E40" t="s">
        <v>87</v>
      </c>
      <c r="F40">
        <v>51862563.605162397</v>
      </c>
      <c r="G40">
        <v>52577037.980315797</v>
      </c>
      <c r="H40">
        <v>52788247.538543999</v>
      </c>
      <c r="I40">
        <v>52222371.900899</v>
      </c>
      <c r="J40">
        <v>52680937.535274297</v>
      </c>
      <c r="K40">
        <v>54128813.397070803</v>
      </c>
      <c r="L40">
        <v>54815020.989071898</v>
      </c>
      <c r="M40">
        <v>55488149.952967003</v>
      </c>
      <c r="N40">
        <v>56316931.404982403</v>
      </c>
      <c r="O40">
        <v>57213185.214852102</v>
      </c>
      <c r="P40">
        <v>58335064.448140197</v>
      </c>
      <c r="Q40">
        <v>59570652.742034703</v>
      </c>
      <c r="R40">
        <v>59598455.5917603</v>
      </c>
      <c r="S40">
        <v>59932405.570594802</v>
      </c>
      <c r="T40">
        <v>59953053.7640258</v>
      </c>
      <c r="U40">
        <v>60816117.492227599</v>
      </c>
      <c r="V40">
        <v>61488158.423938602</v>
      </c>
      <c r="W40">
        <v>61934619.979470097</v>
      </c>
      <c r="X40">
        <v>63085869.910970002</v>
      </c>
      <c r="Y40">
        <v>64062330.581678197</v>
      </c>
      <c r="Z40">
        <v>64689429.745504797</v>
      </c>
      <c r="AA40">
        <v>64915045.607099101</v>
      </c>
      <c r="AB40">
        <v>65359644.711511903</v>
      </c>
      <c r="AC40">
        <v>65517579.932889298</v>
      </c>
      <c r="AD40">
        <v>66181708.458028801</v>
      </c>
      <c r="AE40">
        <v>65782379</v>
      </c>
      <c r="AF40">
        <v>65202372</v>
      </c>
    </row>
    <row r="41" spans="1:32" x14ac:dyDescent="0.3">
      <c r="A41" t="s">
        <v>34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34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34</v>
      </c>
      <c r="B43" t="s">
        <v>168</v>
      </c>
      <c r="C43" t="s">
        <v>86</v>
      </c>
      <c r="D43" t="s">
        <v>169</v>
      </c>
      <c r="E43" t="s">
        <v>87</v>
      </c>
      <c r="F43">
        <v>21709817.2758247</v>
      </c>
      <c r="G43">
        <v>23224168.633173998</v>
      </c>
      <c r="H43">
        <v>23872988.729837999</v>
      </c>
      <c r="I43">
        <v>24490714.081832699</v>
      </c>
      <c r="J43">
        <v>24428784.526976202</v>
      </c>
      <c r="K43">
        <v>27207645.269174099</v>
      </c>
      <c r="L43">
        <v>28469412.624836899</v>
      </c>
      <c r="M43">
        <v>29444351.8418919</v>
      </c>
      <c r="N43">
        <v>31036274.1017977</v>
      </c>
      <c r="O43">
        <v>32742520.1053905</v>
      </c>
      <c r="P43">
        <v>35406744.536955297</v>
      </c>
      <c r="Q43">
        <v>37844775.9754778</v>
      </c>
      <c r="R43">
        <v>40624606.974733002</v>
      </c>
      <c r="S43">
        <v>42826354.445552602</v>
      </c>
      <c r="T43">
        <v>40621609.757085197</v>
      </c>
      <c r="U43">
        <v>40526440.379021198</v>
      </c>
      <c r="V43">
        <v>42197606.277928598</v>
      </c>
      <c r="W43">
        <v>42429291.5026972</v>
      </c>
      <c r="X43">
        <v>43695342.3754915</v>
      </c>
      <c r="Y43">
        <v>43665698.404750802</v>
      </c>
      <c r="Z43">
        <v>44887285.800577998</v>
      </c>
      <c r="AA43">
        <v>46554019.056847297</v>
      </c>
      <c r="AB43">
        <v>46170358.9529697</v>
      </c>
      <c r="AC43">
        <v>46429745.2552469</v>
      </c>
      <c r="AD43">
        <v>47094030.454101302</v>
      </c>
      <c r="AE43">
        <v>46565432</v>
      </c>
      <c r="AF43">
        <v>47164370</v>
      </c>
    </row>
    <row r="44" spans="1:32" x14ac:dyDescent="0.3">
      <c r="A44" t="s">
        <v>34</v>
      </c>
      <c r="B44" t="s">
        <v>170</v>
      </c>
      <c r="C44" t="s">
        <v>86</v>
      </c>
      <c r="D44" t="s">
        <v>171</v>
      </c>
      <c r="E44" t="s">
        <v>87</v>
      </c>
      <c r="F44">
        <v>352935531.25914103</v>
      </c>
      <c r="G44">
        <v>365678659.19895297</v>
      </c>
      <c r="H44">
        <v>371153515.79184401</v>
      </c>
      <c r="I44">
        <v>365291859.88045597</v>
      </c>
      <c r="J44">
        <v>363769224.36572999</v>
      </c>
      <c r="K44">
        <v>372999941.21386302</v>
      </c>
      <c r="L44">
        <v>369860758.42810798</v>
      </c>
      <c r="M44">
        <v>370764284.19712102</v>
      </c>
      <c r="N44">
        <v>376262737.17980403</v>
      </c>
      <c r="O44">
        <v>385313371.091712</v>
      </c>
      <c r="P44">
        <v>394966740.31921101</v>
      </c>
      <c r="Q44">
        <v>399755219.89803898</v>
      </c>
      <c r="R44">
        <v>406215028.70173901</v>
      </c>
      <c r="S44">
        <v>398884531.55843902</v>
      </c>
      <c r="T44">
        <v>362077333.29226398</v>
      </c>
      <c r="U44">
        <v>379436747.06072801</v>
      </c>
      <c r="V44">
        <v>376064406.18893099</v>
      </c>
      <c r="W44">
        <v>379661322.653032</v>
      </c>
      <c r="X44">
        <v>388275578.68342</v>
      </c>
      <c r="Y44">
        <v>388796092.24132502</v>
      </c>
      <c r="Z44">
        <v>394745471.86940402</v>
      </c>
      <c r="AA44">
        <v>396067954.15312803</v>
      </c>
      <c r="AB44">
        <v>406909362.52089798</v>
      </c>
      <c r="AC44">
        <v>409098784.56399101</v>
      </c>
      <c r="AD44">
        <v>403884351.00095898</v>
      </c>
      <c r="AE44">
        <v>377001404</v>
      </c>
      <c r="AF44">
        <v>392361623</v>
      </c>
    </row>
    <row r="45" spans="1:32" x14ac:dyDescent="0.3">
      <c r="A45" t="s">
        <v>34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34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34</v>
      </c>
      <c r="B47" t="s">
        <v>176</v>
      </c>
      <c r="C47" t="s">
        <v>86</v>
      </c>
      <c r="D47" t="s">
        <v>177</v>
      </c>
      <c r="E47" t="s">
        <v>87</v>
      </c>
      <c r="F47">
        <v>18323337.9954172</v>
      </c>
      <c r="G47">
        <v>18936343.4328385</v>
      </c>
      <c r="H47">
        <v>19596449.246468902</v>
      </c>
      <c r="I47">
        <v>20061444.605471998</v>
      </c>
      <c r="J47">
        <v>20450810.401230201</v>
      </c>
      <c r="K47">
        <v>21178865.7845238</v>
      </c>
      <c r="L47">
        <v>21129342.2115697</v>
      </c>
      <c r="M47">
        <v>21159266.728280801</v>
      </c>
      <c r="N47">
        <v>21602709.9601468</v>
      </c>
      <c r="O47">
        <v>21753404.3632286</v>
      </c>
      <c r="P47">
        <v>21805762.3204666</v>
      </c>
      <c r="Q47">
        <v>22231612.084371801</v>
      </c>
      <c r="R47">
        <v>22797333.377637502</v>
      </c>
      <c r="S47">
        <v>23154730.5396166</v>
      </c>
      <c r="T47">
        <v>23086126.8688436</v>
      </c>
      <c r="U47">
        <v>23081636.497507598</v>
      </c>
      <c r="V47">
        <v>23695976.090138201</v>
      </c>
      <c r="W47">
        <v>24032520.508980401</v>
      </c>
      <c r="X47">
        <v>24368152.080709301</v>
      </c>
      <c r="Y47">
        <v>24791916.3875494</v>
      </c>
      <c r="Z47">
        <v>25080825.4021901</v>
      </c>
      <c r="AA47">
        <v>25376735.0321646</v>
      </c>
      <c r="AB47">
        <v>26036646.853232201</v>
      </c>
      <c r="AC47">
        <v>26670738.1048765</v>
      </c>
      <c r="AD47">
        <v>27224951.821063101</v>
      </c>
      <c r="AE47">
        <v>27896887</v>
      </c>
      <c r="AF47">
        <v>28468697</v>
      </c>
    </row>
    <row r="48" spans="1:32" x14ac:dyDescent="0.3">
      <c r="A48" t="s">
        <v>34</v>
      </c>
      <c r="B48" t="s">
        <v>178</v>
      </c>
      <c r="C48" t="s">
        <v>86</v>
      </c>
      <c r="D48" t="s">
        <v>179</v>
      </c>
      <c r="E48" t="s">
        <v>87</v>
      </c>
      <c r="F48">
        <v>57675307.373333</v>
      </c>
      <c r="G48">
        <v>59375113.469781801</v>
      </c>
      <c r="H48">
        <v>61001356.1265193</v>
      </c>
      <c r="I48">
        <v>62283975.070929497</v>
      </c>
      <c r="J48">
        <v>63861239.834590897</v>
      </c>
      <c r="K48">
        <v>64432847.850924499</v>
      </c>
      <c r="L48">
        <v>65414947.2969644</v>
      </c>
      <c r="M48">
        <v>65945691.806195103</v>
      </c>
      <c r="N48">
        <v>67498432.8266792</v>
      </c>
      <c r="O48">
        <v>68585490.978225604</v>
      </c>
      <c r="P48">
        <v>69680746.066188306</v>
      </c>
      <c r="Q48">
        <v>70967252.936992705</v>
      </c>
      <c r="R48">
        <v>72710151.087357804</v>
      </c>
      <c r="S48">
        <v>73430079.191413596</v>
      </c>
      <c r="T48">
        <v>74261262.959428504</v>
      </c>
      <c r="U48">
        <v>75222100.596793398</v>
      </c>
      <c r="V48">
        <v>76763270.858108804</v>
      </c>
      <c r="W48">
        <v>79031757.670226693</v>
      </c>
      <c r="X48">
        <v>80570667.554779306</v>
      </c>
      <c r="Y48">
        <v>81517208.643323004</v>
      </c>
      <c r="Z48">
        <v>84061171.438396096</v>
      </c>
      <c r="AA48">
        <v>86227226.453060895</v>
      </c>
      <c r="AB48">
        <v>86966225.268702105</v>
      </c>
      <c r="AC48">
        <v>88899029.365115196</v>
      </c>
      <c r="AD48">
        <v>90621712.312758595</v>
      </c>
      <c r="AE48">
        <v>91552950</v>
      </c>
      <c r="AF48">
        <v>94101402</v>
      </c>
    </row>
    <row r="49" spans="1:32" x14ac:dyDescent="0.3">
      <c r="A49" t="s">
        <v>34</v>
      </c>
      <c r="B49" t="s">
        <v>180</v>
      </c>
      <c r="C49" t="s">
        <v>86</v>
      </c>
      <c r="D49" t="s">
        <v>181</v>
      </c>
      <c r="E49" t="s">
        <v>87</v>
      </c>
      <c r="F49">
        <v>15628810.178661801</v>
      </c>
      <c r="G49">
        <v>15869370.552411901</v>
      </c>
      <c r="H49">
        <v>16015011.6147769</v>
      </c>
      <c r="I49">
        <v>16091242.1641121</v>
      </c>
      <c r="J49">
        <v>16292140.6590843</v>
      </c>
      <c r="K49">
        <v>16422691.8055814</v>
      </c>
      <c r="L49">
        <v>16516195.066525299</v>
      </c>
      <c r="M49">
        <v>16719915.707634799</v>
      </c>
      <c r="N49">
        <v>16928037.991422199</v>
      </c>
      <c r="O49">
        <v>17026716.960377902</v>
      </c>
      <c r="P49">
        <v>17207906.304715998</v>
      </c>
      <c r="Q49">
        <v>17450546.491155401</v>
      </c>
      <c r="R49">
        <v>17696962.3904064</v>
      </c>
      <c r="S49">
        <v>17903096.394112099</v>
      </c>
      <c r="T49">
        <v>18097881.7113153</v>
      </c>
      <c r="U49">
        <v>18215624.0040868</v>
      </c>
      <c r="V49">
        <v>18717617.6545261</v>
      </c>
      <c r="W49">
        <v>18801722.242754899</v>
      </c>
      <c r="X49">
        <v>18716922.283576</v>
      </c>
      <c r="Y49">
        <v>18730344.086238001</v>
      </c>
      <c r="Z49">
        <v>18724356.808155298</v>
      </c>
      <c r="AA49">
        <v>18864486.250062302</v>
      </c>
      <c r="AB49">
        <v>19038962.573821399</v>
      </c>
      <c r="AC49">
        <v>19168632.581536502</v>
      </c>
      <c r="AD49">
        <v>19431579.906036701</v>
      </c>
      <c r="AE49">
        <v>19562268</v>
      </c>
      <c r="AF49">
        <v>19647319</v>
      </c>
    </row>
    <row r="50" spans="1:32" x14ac:dyDescent="0.3">
      <c r="A50" t="s">
        <v>34</v>
      </c>
      <c r="B50" t="s">
        <v>182</v>
      </c>
      <c r="C50" t="s">
        <v>86</v>
      </c>
      <c r="D50" t="s">
        <v>183</v>
      </c>
      <c r="E50" t="s">
        <v>87</v>
      </c>
      <c r="F50">
        <v>23260514.3093195</v>
      </c>
      <c r="G50">
        <v>24127145.923617698</v>
      </c>
      <c r="H50">
        <v>24960512.364290401</v>
      </c>
      <c r="I50">
        <v>25745698.3624641</v>
      </c>
      <c r="J50">
        <v>26821494.072062399</v>
      </c>
      <c r="K50">
        <v>26348097.612705801</v>
      </c>
      <c r="L50">
        <v>27391465.052068401</v>
      </c>
      <c r="M50">
        <v>27707791.868016601</v>
      </c>
      <c r="N50">
        <v>28644962.682370801</v>
      </c>
      <c r="O50">
        <v>29547933.9820689</v>
      </c>
      <c r="P50">
        <v>30485864.6223557</v>
      </c>
      <c r="Q50">
        <v>31105382.783869099</v>
      </c>
      <c r="R50">
        <v>32052709.487748001</v>
      </c>
      <c r="S50">
        <v>32175125.1368763</v>
      </c>
      <c r="T50">
        <v>32946219.558714598</v>
      </c>
      <c r="U50">
        <v>33848831.618296303</v>
      </c>
      <c r="V50">
        <v>34248620.247262903</v>
      </c>
      <c r="W50">
        <v>36146706.791241303</v>
      </c>
      <c r="X50">
        <v>37449435.985084899</v>
      </c>
      <c r="Y50">
        <v>37954055.591064103</v>
      </c>
      <c r="Z50">
        <v>40252809.500709802</v>
      </c>
      <c r="AA50">
        <v>42015175.887261502</v>
      </c>
      <c r="AB50">
        <v>41895204.944288701</v>
      </c>
      <c r="AC50">
        <v>43068523.435722098</v>
      </c>
      <c r="AD50">
        <v>43975298.802236497</v>
      </c>
      <c r="AE50">
        <v>44093795</v>
      </c>
      <c r="AF50">
        <v>45985386</v>
      </c>
    </row>
    <row r="51" spans="1:32" x14ac:dyDescent="0.3">
      <c r="A51" t="s">
        <v>34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34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34</v>
      </c>
      <c r="B53" t="s">
        <v>188</v>
      </c>
      <c r="C53" t="s">
        <v>86</v>
      </c>
      <c r="D53" t="s">
        <v>189</v>
      </c>
      <c r="E53" t="s">
        <v>87</v>
      </c>
      <c r="F53">
        <v>8453713.7629149295</v>
      </c>
      <c r="G53">
        <v>8264748.4414512999</v>
      </c>
      <c r="H53">
        <v>7955808.0192343201</v>
      </c>
      <c r="I53">
        <v>7709651.9786603004</v>
      </c>
      <c r="J53">
        <v>7377171.4414657103</v>
      </c>
      <c r="K53">
        <v>7739397.8429812696</v>
      </c>
      <c r="L53">
        <v>7343816.01920221</v>
      </c>
      <c r="M53">
        <v>7775105.5343294796</v>
      </c>
      <c r="N53">
        <v>7621958.6138410596</v>
      </c>
      <c r="O53">
        <v>7494932.4926943602</v>
      </c>
      <c r="P53">
        <v>7731786.7612220198</v>
      </c>
      <c r="Q53">
        <v>7896836.2219854305</v>
      </c>
      <c r="R53">
        <v>7665524.0690126298</v>
      </c>
      <c r="S53">
        <v>7502854.9678025804</v>
      </c>
      <c r="T53">
        <v>7370971.58722807</v>
      </c>
      <c r="U53">
        <v>7141888.1590181999</v>
      </c>
      <c r="V53">
        <v>7015400.5333036603</v>
      </c>
      <c r="W53">
        <v>7458302.3791916203</v>
      </c>
      <c r="X53">
        <v>7746540.6666719299</v>
      </c>
      <c r="Y53">
        <v>7711958.4520910103</v>
      </c>
      <c r="Z53">
        <v>7587454.8233690104</v>
      </c>
      <c r="AA53">
        <v>7052526.6766925398</v>
      </c>
      <c r="AB53">
        <v>6897145.9940749202</v>
      </c>
      <c r="AC53">
        <v>6807505.3832956003</v>
      </c>
      <c r="AD53">
        <v>6572729.9479806405</v>
      </c>
      <c r="AE53">
        <v>5134091</v>
      </c>
      <c r="AF53">
        <v>5325852</v>
      </c>
    </row>
    <row r="54" spans="1:32" x14ac:dyDescent="0.3">
      <c r="A54" t="s">
        <v>34</v>
      </c>
      <c r="B54" t="s">
        <v>190</v>
      </c>
      <c r="C54" t="s">
        <v>86</v>
      </c>
      <c r="D54" t="s">
        <v>191</v>
      </c>
      <c r="E54" t="s">
        <v>87</v>
      </c>
      <c r="F54">
        <v>19778795.783715401</v>
      </c>
      <c r="G54">
        <v>19938805.789923999</v>
      </c>
      <c r="H54">
        <v>19858022.469754301</v>
      </c>
      <c r="I54">
        <v>20009171.279796802</v>
      </c>
      <c r="J54">
        <v>19805793.987613801</v>
      </c>
      <c r="K54">
        <v>20952802.7489421</v>
      </c>
      <c r="L54">
        <v>20454195.3325173</v>
      </c>
      <c r="M54">
        <v>21301264.8667055</v>
      </c>
      <c r="N54">
        <v>21539824.537842501</v>
      </c>
      <c r="O54">
        <v>21381362.479795001</v>
      </c>
      <c r="P54">
        <v>21895263.995108798</v>
      </c>
      <c r="Q54">
        <v>22119690.511941001</v>
      </c>
      <c r="R54">
        <v>22192888.817632701</v>
      </c>
      <c r="S54">
        <v>21627006.333070401</v>
      </c>
      <c r="T54">
        <v>20754530.898893099</v>
      </c>
      <c r="U54">
        <v>20278089.091514599</v>
      </c>
      <c r="V54">
        <v>20241948.4361124</v>
      </c>
      <c r="W54">
        <v>20131469.626065999</v>
      </c>
      <c r="X54">
        <v>19830598.183922801</v>
      </c>
      <c r="Y54">
        <v>19432789.929351099</v>
      </c>
      <c r="Z54">
        <v>18961870.422373101</v>
      </c>
      <c r="AA54">
        <v>18111126.0786842</v>
      </c>
      <c r="AB54">
        <v>18160872.0039832</v>
      </c>
      <c r="AC54">
        <v>17896608.8478407</v>
      </c>
      <c r="AD54">
        <v>17933671.508399099</v>
      </c>
      <c r="AE54">
        <v>15051072</v>
      </c>
      <c r="AF54">
        <v>15205906</v>
      </c>
    </row>
    <row r="55" spans="1:32" x14ac:dyDescent="0.3">
      <c r="A55" t="s">
        <v>34</v>
      </c>
      <c r="B55" t="s">
        <v>192</v>
      </c>
      <c r="C55" t="s">
        <v>86</v>
      </c>
      <c r="D55" t="s">
        <v>193</v>
      </c>
      <c r="E55" t="s">
        <v>87</v>
      </c>
      <c r="F55">
        <v>11222859.0720574</v>
      </c>
      <c r="G55">
        <v>11597408.3539267</v>
      </c>
      <c r="H55">
        <v>11849397.9350524</v>
      </c>
      <c r="I55">
        <v>12272157.1908016</v>
      </c>
      <c r="J55">
        <v>12422433.490812499</v>
      </c>
      <c r="K55">
        <v>13211445.4776503</v>
      </c>
      <c r="L55">
        <v>13117971.1481879</v>
      </c>
      <c r="M55">
        <v>13531789.2926067</v>
      </c>
      <c r="N55">
        <v>13925700.7920966</v>
      </c>
      <c r="O55">
        <v>13894827.3444562</v>
      </c>
      <c r="P55">
        <v>14171872.697252</v>
      </c>
      <c r="Q55">
        <v>14232442.185192</v>
      </c>
      <c r="R55">
        <v>14530973.4071529</v>
      </c>
      <c r="S55">
        <v>14128191.949840499</v>
      </c>
      <c r="T55">
        <v>13390269.989260999</v>
      </c>
      <c r="U55">
        <v>13142187.708370101</v>
      </c>
      <c r="V55">
        <v>13231390.7909771</v>
      </c>
      <c r="W55">
        <v>12680343.835922001</v>
      </c>
      <c r="X55">
        <v>12095829.138644399</v>
      </c>
      <c r="Y55">
        <v>11734939.2996017</v>
      </c>
      <c r="Z55">
        <v>11390495.924990499</v>
      </c>
      <c r="AA55">
        <v>11067508.070172301</v>
      </c>
      <c r="AB55">
        <v>11270041.640261101</v>
      </c>
      <c r="AC55">
        <v>11095431.318126</v>
      </c>
      <c r="AD55">
        <v>11364588.2400252</v>
      </c>
      <c r="AE55">
        <v>9916981</v>
      </c>
      <c r="AF55">
        <v>9880054</v>
      </c>
    </row>
    <row r="56" spans="1:32" x14ac:dyDescent="0.3">
      <c r="A56" t="s">
        <v>34</v>
      </c>
      <c r="B56" t="s">
        <v>194</v>
      </c>
      <c r="C56" t="s">
        <v>86</v>
      </c>
      <c r="D56" t="s">
        <v>195</v>
      </c>
      <c r="E56" t="s">
        <v>87</v>
      </c>
      <c r="F56">
        <v>2593541.810885</v>
      </c>
      <c r="G56">
        <v>2402157.6272428399</v>
      </c>
      <c r="H56">
        <v>2202292.2089559701</v>
      </c>
      <c r="I56">
        <v>1931791.53497743</v>
      </c>
      <c r="J56">
        <v>1797821.6460015599</v>
      </c>
      <c r="K56">
        <v>1642906.3509980501</v>
      </c>
      <c r="L56">
        <v>1501112.7756757101</v>
      </c>
      <c r="M56">
        <v>1410186.55442801</v>
      </c>
      <c r="N56">
        <v>1371304.5933321</v>
      </c>
      <c r="O56">
        <v>1395695.46843049</v>
      </c>
      <c r="P56">
        <v>1213791.18264512</v>
      </c>
      <c r="Q56">
        <v>1254757.0496936799</v>
      </c>
      <c r="R56">
        <v>1315820.9311428401</v>
      </c>
      <c r="S56">
        <v>1618218.8249246201</v>
      </c>
      <c r="T56">
        <v>1761868.3448069899</v>
      </c>
      <c r="U56">
        <v>1979709.2976271401</v>
      </c>
      <c r="V56">
        <v>2145843.1607070002</v>
      </c>
      <c r="W56">
        <v>2149039.7256267699</v>
      </c>
      <c r="X56">
        <v>1715253.2186952301</v>
      </c>
      <c r="Y56">
        <v>1611844.0768227901</v>
      </c>
      <c r="Z56">
        <v>1504736.69255178</v>
      </c>
      <c r="AA56">
        <v>1819663.7781293199</v>
      </c>
      <c r="AB56">
        <v>1688994.4010078099</v>
      </c>
      <c r="AC56">
        <v>1716392.73254733</v>
      </c>
      <c r="AD56">
        <v>1900120.33238015</v>
      </c>
      <c r="AE56">
        <v>2045342</v>
      </c>
      <c r="AF56">
        <v>1930278</v>
      </c>
    </row>
    <row r="57" spans="1:32" x14ac:dyDescent="0.3">
      <c r="A57" t="s">
        <v>34</v>
      </c>
      <c r="B57" t="s">
        <v>196</v>
      </c>
      <c r="C57" t="s">
        <v>86</v>
      </c>
      <c r="D57" t="s">
        <v>197</v>
      </c>
      <c r="E57" t="s">
        <v>87</v>
      </c>
      <c r="F57">
        <v>463494911.524059</v>
      </c>
      <c r="G57">
        <v>478390847.63077003</v>
      </c>
      <c r="H57">
        <v>485459088.58859599</v>
      </c>
      <c r="I57">
        <v>480048823.84213698</v>
      </c>
      <c r="J57">
        <v>480423458.94138801</v>
      </c>
      <c r="K57">
        <v>491397891.36571002</v>
      </c>
      <c r="L57">
        <v>489831060.07862997</v>
      </c>
      <c r="M57">
        <v>491827811.07048303</v>
      </c>
      <c r="N57">
        <v>499670515.620125</v>
      </c>
      <c r="O57">
        <v>510663887.02842301</v>
      </c>
      <c r="P57">
        <v>522227849.632644</v>
      </c>
      <c r="Q57">
        <v>529586054.72097999</v>
      </c>
      <c r="R57">
        <v>537901083.94433105</v>
      </c>
      <c r="S57">
        <v>532263633.67620701</v>
      </c>
      <c r="T57">
        <v>497448206.66842002</v>
      </c>
      <c r="U57">
        <v>516597086.81589401</v>
      </c>
      <c r="V57">
        <v>515836569.04726899</v>
      </c>
      <c r="W57">
        <v>522261068.94423699</v>
      </c>
      <c r="X57">
        <v>533078484.23495603</v>
      </c>
      <c r="Y57">
        <v>535497731.79818201</v>
      </c>
      <c r="Z57">
        <v>544526776.98032105</v>
      </c>
      <c r="AA57">
        <v>548715386.38096499</v>
      </c>
      <c r="AB57">
        <v>560522458.70053196</v>
      </c>
      <c r="AC57">
        <v>564875247.49539399</v>
      </c>
      <c r="AD57">
        <v>562385735.41634405</v>
      </c>
      <c r="AE57">
        <v>536382075</v>
      </c>
      <c r="AF57">
        <v>553595675</v>
      </c>
    </row>
    <row r="58" spans="1:32" x14ac:dyDescent="0.3">
      <c r="A58" t="s">
        <v>34</v>
      </c>
      <c r="B58" t="s">
        <v>198</v>
      </c>
      <c r="C58" t="s">
        <v>86</v>
      </c>
      <c r="D58" t="s">
        <v>199</v>
      </c>
      <c r="E58" t="s">
        <v>87</v>
      </c>
      <c r="F58">
        <v>460727861.92206001</v>
      </c>
      <c r="G58">
        <v>475899704.96340299</v>
      </c>
      <c r="H58">
        <v>483244139.26231301</v>
      </c>
      <c r="I58">
        <v>478186381.62169403</v>
      </c>
      <c r="J58">
        <v>478738969.11267298</v>
      </c>
      <c r="K58">
        <v>489919730.56349802</v>
      </c>
      <c r="L58">
        <v>488526152.60036302</v>
      </c>
      <c r="M58">
        <v>490640267.27301401</v>
      </c>
      <c r="N58">
        <v>498540872.39364302</v>
      </c>
      <c r="O58">
        <v>509516436.94620299</v>
      </c>
      <c r="P58">
        <v>521314357.08960998</v>
      </c>
      <c r="Q58">
        <v>528629314.80010802</v>
      </c>
      <c r="R58">
        <v>536873425.33525705</v>
      </c>
      <c r="S58">
        <v>530795818.28369898</v>
      </c>
      <c r="T58">
        <v>495764204.05303299</v>
      </c>
      <c r="U58">
        <v>514688736.82234299</v>
      </c>
      <c r="V58">
        <v>513752403.52806199</v>
      </c>
      <c r="W58">
        <v>520175322.819722</v>
      </c>
      <c r="X58">
        <v>531435019.83625197</v>
      </c>
      <c r="Y58">
        <v>533986117.586514</v>
      </c>
      <c r="Z58">
        <v>543161801.67502296</v>
      </c>
      <c r="AA58">
        <v>546942521.85592794</v>
      </c>
      <c r="AB58">
        <v>558892793.77089095</v>
      </c>
      <c r="AC58">
        <v>563215864.78039896</v>
      </c>
      <c r="AD58">
        <v>560504470.53848696</v>
      </c>
      <c r="AE58">
        <v>534336733</v>
      </c>
      <c r="AF58">
        <v>551665397</v>
      </c>
    </row>
    <row r="59" spans="1:32" x14ac:dyDescent="0.3">
      <c r="A59" t="s">
        <v>34</v>
      </c>
      <c r="B59" t="s">
        <v>200</v>
      </c>
      <c r="C59" t="s">
        <v>86</v>
      </c>
      <c r="D59" t="s">
        <v>201</v>
      </c>
      <c r="E59" t="s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F027-DB54-4E36-B3F3-CE6FC98DA931}">
  <dimension ref="B1:D30"/>
  <sheetViews>
    <sheetView workbookViewId="0">
      <selection activeCell="D30" sqref="D30"/>
    </sheetView>
  </sheetViews>
  <sheetFormatPr defaultRowHeight="14.4" x14ac:dyDescent="0.3"/>
  <cols>
    <col min="3" max="3" width="13.77734375" customWidth="1"/>
    <col min="4" max="4" width="12.5546875" bestFit="1" customWidth="1"/>
  </cols>
  <sheetData>
    <row r="1" spans="2:4" x14ac:dyDescent="0.3">
      <c r="C1" t="s">
        <v>202</v>
      </c>
      <c r="D1" t="s">
        <v>203</v>
      </c>
    </row>
    <row r="2" spans="2:4" x14ac:dyDescent="0.3">
      <c r="B2" t="s">
        <v>57</v>
      </c>
      <c r="C2" s="5">
        <v>463494911.524059</v>
      </c>
      <c r="D2" s="5">
        <v>517306724</v>
      </c>
    </row>
    <row r="3" spans="2:4" x14ac:dyDescent="0.3">
      <c r="B3" t="s">
        <v>58</v>
      </c>
      <c r="C3" s="5">
        <v>478390847.63077003</v>
      </c>
      <c r="D3" s="5">
        <v>530834859</v>
      </c>
    </row>
    <row r="4" spans="2:4" x14ac:dyDescent="0.3">
      <c r="B4" t="s">
        <v>59</v>
      </c>
      <c r="C4" s="5">
        <v>485459088.58859599</v>
      </c>
      <c r="D4" s="5">
        <v>541529315</v>
      </c>
    </row>
    <row r="5" spans="2:4" x14ac:dyDescent="0.3">
      <c r="B5" t="s">
        <v>60</v>
      </c>
      <c r="C5" s="5">
        <v>480048823.84213698</v>
      </c>
      <c r="D5" s="5">
        <v>535877014</v>
      </c>
    </row>
    <row r="6" spans="2:4" x14ac:dyDescent="0.3">
      <c r="B6" t="s">
        <v>61</v>
      </c>
      <c r="C6" s="5">
        <v>480423458.94138801</v>
      </c>
      <c r="D6" s="5">
        <v>529448867</v>
      </c>
    </row>
    <row r="7" spans="2:4" x14ac:dyDescent="0.3">
      <c r="B7" t="s">
        <v>62</v>
      </c>
      <c r="C7" s="5">
        <v>491397891.36571002</v>
      </c>
      <c r="D7" s="5">
        <v>535696744</v>
      </c>
    </row>
    <row r="8" spans="2:4" x14ac:dyDescent="0.3">
      <c r="B8" t="s">
        <v>63</v>
      </c>
      <c r="C8" s="5">
        <v>489831060.07862997</v>
      </c>
      <c r="D8" s="5">
        <v>528543826</v>
      </c>
    </row>
    <row r="9" spans="2:4" x14ac:dyDescent="0.3">
      <c r="B9" t="s">
        <v>64</v>
      </c>
      <c r="C9" s="5">
        <v>491827811.07048303</v>
      </c>
      <c r="D9" s="5">
        <v>524121819</v>
      </c>
    </row>
    <row r="10" spans="2:4" x14ac:dyDescent="0.3">
      <c r="B10" t="s">
        <v>65</v>
      </c>
      <c r="C10" s="5">
        <v>499670515.620125</v>
      </c>
      <c r="D10" s="5">
        <v>524457508</v>
      </c>
    </row>
    <row r="11" spans="2:4" x14ac:dyDescent="0.3">
      <c r="B11" t="s">
        <v>66</v>
      </c>
      <c r="C11" s="5">
        <v>510663887.02842301</v>
      </c>
      <c r="D11" s="5">
        <v>530393903</v>
      </c>
    </row>
    <row r="12" spans="2:4" x14ac:dyDescent="0.3">
      <c r="B12" t="s">
        <v>67</v>
      </c>
      <c r="C12" s="5">
        <v>522227849.632644</v>
      </c>
      <c r="D12" s="5">
        <v>534950813</v>
      </c>
    </row>
    <row r="13" spans="2:4" x14ac:dyDescent="0.3">
      <c r="B13" t="s">
        <v>68</v>
      </c>
      <c r="C13" s="5">
        <v>529586054.72097999</v>
      </c>
      <c r="D13" s="5">
        <v>536229058</v>
      </c>
    </row>
    <row r="14" spans="2:4" x14ac:dyDescent="0.3">
      <c r="B14" t="s">
        <v>69</v>
      </c>
      <c r="C14" s="5">
        <v>537901083.94433105</v>
      </c>
      <c r="D14" s="5">
        <v>540420032</v>
      </c>
    </row>
    <row r="15" spans="2:4" x14ac:dyDescent="0.3">
      <c r="B15" t="s">
        <v>70</v>
      </c>
      <c r="C15" s="5">
        <v>532263633.67620701</v>
      </c>
      <c r="D15" s="5">
        <v>528343873</v>
      </c>
    </row>
    <row r="16" spans="2:4" x14ac:dyDescent="0.3">
      <c r="B16" t="s">
        <v>71</v>
      </c>
      <c r="C16" s="5">
        <v>497448206.66842002</v>
      </c>
      <c r="D16" s="5">
        <v>495454345</v>
      </c>
    </row>
    <row r="17" spans="2:4" x14ac:dyDescent="0.3">
      <c r="B17" t="s">
        <v>72</v>
      </c>
      <c r="C17" s="5">
        <v>516597086.81589401</v>
      </c>
      <c r="D17" s="5">
        <v>505472156</v>
      </c>
    </row>
    <row r="18" spans="2:4" x14ac:dyDescent="0.3">
      <c r="B18" t="s">
        <v>73</v>
      </c>
      <c r="C18" s="5">
        <v>515836569.04726899</v>
      </c>
      <c r="D18" s="5">
        <v>494826464</v>
      </c>
    </row>
    <row r="19" spans="2:4" x14ac:dyDescent="0.3">
      <c r="B19" t="s">
        <v>74</v>
      </c>
      <c r="C19" s="5">
        <v>522261068.94423699</v>
      </c>
      <c r="D19" s="5">
        <v>497635100</v>
      </c>
    </row>
    <row r="20" spans="2:4" x14ac:dyDescent="0.3">
      <c r="B20" t="s">
        <v>75</v>
      </c>
      <c r="C20" s="5">
        <v>533078484.23495603</v>
      </c>
      <c r="D20" s="5">
        <v>505334233</v>
      </c>
    </row>
    <row r="21" spans="2:4" x14ac:dyDescent="0.3">
      <c r="B21" t="s">
        <v>76</v>
      </c>
      <c r="C21" s="5">
        <v>535497731.79818201</v>
      </c>
      <c r="D21" s="5">
        <v>514630732</v>
      </c>
    </row>
    <row r="22" spans="2:4" x14ac:dyDescent="0.3">
      <c r="B22" t="s">
        <v>77</v>
      </c>
      <c r="C22" s="5">
        <v>544526776.98032105</v>
      </c>
      <c r="D22" s="5">
        <v>534876041</v>
      </c>
    </row>
    <row r="23" spans="2:4" x14ac:dyDescent="0.3">
      <c r="B23" t="s">
        <v>78</v>
      </c>
      <c r="C23" s="5">
        <v>548715386.38096499</v>
      </c>
      <c r="D23" s="5">
        <v>542415663</v>
      </c>
    </row>
    <row r="24" spans="2:4" x14ac:dyDescent="0.3">
      <c r="B24" t="s">
        <v>79</v>
      </c>
      <c r="C24" s="5">
        <v>560522458.70053196</v>
      </c>
      <c r="D24" s="5">
        <v>550565614</v>
      </c>
    </row>
    <row r="25" spans="2:4" x14ac:dyDescent="0.3">
      <c r="B25" t="s">
        <v>80</v>
      </c>
      <c r="C25" s="5">
        <v>564875247.49539399</v>
      </c>
      <c r="D25" s="5">
        <v>553632009</v>
      </c>
    </row>
    <row r="26" spans="2:4" x14ac:dyDescent="0.3">
      <c r="B26" t="s">
        <v>81</v>
      </c>
      <c r="C26" s="5">
        <v>562385735.41634405</v>
      </c>
      <c r="D26" s="5">
        <v>554957808</v>
      </c>
    </row>
    <row r="27" spans="2:4" x14ac:dyDescent="0.3">
      <c r="B27" t="s">
        <v>82</v>
      </c>
      <c r="C27" s="5">
        <v>536382075</v>
      </c>
      <c r="D27" s="5">
        <v>536382075</v>
      </c>
    </row>
    <row r="28" spans="2:4" x14ac:dyDescent="0.3">
      <c r="B28" t="s">
        <v>83</v>
      </c>
      <c r="C28" s="5">
        <v>553595675</v>
      </c>
      <c r="D28" s="5">
        <v>547406749</v>
      </c>
    </row>
    <row r="30" spans="2:4" x14ac:dyDescent="0.3">
      <c r="C30">
        <f>+C28/C2</f>
        <v>1.1943942883421796</v>
      </c>
      <c r="D30">
        <f>+D28/D2</f>
        <v>1.0581860308469526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36</v>
      </c>
      <c r="B2" t="s">
        <v>84</v>
      </c>
      <c r="C2" t="s">
        <v>86</v>
      </c>
      <c r="D2" t="s">
        <v>85</v>
      </c>
      <c r="E2" t="s">
        <v>87</v>
      </c>
      <c r="F2">
        <v>17301002.883540802</v>
      </c>
      <c r="G2">
        <v>17197134.040598501</v>
      </c>
      <c r="H2">
        <v>17188140.5386093</v>
      </c>
      <c r="I2">
        <v>17158205.594765801</v>
      </c>
      <c r="J2">
        <v>17266092.485329501</v>
      </c>
      <c r="K2">
        <v>17956610.4720788</v>
      </c>
      <c r="L2">
        <v>17083059.4250433</v>
      </c>
      <c r="M2">
        <v>17321099.261162199</v>
      </c>
      <c r="N2">
        <v>15899673.1213743</v>
      </c>
      <c r="O2">
        <v>15055392.427434601</v>
      </c>
      <c r="P2">
        <v>14833249.183527101</v>
      </c>
      <c r="Q2">
        <v>14605416.1750877</v>
      </c>
      <c r="R2">
        <v>14943757.7784112</v>
      </c>
      <c r="S2">
        <v>15087164.7420916</v>
      </c>
      <c r="T2">
        <v>14872255.3355042</v>
      </c>
      <c r="U2">
        <v>14678511.8621892</v>
      </c>
      <c r="V2">
        <v>14449356.578165101</v>
      </c>
      <c r="W2">
        <v>14452890.698627301</v>
      </c>
      <c r="X2">
        <v>14477048.921482701</v>
      </c>
      <c r="Y2">
        <v>14176838.541268401</v>
      </c>
      <c r="Z2">
        <v>13744670.245487399</v>
      </c>
      <c r="AA2">
        <v>13596551.485328199</v>
      </c>
      <c r="AB2">
        <v>13653795.7685521</v>
      </c>
      <c r="AC2">
        <v>13337997.060686801</v>
      </c>
      <c r="AD2">
        <v>13424427.233363001</v>
      </c>
      <c r="AE2">
        <v>13322410</v>
      </c>
      <c r="AF2">
        <v>13354047</v>
      </c>
    </row>
    <row r="3" spans="1:32" x14ac:dyDescent="0.3">
      <c r="A3" t="s">
        <v>36</v>
      </c>
      <c r="B3" t="s">
        <v>88</v>
      </c>
      <c r="C3" t="s">
        <v>86</v>
      </c>
      <c r="D3" t="s">
        <v>89</v>
      </c>
      <c r="E3" t="s">
        <v>87</v>
      </c>
      <c r="F3">
        <v>1853766.6360241999</v>
      </c>
      <c r="G3">
        <v>1944977.62386063</v>
      </c>
      <c r="H3">
        <v>1852804.3951825099</v>
      </c>
      <c r="I3">
        <v>1737833.17158156</v>
      </c>
      <c r="J3">
        <v>1742102.4471165999</v>
      </c>
      <c r="K3">
        <v>1811054.3067043601</v>
      </c>
      <c r="L3">
        <v>1768387.5582983999</v>
      </c>
      <c r="M3">
        <v>1659467.2638169001</v>
      </c>
      <c r="N3">
        <v>1542331.1100337401</v>
      </c>
      <c r="O3">
        <v>1404528.9402125699</v>
      </c>
      <c r="P3">
        <v>1347627.96566434</v>
      </c>
      <c r="Q3">
        <v>1252456.51792891</v>
      </c>
      <c r="R3">
        <v>1178852.7234237101</v>
      </c>
      <c r="S3">
        <v>1074272.80811567</v>
      </c>
      <c r="T3">
        <v>980776.38971090002</v>
      </c>
      <c r="U3">
        <v>950101.38117615995</v>
      </c>
      <c r="V3">
        <v>866981.92525969702</v>
      </c>
      <c r="W3">
        <v>875539.02552113798</v>
      </c>
      <c r="X3">
        <v>904800.17179659498</v>
      </c>
      <c r="Y3">
        <v>902292.65491667797</v>
      </c>
      <c r="Z3">
        <v>870969.81634266698</v>
      </c>
      <c r="AA3">
        <v>844089.989516787</v>
      </c>
      <c r="AB3">
        <v>862545.113831767</v>
      </c>
      <c r="AC3">
        <v>846268.787076412</v>
      </c>
      <c r="AD3">
        <v>804267.61219135195</v>
      </c>
      <c r="AE3">
        <v>806526</v>
      </c>
      <c r="AF3">
        <v>754113</v>
      </c>
    </row>
    <row r="4" spans="1:32" x14ac:dyDescent="0.3">
      <c r="A4" t="s">
        <v>36</v>
      </c>
      <c r="B4" t="s">
        <v>90</v>
      </c>
      <c r="C4" t="s">
        <v>86</v>
      </c>
      <c r="D4" t="s">
        <v>91</v>
      </c>
      <c r="E4" t="s">
        <v>87</v>
      </c>
      <c r="F4">
        <v>296382287.35471201</v>
      </c>
      <c r="G4">
        <v>305622002.04885203</v>
      </c>
      <c r="H4">
        <v>313833249.42395198</v>
      </c>
      <c r="I4">
        <v>298455795.98122299</v>
      </c>
      <c r="J4">
        <v>291729952.648543</v>
      </c>
      <c r="K4">
        <v>304512310.75381899</v>
      </c>
      <c r="L4">
        <v>295919641.98156399</v>
      </c>
      <c r="M4">
        <v>289182422.36124998</v>
      </c>
      <c r="N4">
        <v>296523815.26665097</v>
      </c>
      <c r="O4">
        <v>307572590.89023799</v>
      </c>
      <c r="P4">
        <v>316384832.44289899</v>
      </c>
      <c r="Q4">
        <v>326802899.28573799</v>
      </c>
      <c r="R4">
        <v>340190367.76257098</v>
      </c>
      <c r="S4">
        <v>334066693.62082797</v>
      </c>
      <c r="T4">
        <v>277404715.95766002</v>
      </c>
      <c r="U4">
        <v>308012527.33812499</v>
      </c>
      <c r="V4">
        <v>299906018.55223602</v>
      </c>
      <c r="W4">
        <v>304219994.91860801</v>
      </c>
      <c r="X4">
        <v>299820247.91832501</v>
      </c>
      <c r="Y4">
        <v>304147704.178267</v>
      </c>
      <c r="Z4">
        <v>310991317.72260898</v>
      </c>
      <c r="AA4">
        <v>311447222.46813399</v>
      </c>
      <c r="AB4">
        <v>320571773.159554</v>
      </c>
      <c r="AC4">
        <v>326109047.175093</v>
      </c>
      <c r="AD4">
        <v>319281530.28708702</v>
      </c>
      <c r="AE4">
        <v>293328946</v>
      </c>
      <c r="AF4">
        <v>305513898</v>
      </c>
    </row>
    <row r="5" spans="1:32" x14ac:dyDescent="0.3">
      <c r="A5" t="s">
        <v>36</v>
      </c>
      <c r="B5" t="s">
        <v>92</v>
      </c>
      <c r="C5" t="s">
        <v>86</v>
      </c>
      <c r="D5" t="s">
        <v>93</v>
      </c>
      <c r="E5" t="s">
        <v>87</v>
      </c>
      <c r="F5">
        <v>40957685.476084903</v>
      </c>
      <c r="G5">
        <v>41146219.754032701</v>
      </c>
      <c r="H5">
        <v>40835337.453525297</v>
      </c>
      <c r="I5">
        <v>41187573.636898696</v>
      </c>
      <c r="J5">
        <v>40469567.366421901</v>
      </c>
      <c r="K5">
        <v>39575166.1726458</v>
      </c>
      <c r="L5">
        <v>39662770.770158902</v>
      </c>
      <c r="M5">
        <v>39161794.161510102</v>
      </c>
      <c r="N5">
        <v>38766231.8597394</v>
      </c>
      <c r="O5">
        <v>38805905.538804397</v>
      </c>
      <c r="P5">
        <v>37873438.714807197</v>
      </c>
      <c r="Q5">
        <v>37654110.799549498</v>
      </c>
      <c r="R5">
        <v>38306867.432669401</v>
      </c>
      <c r="S5">
        <v>37552928.627441101</v>
      </c>
      <c r="T5">
        <v>36869291.250759996</v>
      </c>
      <c r="U5">
        <v>37453629.345051304</v>
      </c>
      <c r="V5">
        <v>36243249.9910881</v>
      </c>
      <c r="W5">
        <v>36472209.795127504</v>
      </c>
      <c r="X5">
        <v>36261550.324684799</v>
      </c>
      <c r="Y5">
        <v>36049650.9300813</v>
      </c>
      <c r="Z5">
        <v>37227933.276661403</v>
      </c>
      <c r="AA5">
        <v>36787401.079277299</v>
      </c>
      <c r="AB5">
        <v>36885283.400180899</v>
      </c>
      <c r="AC5">
        <v>37365353.160593502</v>
      </c>
      <c r="AD5">
        <v>37199577.009068497</v>
      </c>
      <c r="AE5">
        <v>35597891</v>
      </c>
      <c r="AF5">
        <v>35721899</v>
      </c>
    </row>
    <row r="6" spans="1:32" x14ac:dyDescent="0.3">
      <c r="A6" t="s">
        <v>36</v>
      </c>
      <c r="B6" t="s">
        <v>94</v>
      </c>
      <c r="C6" t="s">
        <v>86</v>
      </c>
      <c r="D6" t="s">
        <v>95</v>
      </c>
      <c r="E6" t="s">
        <v>87</v>
      </c>
      <c r="F6">
        <v>13733394.861777799</v>
      </c>
      <c r="G6">
        <v>12703319.967725201</v>
      </c>
      <c r="H6">
        <v>11807165.7679627</v>
      </c>
      <c r="I6">
        <v>10942770.0314258</v>
      </c>
      <c r="J6">
        <v>9740019.8659578804</v>
      </c>
      <c r="K6">
        <v>8846608.0154291801</v>
      </c>
      <c r="L6">
        <v>7772413.2022615802</v>
      </c>
      <c r="M6">
        <v>6908963.3144217404</v>
      </c>
      <c r="N6">
        <v>6489749.8074275302</v>
      </c>
      <c r="O6">
        <v>6125518.7867581202</v>
      </c>
      <c r="P6">
        <v>5649454.7827956602</v>
      </c>
      <c r="Q6">
        <v>5374314.1537827998</v>
      </c>
      <c r="R6">
        <v>5291487.3318238901</v>
      </c>
      <c r="S6">
        <v>4948566.5662490698</v>
      </c>
      <c r="T6">
        <v>4083633.9051656998</v>
      </c>
      <c r="U6">
        <v>3893179.2975055599</v>
      </c>
      <c r="V6">
        <v>4082786.6221604501</v>
      </c>
      <c r="W6">
        <v>3991636.13319697</v>
      </c>
      <c r="X6">
        <v>3726118.1567831002</v>
      </c>
      <c r="Y6">
        <v>3691020.7817285</v>
      </c>
      <c r="Z6">
        <v>3977804.1741988501</v>
      </c>
      <c r="AA6">
        <v>3683969.2413637699</v>
      </c>
      <c r="AB6">
        <v>3580464.9517135099</v>
      </c>
      <c r="AC6">
        <v>3563235.5607628399</v>
      </c>
      <c r="AD6">
        <v>3482591.3096779501</v>
      </c>
      <c r="AE6">
        <v>3179089</v>
      </c>
      <c r="AF6">
        <v>2806382</v>
      </c>
    </row>
    <row r="7" spans="1:32" x14ac:dyDescent="0.3">
      <c r="A7" t="s">
        <v>36</v>
      </c>
      <c r="B7" t="s">
        <v>96</v>
      </c>
      <c r="C7" t="s">
        <v>86</v>
      </c>
      <c r="D7" t="s">
        <v>97</v>
      </c>
      <c r="E7" t="s">
        <v>87</v>
      </c>
      <c r="F7">
        <v>23028481.386576299</v>
      </c>
      <c r="G7">
        <v>23118581.732956201</v>
      </c>
      <c r="H7">
        <v>23042304.392340101</v>
      </c>
      <c r="I7">
        <v>22086003.070588</v>
      </c>
      <c r="J7">
        <v>21281582.7393017</v>
      </c>
      <c r="K7">
        <v>21269969.3024466</v>
      </c>
      <c r="L7">
        <v>20461041.9665117</v>
      </c>
      <c r="M7">
        <v>19671727.8946734</v>
      </c>
      <c r="N7">
        <v>19429139.2652064</v>
      </c>
      <c r="O7">
        <v>19400799.9050069</v>
      </c>
      <c r="P7">
        <v>19326040.1856906</v>
      </c>
      <c r="Q7">
        <v>19260877.232040498</v>
      </c>
      <c r="R7">
        <v>19288502.533344701</v>
      </c>
      <c r="S7">
        <v>18672978.319086101</v>
      </c>
      <c r="T7">
        <v>16387991.729239499</v>
      </c>
      <c r="U7">
        <v>17232468.257918201</v>
      </c>
      <c r="V7">
        <v>16589440.841881299</v>
      </c>
      <c r="W7">
        <v>16111866.7917303</v>
      </c>
      <c r="X7">
        <v>16242484.5140473</v>
      </c>
      <c r="Y7">
        <v>16122418.8312073</v>
      </c>
      <c r="Z7">
        <v>16434058.8290831</v>
      </c>
      <c r="AA7">
        <v>16034418.8379816</v>
      </c>
      <c r="AB7">
        <v>16125240.19107</v>
      </c>
      <c r="AC7">
        <v>15824609.1832498</v>
      </c>
      <c r="AD7">
        <v>15454359.183506601</v>
      </c>
      <c r="AE7">
        <v>14031717</v>
      </c>
      <c r="AF7">
        <v>14049777</v>
      </c>
    </row>
    <row r="8" spans="1:32" x14ac:dyDescent="0.3">
      <c r="A8" t="s">
        <v>36</v>
      </c>
      <c r="B8" t="s">
        <v>98</v>
      </c>
      <c r="C8" t="s">
        <v>86</v>
      </c>
      <c r="D8" t="s">
        <v>99</v>
      </c>
      <c r="E8" t="s">
        <v>87</v>
      </c>
      <c r="F8">
        <v>22535616.3610778</v>
      </c>
      <c r="G8">
        <v>24287666.155098401</v>
      </c>
      <c r="H8">
        <v>24411547.276782099</v>
      </c>
      <c r="I8">
        <v>23825363.550411399</v>
      </c>
      <c r="J8">
        <v>22341946.100424599</v>
      </c>
      <c r="K8">
        <v>21615755.457541302</v>
      </c>
      <c r="L8">
        <v>21094601.9757176</v>
      </c>
      <c r="M8">
        <v>19847606.396638501</v>
      </c>
      <c r="N8">
        <v>19093063.947384</v>
      </c>
      <c r="O8">
        <v>18301802.722818799</v>
      </c>
      <c r="P8">
        <v>18385696.180839501</v>
      </c>
      <c r="Q8">
        <v>18078620.815245599</v>
      </c>
      <c r="R8">
        <v>18093554.405327398</v>
      </c>
      <c r="S8">
        <v>16572398.842591099</v>
      </c>
      <c r="T8">
        <v>18471303.6613589</v>
      </c>
      <c r="U8">
        <v>18026939.904867101</v>
      </c>
      <c r="V8">
        <v>16284088.900387401</v>
      </c>
      <c r="W8">
        <v>16943772.840945099</v>
      </c>
      <c r="X8">
        <v>16519716.140566301</v>
      </c>
      <c r="Y8">
        <v>16017361.451386999</v>
      </c>
      <c r="Z8">
        <v>15812416.905941701</v>
      </c>
      <c r="AA8">
        <v>16506977.694863699</v>
      </c>
      <c r="AB8">
        <v>15888045.369679101</v>
      </c>
      <c r="AC8">
        <v>15134263.9206551</v>
      </c>
      <c r="AD8">
        <v>15113027.0519999</v>
      </c>
      <c r="AE8">
        <v>13606705</v>
      </c>
      <c r="AF8">
        <v>13413890</v>
      </c>
    </row>
    <row r="9" spans="1:32" x14ac:dyDescent="0.3">
      <c r="A9" t="s">
        <v>36</v>
      </c>
      <c r="B9" t="s">
        <v>100</v>
      </c>
      <c r="C9" t="s">
        <v>86</v>
      </c>
      <c r="D9" t="s">
        <v>101</v>
      </c>
      <c r="E9" t="s">
        <v>87</v>
      </c>
      <c r="F9">
        <v>25177306.499372799</v>
      </c>
      <c r="G9">
        <v>25861567.018239301</v>
      </c>
      <c r="H9">
        <v>26675409.7370141</v>
      </c>
      <c r="I9">
        <v>25489829.173758298</v>
      </c>
      <c r="J9">
        <v>25541243.457553498</v>
      </c>
      <c r="K9">
        <v>24659707.0677699</v>
      </c>
      <c r="L9">
        <v>24000662.8434586</v>
      </c>
      <c r="M9">
        <v>23467510.6250958</v>
      </c>
      <c r="N9">
        <v>23147414.285116799</v>
      </c>
      <c r="O9">
        <v>22766562.334113199</v>
      </c>
      <c r="P9">
        <v>22508977.727860302</v>
      </c>
      <c r="Q9">
        <v>22099422.2904457</v>
      </c>
      <c r="R9">
        <v>22370301.9134629</v>
      </c>
      <c r="S9">
        <v>21404275.831911299</v>
      </c>
      <c r="T9">
        <v>19150491.979689501</v>
      </c>
      <c r="U9">
        <v>20409537.217939898</v>
      </c>
      <c r="V9">
        <v>19706481.464894399</v>
      </c>
      <c r="W9">
        <v>19641675.7152487</v>
      </c>
      <c r="X9">
        <v>19783263.260403499</v>
      </c>
      <c r="Y9">
        <v>19477942.626678001</v>
      </c>
      <c r="Z9">
        <v>20876210.772314802</v>
      </c>
      <c r="AA9">
        <v>21301474.302734699</v>
      </c>
      <c r="AB9">
        <v>21412966.710802</v>
      </c>
      <c r="AC9">
        <v>21353613.623560101</v>
      </c>
      <c r="AD9">
        <v>22023098.865430102</v>
      </c>
      <c r="AE9">
        <v>21773010</v>
      </c>
      <c r="AF9">
        <v>21113485</v>
      </c>
    </row>
    <row r="10" spans="1:32" x14ac:dyDescent="0.3">
      <c r="A10" t="s">
        <v>36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36</v>
      </c>
      <c r="B11" t="s">
        <v>104</v>
      </c>
      <c r="C11" t="s">
        <v>86</v>
      </c>
      <c r="D11" t="s">
        <v>105</v>
      </c>
      <c r="E11" t="s">
        <v>87</v>
      </c>
      <c r="F11">
        <v>4448712.3859348698</v>
      </c>
      <c r="G11">
        <v>4512611.4517397396</v>
      </c>
      <c r="H11">
        <v>4644311.4573248001</v>
      </c>
      <c r="I11">
        <v>4700530.7015324803</v>
      </c>
      <c r="J11">
        <v>4871788.8202388296</v>
      </c>
      <c r="K11">
        <v>5458245.9199313102</v>
      </c>
      <c r="L11">
        <v>5428386.0479211202</v>
      </c>
      <c r="M11">
        <v>5632496.6591580696</v>
      </c>
      <c r="N11">
        <v>5845699.3007421801</v>
      </c>
      <c r="O11">
        <v>5963214.7451707805</v>
      </c>
      <c r="P11">
        <v>5817514.2164600799</v>
      </c>
      <c r="Q11">
        <v>6147684.7673103604</v>
      </c>
      <c r="R11">
        <v>6061441.6484647803</v>
      </c>
      <c r="S11">
        <v>6265104.7074096603</v>
      </c>
      <c r="T11">
        <v>6481766.2873681197</v>
      </c>
      <c r="U11">
        <v>7045362.9582526898</v>
      </c>
      <c r="V11">
        <v>7018839.7289984999</v>
      </c>
      <c r="W11">
        <v>6922086.8423108002</v>
      </c>
      <c r="X11">
        <v>6872432.0700236401</v>
      </c>
      <c r="Y11">
        <v>6749205.8746352503</v>
      </c>
      <c r="Z11">
        <v>7206455.12510926</v>
      </c>
      <c r="AA11">
        <v>7701201.9114482496</v>
      </c>
      <c r="AB11">
        <v>7822902.4933421798</v>
      </c>
      <c r="AC11">
        <v>8097005.1696959501</v>
      </c>
      <c r="AD11">
        <v>7842234.3091162601</v>
      </c>
      <c r="AE11">
        <v>8811989</v>
      </c>
      <c r="AF11">
        <v>8913766</v>
      </c>
    </row>
    <row r="12" spans="1:32" x14ac:dyDescent="0.3">
      <c r="A12" t="s">
        <v>36</v>
      </c>
      <c r="B12" t="s">
        <v>106</v>
      </c>
      <c r="C12" t="s">
        <v>86</v>
      </c>
      <c r="D12" t="s">
        <v>107</v>
      </c>
      <c r="E12" t="s">
        <v>87</v>
      </c>
      <c r="F12">
        <v>25315136.2684539</v>
      </c>
      <c r="G12">
        <v>25651564.8699518</v>
      </c>
      <c r="H12">
        <v>25560558.051261399</v>
      </c>
      <c r="I12">
        <v>23983727.043446202</v>
      </c>
      <c r="J12">
        <v>23376371.5657456</v>
      </c>
      <c r="K12">
        <v>23678744.6363956</v>
      </c>
      <c r="L12">
        <v>22807143.900307201</v>
      </c>
      <c r="M12">
        <v>22175563.273389</v>
      </c>
      <c r="N12">
        <v>22537143.679026</v>
      </c>
      <c r="O12">
        <v>23337318.085518699</v>
      </c>
      <c r="P12">
        <v>23216587.144674402</v>
      </c>
      <c r="Q12">
        <v>23341483.5494911</v>
      </c>
      <c r="R12">
        <v>23948813.931083102</v>
      </c>
      <c r="S12">
        <v>22703257.496693399</v>
      </c>
      <c r="T12">
        <v>18491057.1834803</v>
      </c>
      <c r="U12">
        <v>20409979.919056099</v>
      </c>
      <c r="V12">
        <v>20582149.883098502</v>
      </c>
      <c r="W12">
        <v>20013172.772900499</v>
      </c>
      <c r="X12">
        <v>19939014.4791671</v>
      </c>
      <c r="Y12">
        <v>20050399.259445898</v>
      </c>
      <c r="Z12">
        <v>20674044.812141299</v>
      </c>
      <c r="AA12">
        <v>20495463.584503401</v>
      </c>
      <c r="AB12">
        <v>21486444.129080702</v>
      </c>
      <c r="AC12">
        <v>21920773.364711098</v>
      </c>
      <c r="AD12">
        <v>21481113.330752902</v>
      </c>
      <c r="AE12">
        <v>20693829</v>
      </c>
      <c r="AF12">
        <v>21744886</v>
      </c>
    </row>
    <row r="13" spans="1:32" x14ac:dyDescent="0.3">
      <c r="A13" t="s">
        <v>36</v>
      </c>
      <c r="B13" t="s">
        <v>108</v>
      </c>
      <c r="C13" t="s">
        <v>86</v>
      </c>
      <c r="D13" t="s">
        <v>109</v>
      </c>
      <c r="E13" t="s">
        <v>87</v>
      </c>
      <c r="F13">
        <v>64048702.422100902</v>
      </c>
      <c r="G13">
        <v>64182401.813035503</v>
      </c>
      <c r="H13">
        <v>65323031.510345899</v>
      </c>
      <c r="I13">
        <v>59748346.733082503</v>
      </c>
      <c r="J13">
        <v>55918973.450882502</v>
      </c>
      <c r="K13">
        <v>59110507.498030201</v>
      </c>
      <c r="L13">
        <v>57153014.807865001</v>
      </c>
      <c r="M13">
        <v>55632590.911333203</v>
      </c>
      <c r="N13">
        <v>54135301.329988398</v>
      </c>
      <c r="O13">
        <v>56230734.799461</v>
      </c>
      <c r="P13">
        <v>59142003.942877501</v>
      </c>
      <c r="Q13">
        <v>60748142.053507201</v>
      </c>
      <c r="R13">
        <v>63529510.551351704</v>
      </c>
      <c r="S13">
        <v>62517033.422196902</v>
      </c>
      <c r="T13">
        <v>49525164.979672201</v>
      </c>
      <c r="U13">
        <v>56233638.600097597</v>
      </c>
      <c r="V13">
        <v>53777813.8610342</v>
      </c>
      <c r="W13">
        <v>56446671.872851901</v>
      </c>
      <c r="X13">
        <v>55267616.880769402</v>
      </c>
      <c r="Y13">
        <v>55829317.322591603</v>
      </c>
      <c r="Z13">
        <v>53863661.6701729</v>
      </c>
      <c r="AA13">
        <v>54360597.797923803</v>
      </c>
      <c r="AB13">
        <v>54717839.103882402</v>
      </c>
      <c r="AC13">
        <v>54497516.941219203</v>
      </c>
      <c r="AD13">
        <v>52518904.6954384</v>
      </c>
      <c r="AE13">
        <v>46130558</v>
      </c>
      <c r="AF13">
        <v>50089935</v>
      </c>
    </row>
    <row r="14" spans="1:32" x14ac:dyDescent="0.3">
      <c r="A14" t="s">
        <v>36</v>
      </c>
      <c r="B14" t="s">
        <v>110</v>
      </c>
      <c r="C14" t="s">
        <v>86</v>
      </c>
      <c r="D14" t="s">
        <v>111</v>
      </c>
      <c r="E14" t="s">
        <v>87</v>
      </c>
      <c r="F14">
        <v>12828091.8488901</v>
      </c>
      <c r="G14">
        <v>14761335.0170763</v>
      </c>
      <c r="H14">
        <v>16450828.966659101</v>
      </c>
      <c r="I14">
        <v>15930051.3032375</v>
      </c>
      <c r="J14">
        <v>16741181.716712199</v>
      </c>
      <c r="K14">
        <v>19157544.175608601</v>
      </c>
      <c r="L14">
        <v>17752529.699194599</v>
      </c>
      <c r="M14">
        <v>17506699.882086199</v>
      </c>
      <c r="N14">
        <v>20103744.526947901</v>
      </c>
      <c r="O14">
        <v>22019447.862150401</v>
      </c>
      <c r="P14">
        <v>22853331.251045998</v>
      </c>
      <c r="Q14">
        <v>24906369.673135798</v>
      </c>
      <c r="R14">
        <v>27432385.4762557</v>
      </c>
      <c r="S14">
        <v>28258974.026395399</v>
      </c>
      <c r="T14">
        <v>23049826.7624656</v>
      </c>
      <c r="U14">
        <v>26340336.873267598</v>
      </c>
      <c r="V14">
        <v>25644118.8633685</v>
      </c>
      <c r="W14">
        <v>23234667.460820701</v>
      </c>
      <c r="X14">
        <v>22236862.4296216</v>
      </c>
      <c r="Y14">
        <v>24004654.8390483</v>
      </c>
      <c r="Z14">
        <v>24980860.937550701</v>
      </c>
      <c r="AA14">
        <v>24403488.641513299</v>
      </c>
      <c r="AB14">
        <v>25195953.5825532</v>
      </c>
      <c r="AC14">
        <v>26246554.6466721</v>
      </c>
      <c r="AD14">
        <v>24851136.678457402</v>
      </c>
      <c r="AE14">
        <v>24892567</v>
      </c>
      <c r="AF14">
        <v>27391659</v>
      </c>
    </row>
    <row r="15" spans="1:32" x14ac:dyDescent="0.3">
      <c r="A15" t="s">
        <v>36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36</v>
      </c>
      <c r="B16" t="s">
        <v>114</v>
      </c>
      <c r="C16" t="s">
        <v>86</v>
      </c>
      <c r="D16" t="s">
        <v>115</v>
      </c>
      <c r="E16" t="s">
        <v>87</v>
      </c>
      <c r="F16">
        <v>13938207.780973099</v>
      </c>
      <c r="G16">
        <v>14271777.0240197</v>
      </c>
      <c r="H16">
        <v>14623570.5289541</v>
      </c>
      <c r="I16">
        <v>13579077.802857701</v>
      </c>
      <c r="J16">
        <v>12849934.7775608</v>
      </c>
      <c r="K16">
        <v>13960717.049461501</v>
      </c>
      <c r="L16">
        <v>13699806.701528</v>
      </c>
      <c r="M16">
        <v>12311544.511129601</v>
      </c>
      <c r="N16">
        <v>12818390.1731108</v>
      </c>
      <c r="O16">
        <v>13465625.0725754</v>
      </c>
      <c r="P16">
        <v>14158190.951205101</v>
      </c>
      <c r="Q16">
        <v>15324242.498104099</v>
      </c>
      <c r="R16">
        <v>16082437.160093799</v>
      </c>
      <c r="S16">
        <v>15190269.4258515</v>
      </c>
      <c r="T16">
        <v>13058445.6042757</v>
      </c>
      <c r="U16">
        <v>15006164.261776701</v>
      </c>
      <c r="V16">
        <v>15063113.593985001</v>
      </c>
      <c r="W16">
        <v>15606767.6210758</v>
      </c>
      <c r="X16">
        <v>15562726.3390582</v>
      </c>
      <c r="Y16">
        <v>16760178.024375301</v>
      </c>
      <c r="Z16">
        <v>16681553.533797801</v>
      </c>
      <c r="AA16">
        <v>16562605.3676598</v>
      </c>
      <c r="AB16">
        <v>17602204.177792698</v>
      </c>
      <c r="AC16">
        <v>19232430.515356101</v>
      </c>
      <c r="AD16">
        <v>18672864.731819998</v>
      </c>
      <c r="AE16">
        <v>17685916</v>
      </c>
      <c r="AF16">
        <v>18018333</v>
      </c>
    </row>
    <row r="17" spans="1:32" x14ac:dyDescent="0.3">
      <c r="A17" t="s">
        <v>36</v>
      </c>
      <c r="B17" t="s">
        <v>116</v>
      </c>
      <c r="C17" t="s">
        <v>86</v>
      </c>
      <c r="D17" t="s">
        <v>117</v>
      </c>
      <c r="E17" t="s">
        <v>87</v>
      </c>
      <c r="F17">
        <v>28073333.9347644</v>
      </c>
      <c r="G17">
        <v>29903519.0428642</v>
      </c>
      <c r="H17">
        <v>30849026.5274412</v>
      </c>
      <c r="I17">
        <v>28866183.755531099</v>
      </c>
      <c r="J17">
        <v>27402384.8511285</v>
      </c>
      <c r="K17">
        <v>29427439.056038301</v>
      </c>
      <c r="L17">
        <v>28322826.211323701</v>
      </c>
      <c r="M17">
        <v>25620810.640377302</v>
      </c>
      <c r="N17">
        <v>27372445.1737285</v>
      </c>
      <c r="O17">
        <v>30280104.858519599</v>
      </c>
      <c r="P17">
        <v>32596324.554914199</v>
      </c>
      <c r="Q17">
        <v>34770211.5406515</v>
      </c>
      <c r="R17">
        <v>36730878.706315801</v>
      </c>
      <c r="S17">
        <v>35722474.507380702</v>
      </c>
      <c r="T17">
        <v>24125289.170632198</v>
      </c>
      <c r="U17">
        <v>27598120.127227001</v>
      </c>
      <c r="V17">
        <v>30528808.257161699</v>
      </c>
      <c r="W17">
        <v>30497200.855861999</v>
      </c>
      <c r="X17">
        <v>28928431.0170951</v>
      </c>
      <c r="Y17">
        <v>29872900.569789</v>
      </c>
      <c r="Z17">
        <v>31278107.5432196</v>
      </c>
      <c r="AA17">
        <v>31293830.9102199</v>
      </c>
      <c r="AB17">
        <v>33822832.244465597</v>
      </c>
      <c r="AC17">
        <v>35607162.934830397</v>
      </c>
      <c r="AD17">
        <v>33898766.505646802</v>
      </c>
      <c r="AE17">
        <v>30304710</v>
      </c>
      <c r="AF17">
        <v>33933061</v>
      </c>
    </row>
    <row r="18" spans="1:32" x14ac:dyDescent="0.3">
      <c r="A18" t="s">
        <v>36</v>
      </c>
      <c r="B18" t="s">
        <v>118</v>
      </c>
      <c r="C18" t="s">
        <v>86</v>
      </c>
      <c r="D18" t="s">
        <v>119</v>
      </c>
      <c r="E18" t="s">
        <v>87</v>
      </c>
      <c r="F18">
        <v>39929167.517827801</v>
      </c>
      <c r="G18">
        <v>40132439.695286199</v>
      </c>
      <c r="H18">
        <v>41850930.567006998</v>
      </c>
      <c r="I18">
        <v>39106318.186707303</v>
      </c>
      <c r="J18">
        <v>39044016.703350797</v>
      </c>
      <c r="K18">
        <v>41723821.348630801</v>
      </c>
      <c r="L18">
        <v>42489063.035487801</v>
      </c>
      <c r="M18">
        <v>45501751.793145999</v>
      </c>
      <c r="N18">
        <v>47516309.061773501</v>
      </c>
      <c r="O18">
        <v>50515316.346430101</v>
      </c>
      <c r="P18">
        <v>54143519.540930398</v>
      </c>
      <c r="Q18">
        <v>57306051.458332598</v>
      </c>
      <c r="R18">
        <v>60884061.383656099</v>
      </c>
      <c r="S18">
        <v>61842320.839952298</v>
      </c>
      <c r="T18">
        <v>43491489.792836502</v>
      </c>
      <c r="U18">
        <v>53615891.051036201</v>
      </c>
      <c r="V18">
        <v>49692827.831096299</v>
      </c>
      <c r="W18">
        <v>53914190.657308899</v>
      </c>
      <c r="X18">
        <v>53978948.5638588</v>
      </c>
      <c r="Y18">
        <v>55197813.723421499</v>
      </c>
      <c r="Z18">
        <v>57428747.160893999</v>
      </c>
      <c r="AA18">
        <v>57734905.176134802</v>
      </c>
      <c r="AB18">
        <v>61041118.2486642</v>
      </c>
      <c r="AC18">
        <v>62197715.836235702</v>
      </c>
      <c r="AD18">
        <v>61437599.837915398</v>
      </c>
      <c r="AE18">
        <v>51313996</v>
      </c>
      <c r="AF18">
        <v>52138934</v>
      </c>
    </row>
    <row r="19" spans="1:32" x14ac:dyDescent="0.3">
      <c r="A19" t="s">
        <v>36</v>
      </c>
      <c r="B19" t="s">
        <v>120</v>
      </c>
      <c r="C19" t="s">
        <v>86</v>
      </c>
      <c r="D19" t="s">
        <v>121</v>
      </c>
      <c r="E19" t="s">
        <v>87</v>
      </c>
      <c r="F19">
        <v>7984463.0172939803</v>
      </c>
      <c r="G19">
        <v>8196991.4440010404</v>
      </c>
      <c r="H19">
        <v>8310556.27843743</v>
      </c>
      <c r="I19">
        <v>7969883.1051689303</v>
      </c>
      <c r="J19">
        <v>7602126.0588042</v>
      </c>
      <c r="K19">
        <v>7763626.1953093996</v>
      </c>
      <c r="L19">
        <v>7572137.2272211602</v>
      </c>
      <c r="M19">
        <v>7233201.8863661801</v>
      </c>
      <c r="N19">
        <v>6954257.1148083704</v>
      </c>
      <c r="O19">
        <v>6519193.3063197602</v>
      </c>
      <c r="P19">
        <v>6749813.2397157298</v>
      </c>
      <c r="Q19">
        <v>6637603.63386501</v>
      </c>
      <c r="R19">
        <v>6442656.5231873002</v>
      </c>
      <c r="S19">
        <v>6200133.0630578501</v>
      </c>
      <c r="T19">
        <v>4998131.7009523604</v>
      </c>
      <c r="U19">
        <v>5044184.4780498799</v>
      </c>
      <c r="V19">
        <v>5179737.1393515896</v>
      </c>
      <c r="W19">
        <v>5106808.9394228701</v>
      </c>
      <c r="X19">
        <v>5165163.4003060302</v>
      </c>
      <c r="Y19">
        <v>5220670.52551929</v>
      </c>
      <c r="Z19">
        <v>5338797.9641587203</v>
      </c>
      <c r="AA19">
        <v>5207755.24515115</v>
      </c>
      <c r="AB19">
        <v>5388991.61685762</v>
      </c>
      <c r="AC19">
        <v>5485551.9752095602</v>
      </c>
      <c r="AD19">
        <v>5516993.1299876897</v>
      </c>
      <c r="AE19">
        <v>5306969</v>
      </c>
      <c r="AF19">
        <v>6177891</v>
      </c>
    </row>
    <row r="20" spans="1:32" x14ac:dyDescent="0.3">
      <c r="A20" t="s">
        <v>36</v>
      </c>
      <c r="B20" t="s">
        <v>122</v>
      </c>
      <c r="C20" t="s">
        <v>86</v>
      </c>
      <c r="D20" t="s">
        <v>123</v>
      </c>
      <c r="E20" t="s">
        <v>87</v>
      </c>
      <c r="F20">
        <v>20132480.5266544</v>
      </c>
      <c r="G20">
        <v>20932288.6593615</v>
      </c>
      <c r="H20">
        <v>21305854.631479699</v>
      </c>
      <c r="I20">
        <v>21925947.671180699</v>
      </c>
      <c r="J20">
        <v>22437728.358507801</v>
      </c>
      <c r="K20">
        <v>22623859.202771202</v>
      </c>
      <c r="L20">
        <v>22884343.986805499</v>
      </c>
      <c r="M20">
        <v>22997295.044456501</v>
      </c>
      <c r="N20">
        <v>23060876.713699002</v>
      </c>
      <c r="O20">
        <v>23420453.042864401</v>
      </c>
      <c r="P20">
        <v>24196607.7480001</v>
      </c>
      <c r="Q20">
        <v>24049264.509211</v>
      </c>
      <c r="R20">
        <v>24677939.272888198</v>
      </c>
      <c r="S20">
        <v>24770478.188591599</v>
      </c>
      <c r="T20">
        <v>23359319.637391102</v>
      </c>
      <c r="U20">
        <v>24796901.939272601</v>
      </c>
      <c r="V20">
        <v>24035677.423593398</v>
      </c>
      <c r="W20">
        <v>23516941.5300682</v>
      </c>
      <c r="X20">
        <v>23045242.6717222</v>
      </c>
      <c r="Y20">
        <v>22777230.442368999</v>
      </c>
      <c r="Z20">
        <v>22240497.406445701</v>
      </c>
      <c r="AA20">
        <v>21720453.300533</v>
      </c>
      <c r="AB20">
        <v>22105478.2124383</v>
      </c>
      <c r="AC20">
        <v>22066412.274273001</v>
      </c>
      <c r="AD20">
        <v>21472417.310306702</v>
      </c>
      <c r="AE20">
        <v>20877743</v>
      </c>
      <c r="AF20">
        <v>21048571</v>
      </c>
    </row>
    <row r="21" spans="1:32" x14ac:dyDescent="0.3">
      <c r="A21" t="s">
        <v>36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36</v>
      </c>
      <c r="B22" t="s">
        <v>126</v>
      </c>
      <c r="C22" t="s">
        <v>86</v>
      </c>
      <c r="D22" t="s">
        <v>127</v>
      </c>
      <c r="E22" t="s">
        <v>87</v>
      </c>
      <c r="F22">
        <v>10229711.532264</v>
      </c>
      <c r="G22">
        <v>10594374.3799922</v>
      </c>
      <c r="H22">
        <v>10687641.4009193</v>
      </c>
      <c r="I22">
        <v>10970533.2842016</v>
      </c>
      <c r="J22">
        <v>11334961.0728205</v>
      </c>
      <c r="K22">
        <v>11225504.857738299</v>
      </c>
      <c r="L22">
        <v>11574643.819485901</v>
      </c>
      <c r="M22">
        <v>11671005.330731001</v>
      </c>
      <c r="N22">
        <v>11728854.413543301</v>
      </c>
      <c r="O22">
        <v>11716780.079553301</v>
      </c>
      <c r="P22">
        <v>11758924.471709499</v>
      </c>
      <c r="Q22">
        <v>11648128.892104199</v>
      </c>
      <c r="R22">
        <v>11694488.686130401</v>
      </c>
      <c r="S22">
        <v>11539421.487632699</v>
      </c>
      <c r="T22">
        <v>11452626.491671899</v>
      </c>
      <c r="U22">
        <v>11264337.3516993</v>
      </c>
      <c r="V22">
        <v>11394032.954066399</v>
      </c>
      <c r="W22">
        <v>11467247.637536701</v>
      </c>
      <c r="X22">
        <v>11583997.389920199</v>
      </c>
      <c r="Y22">
        <v>11904137.130136199</v>
      </c>
      <c r="Z22">
        <v>12227896.0219927</v>
      </c>
      <c r="AA22">
        <v>12485658.5320052</v>
      </c>
      <c r="AB22">
        <v>12864480.9067632</v>
      </c>
      <c r="AC22">
        <v>12992978.7498703</v>
      </c>
      <c r="AD22">
        <v>13142527.094124399</v>
      </c>
      <c r="AE22">
        <v>13343152</v>
      </c>
      <c r="AF22">
        <v>13583712</v>
      </c>
    </row>
    <row r="23" spans="1:32" x14ac:dyDescent="0.3">
      <c r="A23" t="s">
        <v>36</v>
      </c>
      <c r="B23" t="s">
        <v>128</v>
      </c>
      <c r="C23" t="s">
        <v>86</v>
      </c>
      <c r="D23" t="s">
        <v>129</v>
      </c>
      <c r="E23" t="s">
        <v>87</v>
      </c>
      <c r="F23">
        <v>102315620.6372</v>
      </c>
      <c r="G23">
        <v>106823851.537137</v>
      </c>
      <c r="H23">
        <v>99649475.632488504</v>
      </c>
      <c r="I23">
        <v>95547446.008166298</v>
      </c>
      <c r="J23">
        <v>93281308.080163896</v>
      </c>
      <c r="K23">
        <v>90713004.663292199</v>
      </c>
      <c r="L23">
        <v>87062078.504540697</v>
      </c>
      <c r="M23">
        <v>82791393.406021401</v>
      </c>
      <c r="N23">
        <v>79177473.374368802</v>
      </c>
      <c r="O23">
        <v>76295235.003723606</v>
      </c>
      <c r="P23">
        <v>74457127.403876796</v>
      </c>
      <c r="Q23">
        <v>72715312.550790504</v>
      </c>
      <c r="R23">
        <v>67577231.396199003</v>
      </c>
      <c r="S23">
        <v>63162005.736373797</v>
      </c>
      <c r="T23">
        <v>59708461.894853801</v>
      </c>
      <c r="U23">
        <v>57406181.624523401</v>
      </c>
      <c r="V23">
        <v>59432576.865866497</v>
      </c>
      <c r="W23">
        <v>60143470.413267501</v>
      </c>
      <c r="X23">
        <v>64759687.269929603</v>
      </c>
      <c r="Y23">
        <v>63665650.032224998</v>
      </c>
      <c r="Z23">
        <v>64453864.034117997</v>
      </c>
      <c r="AA23">
        <v>67103343.8820384</v>
      </c>
      <c r="AB23">
        <v>68191107.893522307</v>
      </c>
      <c r="AC23">
        <v>67833626.877652794</v>
      </c>
      <c r="AD23">
        <v>67696677.871444494</v>
      </c>
      <c r="AE23">
        <v>66247183</v>
      </c>
      <c r="AF23">
        <v>64468731</v>
      </c>
    </row>
    <row r="24" spans="1:32" x14ac:dyDescent="0.3">
      <c r="A24" t="s">
        <v>36</v>
      </c>
      <c r="B24" t="s">
        <v>130</v>
      </c>
      <c r="C24" t="s">
        <v>86</v>
      </c>
      <c r="D24" t="s">
        <v>131</v>
      </c>
      <c r="E24" t="s">
        <v>87</v>
      </c>
      <c r="F24">
        <v>111379596.992614</v>
      </c>
      <c r="G24">
        <v>114613844.49042299</v>
      </c>
      <c r="H24">
        <v>117092456.862873</v>
      </c>
      <c r="I24">
        <v>114769190.030542</v>
      </c>
      <c r="J24">
        <v>116175251.388458</v>
      </c>
      <c r="K24">
        <v>115155016.37808201</v>
      </c>
      <c r="L24">
        <v>118126482.552552</v>
      </c>
      <c r="M24">
        <v>120011040.41448601</v>
      </c>
      <c r="N24">
        <v>121983673.12828</v>
      </c>
      <c r="O24">
        <v>126007953.67759299</v>
      </c>
      <c r="P24">
        <v>131028260.920215</v>
      </c>
      <c r="Q24">
        <v>127503228.292652</v>
      </c>
      <c r="R24">
        <v>124950272.263089</v>
      </c>
      <c r="S24">
        <v>123436893.815716</v>
      </c>
      <c r="T24">
        <v>115310689.953771</v>
      </c>
      <c r="U24">
        <v>119729526.360221</v>
      </c>
      <c r="V24">
        <v>120459419.985268</v>
      </c>
      <c r="W24">
        <v>122927927.92377999</v>
      </c>
      <c r="X24">
        <v>125646419.367934</v>
      </c>
      <c r="Y24">
        <v>120795957.451796</v>
      </c>
      <c r="Z24">
        <v>121573517.185247</v>
      </c>
      <c r="AA24">
        <v>121510898.61473601</v>
      </c>
      <c r="AB24">
        <v>124195521.425578</v>
      </c>
      <c r="AC24">
        <v>123849368.336705</v>
      </c>
      <c r="AD24">
        <v>121478306.09937701</v>
      </c>
      <c r="AE24">
        <v>118954694</v>
      </c>
      <c r="AF24">
        <v>124995747</v>
      </c>
    </row>
    <row r="25" spans="1:32" x14ac:dyDescent="0.3">
      <c r="A25" t="s">
        <v>36</v>
      </c>
      <c r="B25" t="s">
        <v>132</v>
      </c>
      <c r="C25" t="s">
        <v>86</v>
      </c>
      <c r="D25" t="s">
        <v>133</v>
      </c>
      <c r="E25" t="s">
        <v>87</v>
      </c>
      <c r="F25">
        <v>8945495.1254280806</v>
      </c>
      <c r="G25">
        <v>9671672.7721955199</v>
      </c>
      <c r="H25">
        <v>10235711.056718901</v>
      </c>
      <c r="I25">
        <v>10133832.868829001</v>
      </c>
      <c r="J25">
        <v>10778504.928035101</v>
      </c>
      <c r="K25">
        <v>11511662.523244901</v>
      </c>
      <c r="L25">
        <v>10587147.4863261</v>
      </c>
      <c r="M25">
        <v>10418347.160083201</v>
      </c>
      <c r="N25">
        <v>10630490.6256625</v>
      </c>
      <c r="O25">
        <v>10862604.703724699</v>
      </c>
      <c r="P25">
        <v>10871219.885363201</v>
      </c>
      <c r="Q25">
        <v>10000727.6128658</v>
      </c>
      <c r="R25">
        <v>9014199.8916458692</v>
      </c>
      <c r="S25">
        <v>7548178.9514454799</v>
      </c>
      <c r="T25">
        <v>5762020.7152072098</v>
      </c>
      <c r="U25">
        <v>5648193.2633466003</v>
      </c>
      <c r="V25">
        <v>4562014.04177255</v>
      </c>
      <c r="W25">
        <v>4837576.2806236297</v>
      </c>
      <c r="X25">
        <v>5138239.3305811305</v>
      </c>
      <c r="Y25">
        <v>5587860.2158698495</v>
      </c>
      <c r="Z25">
        <v>5815900.9384585004</v>
      </c>
      <c r="AA25">
        <v>5989144.8163462104</v>
      </c>
      <c r="AB25">
        <v>6417984.7044485202</v>
      </c>
      <c r="AC25">
        <v>6394063.1311874101</v>
      </c>
      <c r="AD25">
        <v>6296449.0722540095</v>
      </c>
      <c r="AE25">
        <v>6111172</v>
      </c>
      <c r="AF25">
        <v>5807504</v>
      </c>
    </row>
    <row r="26" spans="1:32" x14ac:dyDescent="0.3">
      <c r="A26" t="s">
        <v>36</v>
      </c>
      <c r="B26" t="s">
        <v>134</v>
      </c>
      <c r="C26" t="s">
        <v>86</v>
      </c>
      <c r="D26" t="s">
        <v>135</v>
      </c>
      <c r="E26" t="s">
        <v>87</v>
      </c>
      <c r="F26">
        <v>62595381.165398598</v>
      </c>
      <c r="G26">
        <v>64714158.541373499</v>
      </c>
      <c r="H26">
        <v>67894782.5476394</v>
      </c>
      <c r="I26">
        <v>66918834.676537201</v>
      </c>
      <c r="J26">
        <v>67937679.321174502</v>
      </c>
      <c r="K26">
        <v>66034885.789407298</v>
      </c>
      <c r="L26">
        <v>67735943.182046205</v>
      </c>
      <c r="M26">
        <v>68476944.024887696</v>
      </c>
      <c r="N26">
        <v>69225735.267563</v>
      </c>
      <c r="O26">
        <v>73275321.174307197</v>
      </c>
      <c r="P26">
        <v>80212099.034839094</v>
      </c>
      <c r="Q26">
        <v>77935939.271127507</v>
      </c>
      <c r="R26">
        <v>74087916.991453394</v>
      </c>
      <c r="S26">
        <v>72921230.315375805</v>
      </c>
      <c r="T26">
        <v>62961857.627032802</v>
      </c>
      <c r="U26">
        <v>65075136.913808197</v>
      </c>
      <c r="V26">
        <v>65885108.1430602</v>
      </c>
      <c r="W26">
        <v>64770360.677465104</v>
      </c>
      <c r="X26">
        <v>63688293.058183603</v>
      </c>
      <c r="Y26">
        <v>57474974.527727798</v>
      </c>
      <c r="Z26">
        <v>55969878.120632</v>
      </c>
      <c r="AA26">
        <v>56249987.818915501</v>
      </c>
      <c r="AB26">
        <v>58753919.636160299</v>
      </c>
      <c r="AC26">
        <v>58580855.728007801</v>
      </c>
      <c r="AD26">
        <v>55309467.973480999</v>
      </c>
      <c r="AE26">
        <v>52547296</v>
      </c>
      <c r="AF26">
        <v>57593821</v>
      </c>
    </row>
    <row r="27" spans="1:32" x14ac:dyDescent="0.3">
      <c r="A27" t="s">
        <v>36</v>
      </c>
      <c r="B27" t="s">
        <v>136</v>
      </c>
      <c r="C27" t="s">
        <v>86</v>
      </c>
      <c r="D27" t="s">
        <v>137</v>
      </c>
      <c r="E27" t="s">
        <v>87</v>
      </c>
      <c r="F27">
        <v>39898551.250857301</v>
      </c>
      <c r="G27">
        <v>40328461.534729399</v>
      </c>
      <c r="H27">
        <v>39205277.907745004</v>
      </c>
      <c r="I27">
        <v>37986690.686718799</v>
      </c>
      <c r="J27">
        <v>37783339.209488802</v>
      </c>
      <c r="K27">
        <v>37885161.765545197</v>
      </c>
      <c r="L27">
        <v>39988243.768553302</v>
      </c>
      <c r="M27">
        <v>41251041.503287397</v>
      </c>
      <c r="N27">
        <v>42239221.022803701</v>
      </c>
      <c r="O27">
        <v>42098738.318543904</v>
      </c>
      <c r="P27">
        <v>40360531.245271303</v>
      </c>
      <c r="Q27">
        <v>39927193.831565499</v>
      </c>
      <c r="R27">
        <v>42087434.448727302</v>
      </c>
      <c r="S27">
        <v>43117356.2083188</v>
      </c>
      <c r="T27">
        <v>46661136.2250176</v>
      </c>
      <c r="U27">
        <v>49061066.455340199</v>
      </c>
      <c r="V27">
        <v>50028694.8525896</v>
      </c>
      <c r="W27">
        <v>53349763.667780504</v>
      </c>
      <c r="X27">
        <v>56845654.581326403</v>
      </c>
      <c r="Y27">
        <v>57792822.091399103</v>
      </c>
      <c r="Z27">
        <v>59859466.547076099</v>
      </c>
      <c r="AA27">
        <v>59351697.7899004</v>
      </c>
      <c r="AB27">
        <v>59136943.393285803</v>
      </c>
      <c r="AC27">
        <v>58987056.545695998</v>
      </c>
      <c r="AD27">
        <v>59914011.515113696</v>
      </c>
      <c r="AE27">
        <v>60296226</v>
      </c>
      <c r="AF27">
        <v>61594422</v>
      </c>
    </row>
    <row r="28" spans="1:32" x14ac:dyDescent="0.3">
      <c r="A28" t="s">
        <v>36</v>
      </c>
      <c r="B28" t="s">
        <v>138</v>
      </c>
      <c r="C28" t="s">
        <v>86</v>
      </c>
      <c r="D28" t="s">
        <v>139</v>
      </c>
      <c r="E28" t="s">
        <v>87</v>
      </c>
      <c r="F28">
        <v>50505456.060832798</v>
      </c>
      <c r="G28">
        <v>47588760.992544897</v>
      </c>
      <c r="H28">
        <v>47773825.052641302</v>
      </c>
      <c r="I28">
        <v>46722258.439100496</v>
      </c>
      <c r="J28">
        <v>46056468.363056503</v>
      </c>
      <c r="K28">
        <v>46242203.978670098</v>
      </c>
      <c r="L28">
        <v>46422510.704149403</v>
      </c>
      <c r="M28">
        <v>46820344.612468697</v>
      </c>
      <c r="N28">
        <v>47861493.953212097</v>
      </c>
      <c r="O28">
        <v>49338291.878841601</v>
      </c>
      <c r="P28">
        <v>49693333.897541702</v>
      </c>
      <c r="Q28">
        <v>50818409.542169698</v>
      </c>
      <c r="R28">
        <v>51993317.804659598</v>
      </c>
      <c r="S28">
        <v>51091628.412998602</v>
      </c>
      <c r="T28">
        <v>46207274.391561203</v>
      </c>
      <c r="U28">
        <v>46732378.670038998</v>
      </c>
      <c r="V28">
        <v>45544528.0594467</v>
      </c>
      <c r="W28">
        <v>47506958.984972998</v>
      </c>
      <c r="X28">
        <v>47862840.563061498</v>
      </c>
      <c r="Y28">
        <v>49134597.398959003</v>
      </c>
      <c r="Z28">
        <v>49444264.513280898</v>
      </c>
      <c r="AA28">
        <v>49362394.559683397</v>
      </c>
      <c r="AB28">
        <v>50426131.844944403</v>
      </c>
      <c r="AC28">
        <v>49363030.7978727</v>
      </c>
      <c r="AD28">
        <v>48876962.075949997</v>
      </c>
      <c r="AE28">
        <v>37750207</v>
      </c>
      <c r="AF28">
        <v>37717987</v>
      </c>
    </row>
    <row r="29" spans="1:32" x14ac:dyDescent="0.3">
      <c r="A29" t="s">
        <v>36</v>
      </c>
      <c r="B29" t="s">
        <v>140</v>
      </c>
      <c r="C29" t="s">
        <v>86</v>
      </c>
      <c r="D29" t="s">
        <v>141</v>
      </c>
      <c r="E29" t="s">
        <v>87</v>
      </c>
      <c r="F29">
        <v>32518599.227311499</v>
      </c>
      <c r="G29">
        <v>30240352.791270901</v>
      </c>
      <c r="H29">
        <v>30059960.5141083</v>
      </c>
      <c r="I29">
        <v>29004046.951729</v>
      </c>
      <c r="J29">
        <v>29013697.991075899</v>
      </c>
      <c r="K29">
        <v>29959486.127453599</v>
      </c>
      <c r="L29">
        <v>30072197.207180899</v>
      </c>
      <c r="M29">
        <v>30301932.149567701</v>
      </c>
      <c r="N29">
        <v>31243076.604340799</v>
      </c>
      <c r="O29">
        <v>31985448.616110701</v>
      </c>
      <c r="P29">
        <v>31602132.989649799</v>
      </c>
      <c r="Q29">
        <v>32024828.358714402</v>
      </c>
      <c r="R29">
        <v>32594083.656018998</v>
      </c>
      <c r="S29">
        <v>32108884.2167276</v>
      </c>
      <c r="T29">
        <v>29692378.942615401</v>
      </c>
      <c r="U29">
        <v>29262777.5710967</v>
      </c>
      <c r="V29">
        <v>28323347.294745602</v>
      </c>
      <c r="W29">
        <v>29336518.594288498</v>
      </c>
      <c r="X29">
        <v>29560418.179313101</v>
      </c>
      <c r="Y29">
        <v>30184801.905599602</v>
      </c>
      <c r="Z29">
        <v>30055484.666140899</v>
      </c>
      <c r="AA29">
        <v>30352510.372018401</v>
      </c>
      <c r="AB29">
        <v>31020027.7671884</v>
      </c>
      <c r="AC29">
        <v>30931642.543613799</v>
      </c>
      <c r="AD29">
        <v>31139670.5136756</v>
      </c>
      <c r="AE29">
        <v>24751447</v>
      </c>
      <c r="AF29">
        <v>25726734</v>
      </c>
    </row>
    <row r="30" spans="1:32" x14ac:dyDescent="0.3">
      <c r="A30" t="s">
        <v>36</v>
      </c>
      <c r="B30" t="s">
        <v>142</v>
      </c>
      <c r="C30" t="s">
        <v>86</v>
      </c>
      <c r="D30" t="s">
        <v>143</v>
      </c>
      <c r="E30" t="s">
        <v>87</v>
      </c>
      <c r="F30">
        <v>5143456.2413340202</v>
      </c>
      <c r="G30">
        <v>4366865.64704681</v>
      </c>
      <c r="H30">
        <v>4785429.2382026697</v>
      </c>
      <c r="I30">
        <v>5108815.0286580101</v>
      </c>
      <c r="J30">
        <v>4750977.05288966</v>
      </c>
      <c r="K30">
        <v>4389299.7722115396</v>
      </c>
      <c r="L30">
        <v>4541222.2901750999</v>
      </c>
      <c r="M30">
        <v>4538272.7700901302</v>
      </c>
      <c r="N30">
        <v>4636065.6656552404</v>
      </c>
      <c r="O30">
        <v>4786252.1778543303</v>
      </c>
      <c r="P30">
        <v>5164528.5449637398</v>
      </c>
      <c r="Q30">
        <v>5533954.3799652001</v>
      </c>
      <c r="R30">
        <v>5911038.3194824904</v>
      </c>
      <c r="S30">
        <v>5924860.2317091096</v>
      </c>
      <c r="T30">
        <v>4568257.70750352</v>
      </c>
      <c r="U30">
        <v>5353334.6765599297</v>
      </c>
      <c r="V30">
        <v>5325556.0627989303</v>
      </c>
      <c r="W30">
        <v>5522346.4117920203</v>
      </c>
      <c r="X30">
        <v>5395280.8071006397</v>
      </c>
      <c r="Y30">
        <v>5661102.7831425704</v>
      </c>
      <c r="Z30">
        <v>5572595.2422342198</v>
      </c>
      <c r="AA30">
        <v>5154618.18176152</v>
      </c>
      <c r="AB30">
        <v>5306263.3400139399</v>
      </c>
      <c r="AC30">
        <v>4505237.4882631702</v>
      </c>
      <c r="AD30">
        <v>4058726.8734327098</v>
      </c>
      <c r="AE30">
        <v>4152848</v>
      </c>
      <c r="AF30">
        <v>4938423</v>
      </c>
    </row>
    <row r="31" spans="1:32" x14ac:dyDescent="0.3">
      <c r="A31" t="s">
        <v>36</v>
      </c>
      <c r="B31" t="s">
        <v>144</v>
      </c>
      <c r="C31" t="s">
        <v>86</v>
      </c>
      <c r="D31" t="s">
        <v>145</v>
      </c>
      <c r="E31" t="s">
        <v>87</v>
      </c>
      <c r="F31">
        <v>6707196.3139040498</v>
      </c>
      <c r="G31">
        <v>7195079.7687100898</v>
      </c>
      <c r="H31">
        <v>7301341.9578124899</v>
      </c>
      <c r="I31">
        <v>7194367.7848813003</v>
      </c>
      <c r="J31">
        <v>7334594.7066126</v>
      </c>
      <c r="K31">
        <v>7538225.8111501997</v>
      </c>
      <c r="L31">
        <v>7206609.7705688402</v>
      </c>
      <c r="M31">
        <v>7325420.5505292704</v>
      </c>
      <c r="N31">
        <v>7219534.1411353201</v>
      </c>
      <c r="O31">
        <v>7534649.8643378401</v>
      </c>
      <c r="P31">
        <v>7562971.3713449398</v>
      </c>
      <c r="Q31">
        <v>7833222.7657890599</v>
      </c>
      <c r="R31">
        <v>8015131.50235934</v>
      </c>
      <c r="S31">
        <v>7493445.0704859896</v>
      </c>
      <c r="T31">
        <v>6875431.6380638797</v>
      </c>
      <c r="U31">
        <v>6580650.8141847802</v>
      </c>
      <c r="V31">
        <v>6223782.6488392698</v>
      </c>
      <c r="W31">
        <v>6313520.7989684101</v>
      </c>
      <c r="X31">
        <v>6622294.3688915903</v>
      </c>
      <c r="Y31">
        <v>6790386.90062714</v>
      </c>
      <c r="Z31">
        <v>7196048.1297193896</v>
      </c>
      <c r="AA31">
        <v>7404753.9193643099</v>
      </c>
      <c r="AB31">
        <v>7571222.2972843796</v>
      </c>
      <c r="AC31">
        <v>7517904.4932163199</v>
      </c>
      <c r="AD31">
        <v>7433189.3803766398</v>
      </c>
      <c r="AE31">
        <v>2097665</v>
      </c>
      <c r="AF31">
        <v>820419</v>
      </c>
    </row>
    <row r="32" spans="1:32" x14ac:dyDescent="0.3">
      <c r="A32" t="s">
        <v>36</v>
      </c>
      <c r="B32" t="s">
        <v>146</v>
      </c>
      <c r="C32" t="s">
        <v>86</v>
      </c>
      <c r="D32" t="s">
        <v>147</v>
      </c>
      <c r="E32" t="s">
        <v>87</v>
      </c>
      <c r="F32">
        <v>5536448.0818708204</v>
      </c>
      <c r="G32">
        <v>5465263.8242053799</v>
      </c>
      <c r="H32">
        <v>5273892.4388440801</v>
      </c>
      <c r="I32">
        <v>4991612.1255237497</v>
      </c>
      <c r="J32">
        <v>4663839.60567996</v>
      </c>
      <c r="K32">
        <v>4165524.7494505001</v>
      </c>
      <c r="L32">
        <v>4259330.5283167902</v>
      </c>
      <c r="M32">
        <v>4419467.3269897001</v>
      </c>
      <c r="N32">
        <v>4516489.8498714697</v>
      </c>
      <c r="O32">
        <v>4942572.7781587699</v>
      </c>
      <c r="P32">
        <v>5229449.8336386401</v>
      </c>
      <c r="Q32">
        <v>5308671.3485250399</v>
      </c>
      <c r="R32">
        <v>5323626.4731367603</v>
      </c>
      <c r="S32">
        <v>5215124.1008845503</v>
      </c>
      <c r="T32">
        <v>4991626.1680840496</v>
      </c>
      <c r="U32">
        <v>5207579.2470990801</v>
      </c>
      <c r="V32">
        <v>5226216.1512659499</v>
      </c>
      <c r="W32">
        <v>5952183.7075037602</v>
      </c>
      <c r="X32">
        <v>6045032.1284194998</v>
      </c>
      <c r="Y32">
        <v>6301545.4915458905</v>
      </c>
      <c r="Z32">
        <v>6608263.5717762904</v>
      </c>
      <c r="AA32">
        <v>6615905.8443201398</v>
      </c>
      <c r="AB32">
        <v>6729160.6577827102</v>
      </c>
      <c r="AC32">
        <v>6678433.81321768</v>
      </c>
      <c r="AD32">
        <v>6539214.60487366</v>
      </c>
      <c r="AE32">
        <v>4765775</v>
      </c>
      <c r="AF32">
        <v>4289976</v>
      </c>
    </row>
    <row r="33" spans="1:32" x14ac:dyDescent="0.3">
      <c r="A33" t="s">
        <v>36</v>
      </c>
      <c r="B33" t="s">
        <v>148</v>
      </c>
      <c r="C33" t="s">
        <v>86</v>
      </c>
      <c r="D33" t="s">
        <v>149</v>
      </c>
      <c r="E33" t="s">
        <v>87</v>
      </c>
      <c r="F33">
        <v>2352063.7429398498</v>
      </c>
      <c r="G33">
        <v>2429986.0203906102</v>
      </c>
      <c r="H33">
        <v>2437792.5365963802</v>
      </c>
      <c r="I33">
        <v>2413511.24165197</v>
      </c>
      <c r="J33">
        <v>2392471.09491634</v>
      </c>
      <c r="K33">
        <v>2391992.93696472</v>
      </c>
      <c r="L33">
        <v>2374524.6687626499</v>
      </c>
      <c r="M33">
        <v>2320949.2082760599</v>
      </c>
      <c r="N33">
        <v>2255209.3285538098</v>
      </c>
      <c r="O33">
        <v>2211618.8744693198</v>
      </c>
      <c r="P33">
        <v>2191207.53588492</v>
      </c>
      <c r="Q33">
        <v>2195468.9623313099</v>
      </c>
      <c r="R33">
        <v>2191794.2640553</v>
      </c>
      <c r="S33">
        <v>2150778.8985305298</v>
      </c>
      <c r="T33">
        <v>2103373.1185001801</v>
      </c>
      <c r="U33">
        <v>2058352.7567709701</v>
      </c>
      <c r="V33">
        <v>2033108.084696</v>
      </c>
      <c r="W33">
        <v>1985048.46705211</v>
      </c>
      <c r="X33">
        <v>1990621.2701431401</v>
      </c>
      <c r="Y33">
        <v>1960683.7350971799</v>
      </c>
      <c r="Z33">
        <v>1981362.88134191</v>
      </c>
      <c r="AA33">
        <v>1993069.80344526</v>
      </c>
      <c r="AB33">
        <v>2001455.59911547</v>
      </c>
      <c r="AC33">
        <v>2034669.35430457</v>
      </c>
      <c r="AD33">
        <v>2044981.0862170199</v>
      </c>
      <c r="AE33">
        <v>1982472</v>
      </c>
      <c r="AF33">
        <v>1942435</v>
      </c>
    </row>
    <row r="34" spans="1:32" x14ac:dyDescent="0.3">
      <c r="A34" t="s">
        <v>36</v>
      </c>
      <c r="B34" t="s">
        <v>150</v>
      </c>
      <c r="C34" t="s">
        <v>86</v>
      </c>
      <c r="D34" t="s">
        <v>151</v>
      </c>
      <c r="E34" t="s">
        <v>87</v>
      </c>
      <c r="F34">
        <v>39062295.110608503</v>
      </c>
      <c r="G34">
        <v>40472110.250442103</v>
      </c>
      <c r="H34">
        <v>40430519.868227698</v>
      </c>
      <c r="I34">
        <v>40516055.452503897</v>
      </c>
      <c r="J34">
        <v>40593145.8057134</v>
      </c>
      <c r="K34">
        <v>40344987.356192</v>
      </c>
      <c r="L34">
        <v>40334098.207172103</v>
      </c>
      <c r="M34">
        <v>39416799.7038339</v>
      </c>
      <c r="N34">
        <v>38059339.832795396</v>
      </c>
      <c r="O34">
        <v>36906182.609615304</v>
      </c>
      <c r="P34">
        <v>36359551.678321302</v>
      </c>
      <c r="Q34">
        <v>36142547.457011402</v>
      </c>
      <c r="R34">
        <v>36370183.472597897</v>
      </c>
      <c r="S34">
        <v>35364086.786332697</v>
      </c>
      <c r="T34">
        <v>33737121.9320601</v>
      </c>
      <c r="U34">
        <v>33510950.987512998</v>
      </c>
      <c r="V34">
        <v>32454317.419011999</v>
      </c>
      <c r="W34">
        <v>32930703.941617101</v>
      </c>
      <c r="X34">
        <v>32998598.937992401</v>
      </c>
      <c r="Y34">
        <v>32872309.661387101</v>
      </c>
      <c r="Z34">
        <v>32929025.6760014</v>
      </c>
      <c r="AA34">
        <v>32940326.693858601</v>
      </c>
      <c r="AB34">
        <v>33050747.501472998</v>
      </c>
      <c r="AC34">
        <v>32355821.324263599</v>
      </c>
      <c r="AD34">
        <v>31763518.0088659</v>
      </c>
      <c r="AE34">
        <v>22955669</v>
      </c>
      <c r="AF34">
        <v>20283629</v>
      </c>
    </row>
    <row r="35" spans="1:32" x14ac:dyDescent="0.3">
      <c r="A35" t="s">
        <v>36</v>
      </c>
      <c r="B35" t="s">
        <v>152</v>
      </c>
      <c r="C35" t="s">
        <v>86</v>
      </c>
      <c r="D35" t="s">
        <v>153</v>
      </c>
      <c r="E35" t="s">
        <v>87</v>
      </c>
      <c r="F35">
        <v>21161989.6451541</v>
      </c>
      <c r="G35">
        <v>24569451.347818401</v>
      </c>
      <c r="H35">
        <v>27631674.613124002</v>
      </c>
      <c r="I35">
        <v>30873835.709414098</v>
      </c>
      <c r="J35">
        <v>33904390.423793398</v>
      </c>
      <c r="K35">
        <v>37558006.345678002</v>
      </c>
      <c r="L35">
        <v>40700648.792192802</v>
      </c>
      <c r="M35">
        <v>42448825.7095403</v>
      </c>
      <c r="N35">
        <v>43500202.477435201</v>
      </c>
      <c r="O35">
        <v>43576341.2746372</v>
      </c>
      <c r="P35">
        <v>44039214.712255903</v>
      </c>
      <c r="Q35">
        <v>45277380.085764498</v>
      </c>
      <c r="R35">
        <v>46269395.230030499</v>
      </c>
      <c r="S35">
        <v>46635263.800535098</v>
      </c>
      <c r="T35">
        <v>45702068.949749701</v>
      </c>
      <c r="U35">
        <v>46200864.986782297</v>
      </c>
      <c r="V35">
        <v>46438254.217670903</v>
      </c>
      <c r="W35">
        <v>47956410.545839101</v>
      </c>
      <c r="X35">
        <v>49738022.567041703</v>
      </c>
      <c r="Y35">
        <v>50671290.654389597</v>
      </c>
      <c r="Z35">
        <v>52728960.229910403</v>
      </c>
      <c r="AA35">
        <v>53528576.581707299</v>
      </c>
      <c r="AB35">
        <v>54100651.551699601</v>
      </c>
      <c r="AC35">
        <v>55675738.496511698</v>
      </c>
      <c r="AD35">
        <v>56449462.729882799</v>
      </c>
      <c r="AE35">
        <v>56084998</v>
      </c>
      <c r="AF35">
        <v>56850931</v>
      </c>
    </row>
    <row r="36" spans="1:32" x14ac:dyDescent="0.3">
      <c r="A36" t="s">
        <v>36</v>
      </c>
      <c r="B36" t="s">
        <v>154</v>
      </c>
      <c r="C36" t="s">
        <v>86</v>
      </c>
      <c r="D36" t="s">
        <v>155</v>
      </c>
      <c r="E36" t="s">
        <v>87</v>
      </c>
      <c r="F36">
        <v>10454853.706177499</v>
      </c>
      <c r="G36">
        <v>11029923.006477101</v>
      </c>
      <c r="H36">
        <v>11169359.500452301</v>
      </c>
      <c r="I36">
        <v>11388688.8679207</v>
      </c>
      <c r="J36">
        <v>11310141.8406177</v>
      </c>
      <c r="K36">
        <v>11802710.837017</v>
      </c>
      <c r="L36">
        <v>11947886.161970399</v>
      </c>
      <c r="M36">
        <v>12115122.887390001</v>
      </c>
      <c r="N36">
        <v>12309059.8995515</v>
      </c>
      <c r="O36">
        <v>12485855.2897787</v>
      </c>
      <c r="P36">
        <v>12583507.793761499</v>
      </c>
      <c r="Q36">
        <v>12440113.1035497</v>
      </c>
      <c r="R36">
        <v>12278052.0266323</v>
      </c>
      <c r="S36">
        <v>12127174.1681528</v>
      </c>
      <c r="T36">
        <v>11861452.1353235</v>
      </c>
      <c r="U36">
        <v>11672574.3201146</v>
      </c>
      <c r="V36">
        <v>11370723.5296857</v>
      </c>
      <c r="W36">
        <v>11704671.984547799</v>
      </c>
      <c r="X36">
        <v>11896863.766903499</v>
      </c>
      <c r="Y36">
        <v>11956421.600067001</v>
      </c>
      <c r="Z36">
        <v>12468784.631004799</v>
      </c>
      <c r="AA36">
        <v>12224894.162711499</v>
      </c>
      <c r="AB36">
        <v>12051520.8485462</v>
      </c>
      <c r="AC36">
        <v>12172706.1105469</v>
      </c>
      <c r="AD36">
        <v>12252533.716003601</v>
      </c>
      <c r="AE36">
        <v>11392733</v>
      </c>
      <c r="AF36">
        <v>11089707</v>
      </c>
    </row>
    <row r="37" spans="1:32" x14ac:dyDescent="0.3">
      <c r="A37" t="s">
        <v>36</v>
      </c>
      <c r="B37" t="s">
        <v>156</v>
      </c>
      <c r="C37" t="s">
        <v>86</v>
      </c>
      <c r="D37" t="s">
        <v>157</v>
      </c>
      <c r="E37" t="s">
        <v>87</v>
      </c>
      <c r="F37">
        <v>5050898.0621066801</v>
      </c>
      <c r="G37">
        <v>6278005.4801810198</v>
      </c>
      <c r="H37">
        <v>7762101.5580561198</v>
      </c>
      <c r="I37">
        <v>8679630.5789990202</v>
      </c>
      <c r="J37">
        <v>10328766.401660699</v>
      </c>
      <c r="K37">
        <v>11921113.694811599</v>
      </c>
      <c r="L37">
        <v>12991080.093315201</v>
      </c>
      <c r="M37">
        <v>13403894.2827217</v>
      </c>
      <c r="N37">
        <v>13532369.627699699</v>
      </c>
      <c r="O37">
        <v>13060415.0270664</v>
      </c>
      <c r="P37">
        <v>12916537.411266601</v>
      </c>
      <c r="Q37">
        <v>13726875.5553068</v>
      </c>
      <c r="R37">
        <v>14355676.713952299</v>
      </c>
      <c r="S37">
        <v>14433191.584855501</v>
      </c>
      <c r="T37">
        <v>14505796.031124</v>
      </c>
      <c r="U37">
        <v>15393490.7939447</v>
      </c>
      <c r="V37">
        <v>16227913.3943149</v>
      </c>
      <c r="W37">
        <v>16789271.172626302</v>
      </c>
      <c r="X37">
        <v>17735197.201632101</v>
      </c>
      <c r="Y37">
        <v>18265877.920164801</v>
      </c>
      <c r="Z37">
        <v>19229698.885974701</v>
      </c>
      <c r="AA37">
        <v>20065179.439777199</v>
      </c>
      <c r="AB37">
        <v>20332048.715623599</v>
      </c>
      <c r="AC37">
        <v>21679402.954574499</v>
      </c>
      <c r="AD37">
        <v>21886935.756868199</v>
      </c>
      <c r="AE37">
        <v>22704802</v>
      </c>
      <c r="AF37">
        <v>23088146</v>
      </c>
    </row>
    <row r="38" spans="1:32" x14ac:dyDescent="0.3">
      <c r="A38" t="s">
        <v>36</v>
      </c>
      <c r="B38" t="s">
        <v>158</v>
      </c>
      <c r="C38" t="s">
        <v>86</v>
      </c>
      <c r="D38" t="s">
        <v>159</v>
      </c>
      <c r="E38" t="s">
        <v>87</v>
      </c>
      <c r="F38">
        <v>7179535.8646016</v>
      </c>
      <c r="G38">
        <v>8577892.7448616792</v>
      </c>
      <c r="H38">
        <v>9530517.0936011393</v>
      </c>
      <c r="I38">
        <v>11675303.3495294</v>
      </c>
      <c r="J38">
        <v>12746428.1453343</v>
      </c>
      <c r="K38">
        <v>14112331.042355699</v>
      </c>
      <c r="L38">
        <v>15994286.0301027</v>
      </c>
      <c r="M38">
        <v>17204150.445435401</v>
      </c>
      <c r="N38">
        <v>17993450.039129201</v>
      </c>
      <c r="O38">
        <v>18515412.929812402</v>
      </c>
      <c r="P38">
        <v>19112574.8056706</v>
      </c>
      <c r="Q38">
        <v>19585810.133104701</v>
      </c>
      <c r="R38">
        <v>20054791.826372601</v>
      </c>
      <c r="S38">
        <v>20506943.693466101</v>
      </c>
      <c r="T38">
        <v>19696544.482453398</v>
      </c>
      <c r="U38">
        <v>19369429.416805498</v>
      </c>
      <c r="V38">
        <v>18963521.009187698</v>
      </c>
      <c r="W38">
        <v>19586662.251821399</v>
      </c>
      <c r="X38">
        <v>20195817.270109899</v>
      </c>
      <c r="Y38">
        <v>20519732.393266201</v>
      </c>
      <c r="Z38">
        <v>21077912.190620601</v>
      </c>
      <c r="AA38">
        <v>21250433.1984764</v>
      </c>
      <c r="AB38">
        <v>21738878.798685901</v>
      </c>
      <c r="AC38">
        <v>21808603.325068999</v>
      </c>
      <c r="AD38">
        <v>22302065.3148463</v>
      </c>
      <c r="AE38">
        <v>21987463</v>
      </c>
      <c r="AF38">
        <v>22673078</v>
      </c>
    </row>
    <row r="39" spans="1:32" x14ac:dyDescent="0.3">
      <c r="A39" t="s">
        <v>36</v>
      </c>
      <c r="B39" t="s">
        <v>160</v>
      </c>
      <c r="C39" t="s">
        <v>86</v>
      </c>
      <c r="D39" t="s">
        <v>161</v>
      </c>
      <c r="E39" t="s">
        <v>87</v>
      </c>
      <c r="F39">
        <v>33652185.995305799</v>
      </c>
      <c r="G39">
        <v>34856074.427737303</v>
      </c>
      <c r="H39">
        <v>35276173.606550902</v>
      </c>
      <c r="I39">
        <v>34487066.987414502</v>
      </c>
      <c r="J39">
        <v>34028476.042122602</v>
      </c>
      <c r="K39">
        <v>33939722.123401999</v>
      </c>
      <c r="L39">
        <v>33125263.425326601</v>
      </c>
      <c r="M39">
        <v>33165918.366865899</v>
      </c>
      <c r="N39">
        <v>33134504.116121799</v>
      </c>
      <c r="O39">
        <v>33118699.799043801</v>
      </c>
      <c r="P39">
        <v>34426824.561894</v>
      </c>
      <c r="Q39">
        <v>35127410.757222503</v>
      </c>
      <c r="R39">
        <v>36639843.604557402</v>
      </c>
      <c r="S39">
        <v>32738083.7359883</v>
      </c>
      <c r="T39">
        <v>32079081.7204004</v>
      </c>
      <c r="U39">
        <v>31642609.612160798</v>
      </c>
      <c r="V39">
        <v>31074386.726816699</v>
      </c>
      <c r="W39">
        <v>31407654.2985803</v>
      </c>
      <c r="X39">
        <v>33594345.936668001</v>
      </c>
      <c r="Y39">
        <v>33337836.2102868</v>
      </c>
      <c r="Z39">
        <v>34747595.387551203</v>
      </c>
      <c r="AA39">
        <v>34314918.0637483</v>
      </c>
      <c r="AB39">
        <v>34901034.181277402</v>
      </c>
      <c r="AC39">
        <v>35321141.254450902</v>
      </c>
      <c r="AD39">
        <v>35042259.644695401</v>
      </c>
      <c r="AE39">
        <v>35876714</v>
      </c>
      <c r="AF39">
        <v>37361671</v>
      </c>
    </row>
    <row r="40" spans="1:32" x14ac:dyDescent="0.3">
      <c r="A40" t="s">
        <v>36</v>
      </c>
      <c r="B40" t="s">
        <v>162</v>
      </c>
      <c r="C40" t="s">
        <v>86</v>
      </c>
      <c r="D40" t="s">
        <v>163</v>
      </c>
      <c r="E40" t="s">
        <v>87</v>
      </c>
      <c r="F40">
        <v>57891359.8865996</v>
      </c>
      <c r="G40">
        <v>58796819.932238303</v>
      </c>
      <c r="H40">
        <v>59250438.2483503</v>
      </c>
      <c r="I40">
        <v>59299504.186303802</v>
      </c>
      <c r="J40">
        <v>59881569.411272697</v>
      </c>
      <c r="K40">
        <v>61455644.015004799</v>
      </c>
      <c r="L40">
        <v>62819692.3674886</v>
      </c>
      <c r="M40">
        <v>63765099.9385342</v>
      </c>
      <c r="N40">
        <v>64754180.118699402</v>
      </c>
      <c r="O40">
        <v>65873685.158948697</v>
      </c>
      <c r="P40">
        <v>66847722.504054397</v>
      </c>
      <c r="Q40">
        <v>68329587.700973302</v>
      </c>
      <c r="R40">
        <v>69171003.165841103</v>
      </c>
      <c r="S40">
        <v>70257874.123787105</v>
      </c>
      <c r="T40">
        <v>70618759.332595795</v>
      </c>
      <c r="U40">
        <v>72276028.782579198</v>
      </c>
      <c r="V40">
        <v>73614316.858779296</v>
      </c>
      <c r="W40">
        <v>74813482.449169606</v>
      </c>
      <c r="X40">
        <v>76449717.2458276</v>
      </c>
      <c r="Y40">
        <v>77536375.114006594</v>
      </c>
      <c r="Z40">
        <v>78386928.882300705</v>
      </c>
      <c r="AA40">
        <v>79090528.561714202</v>
      </c>
      <c r="AB40">
        <v>79072506.748253003</v>
      </c>
      <c r="AC40">
        <v>79212976.978161693</v>
      </c>
      <c r="AD40">
        <v>80116932.575708807</v>
      </c>
      <c r="AE40">
        <v>80015175</v>
      </c>
      <c r="AF40">
        <v>79881549</v>
      </c>
    </row>
    <row r="41" spans="1:32" x14ac:dyDescent="0.3">
      <c r="A41" t="s">
        <v>36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36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36</v>
      </c>
      <c r="B43" t="s">
        <v>168</v>
      </c>
      <c r="C43" t="s">
        <v>86</v>
      </c>
      <c r="D43" t="s">
        <v>169</v>
      </c>
      <c r="E43" t="s">
        <v>87</v>
      </c>
      <c r="F43">
        <v>35432397.101887397</v>
      </c>
      <c r="G43">
        <v>37688197.382521197</v>
      </c>
      <c r="H43">
        <v>38834254.384542704</v>
      </c>
      <c r="I43">
        <v>40098105.827122197</v>
      </c>
      <c r="J43">
        <v>39974481.688885503</v>
      </c>
      <c r="K43">
        <v>44276142.874359399</v>
      </c>
      <c r="L43">
        <v>45727298.5569373</v>
      </c>
      <c r="M43">
        <v>46380586.248319201</v>
      </c>
      <c r="N43">
        <v>47940751.651652403</v>
      </c>
      <c r="O43">
        <v>49486982.143114902</v>
      </c>
      <c r="P43">
        <v>52663432.065185502</v>
      </c>
      <c r="Q43">
        <v>55752959.830282599</v>
      </c>
      <c r="R43">
        <v>59074430.489147797</v>
      </c>
      <c r="S43">
        <v>62307839.474879503</v>
      </c>
      <c r="T43">
        <v>59505258.0611277</v>
      </c>
      <c r="U43">
        <v>59702755.0170165</v>
      </c>
      <c r="V43">
        <v>62149558.674872197</v>
      </c>
      <c r="W43">
        <v>62634481.254922599</v>
      </c>
      <c r="X43">
        <v>64433573.9438437</v>
      </c>
      <c r="Y43">
        <v>65069327.6435996</v>
      </c>
      <c r="Z43">
        <v>67291757.765417993</v>
      </c>
      <c r="AA43">
        <v>69051136.221911103</v>
      </c>
      <c r="AB43">
        <v>69120565.178670496</v>
      </c>
      <c r="AC43">
        <v>69597558.888894603</v>
      </c>
      <c r="AD43">
        <v>70640882.282322705</v>
      </c>
      <c r="AE43">
        <v>67821201</v>
      </c>
      <c r="AF43">
        <v>68313340</v>
      </c>
    </row>
    <row r="44" spans="1:32" x14ac:dyDescent="0.3">
      <c r="A44" t="s">
        <v>36</v>
      </c>
      <c r="B44" t="s">
        <v>170</v>
      </c>
      <c r="C44" t="s">
        <v>86</v>
      </c>
      <c r="D44" t="s">
        <v>171</v>
      </c>
      <c r="E44" t="s">
        <v>87</v>
      </c>
      <c r="F44">
        <v>759244021.64339805</v>
      </c>
      <c r="G44">
        <v>784259621.50835097</v>
      </c>
      <c r="H44">
        <v>794802920.76290596</v>
      </c>
      <c r="I44">
        <v>777065708.43283796</v>
      </c>
      <c r="J44">
        <v>772831655.00422597</v>
      </c>
      <c r="K44">
        <v>794035797.02485502</v>
      </c>
      <c r="L44">
        <v>788732638.11875606</v>
      </c>
      <c r="M44">
        <v>783484176.911991</v>
      </c>
      <c r="N44">
        <v>791319483.25382698</v>
      </c>
      <c r="O44">
        <v>805847022.88898003</v>
      </c>
      <c r="P44">
        <v>823594708.75283206</v>
      </c>
      <c r="Q44">
        <v>835060792.50112295</v>
      </c>
      <c r="R44">
        <v>850201620.70069504</v>
      </c>
      <c r="S44">
        <v>834486501.81224406</v>
      </c>
      <c r="T44">
        <v>750525730.63024604</v>
      </c>
      <c r="U44">
        <v>785213402.941504</v>
      </c>
      <c r="V44">
        <v>778490318.43467104</v>
      </c>
      <c r="W44">
        <v>790722106.33988404</v>
      </c>
      <c r="X44">
        <v>799021097.16716599</v>
      </c>
      <c r="Y44">
        <v>798810544.353405</v>
      </c>
      <c r="Z44">
        <v>811983073.57936001</v>
      </c>
      <c r="AA44">
        <v>815504981.93049097</v>
      </c>
      <c r="AB44">
        <v>831513305.23845696</v>
      </c>
      <c r="AC44">
        <v>836637147.13418698</v>
      </c>
      <c r="AD44">
        <v>827254266.73004997</v>
      </c>
      <c r="AE44">
        <v>770122604</v>
      </c>
      <c r="AF44">
        <v>786938528</v>
      </c>
    </row>
    <row r="45" spans="1:32" x14ac:dyDescent="0.3">
      <c r="A45" t="s">
        <v>36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36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36</v>
      </c>
      <c r="B47" t="s">
        <v>176</v>
      </c>
      <c r="C47" t="s">
        <v>86</v>
      </c>
      <c r="D47" t="s">
        <v>177</v>
      </c>
      <c r="E47" t="s">
        <v>87</v>
      </c>
      <c r="F47">
        <v>33654282.8287756</v>
      </c>
      <c r="G47">
        <v>34006808.2094514</v>
      </c>
      <c r="H47">
        <v>34552711.107077599</v>
      </c>
      <c r="I47">
        <v>35165956.540298298</v>
      </c>
      <c r="J47">
        <v>36075559.671941601</v>
      </c>
      <c r="K47">
        <v>37018080.947611801</v>
      </c>
      <c r="L47">
        <v>37450575.882796399</v>
      </c>
      <c r="M47">
        <v>37680913.413988397</v>
      </c>
      <c r="N47">
        <v>38458845.106138498</v>
      </c>
      <c r="O47">
        <v>38368149.309170999</v>
      </c>
      <c r="P47">
        <v>37823319.060247697</v>
      </c>
      <c r="Q47">
        <v>37440705.875295103</v>
      </c>
      <c r="R47">
        <v>37791649.962255999</v>
      </c>
      <c r="S47">
        <v>37336207.7268316</v>
      </c>
      <c r="T47">
        <v>37878514.5281289</v>
      </c>
      <c r="U47">
        <v>38538686.664519899</v>
      </c>
      <c r="V47">
        <v>38805374.506358199</v>
      </c>
      <c r="W47">
        <v>38774862.618202299</v>
      </c>
      <c r="X47">
        <v>39287860.099412799</v>
      </c>
      <c r="Y47">
        <v>39033234.341214202</v>
      </c>
      <c r="Z47">
        <v>39316970.556414902</v>
      </c>
      <c r="AA47">
        <v>39906635.6692717</v>
      </c>
      <c r="AB47">
        <v>39525654.036208399</v>
      </c>
      <c r="AC47">
        <v>39631678.340079099</v>
      </c>
      <c r="AD47">
        <v>40384387.1870993</v>
      </c>
      <c r="AE47">
        <v>42236397</v>
      </c>
      <c r="AF47">
        <v>43308257</v>
      </c>
    </row>
    <row r="48" spans="1:32" x14ac:dyDescent="0.3">
      <c r="A48" t="s">
        <v>36</v>
      </c>
      <c r="B48" t="s">
        <v>178</v>
      </c>
      <c r="C48" t="s">
        <v>86</v>
      </c>
      <c r="D48" t="s">
        <v>179</v>
      </c>
      <c r="E48" t="s">
        <v>87</v>
      </c>
      <c r="F48">
        <v>92132771.193163306</v>
      </c>
      <c r="G48">
        <v>94044988.656896099</v>
      </c>
      <c r="H48">
        <v>95386790.623177499</v>
      </c>
      <c r="I48">
        <v>96859496.002723902</v>
      </c>
      <c r="J48">
        <v>99720130.718983203</v>
      </c>
      <c r="K48">
        <v>99569048.607938796</v>
      </c>
      <c r="L48">
        <v>101404206.182871</v>
      </c>
      <c r="M48">
        <v>102683641.561225</v>
      </c>
      <c r="N48">
        <v>104591217.2897</v>
      </c>
      <c r="O48">
        <v>105635447.53034399</v>
      </c>
      <c r="P48">
        <v>106558996.1806</v>
      </c>
      <c r="Q48">
        <v>107028030.557</v>
      </c>
      <c r="R48">
        <v>107996219.245353</v>
      </c>
      <c r="S48">
        <v>108330617.217342</v>
      </c>
      <c r="T48">
        <v>110329167.220211</v>
      </c>
      <c r="U48">
        <v>112682512.32964601</v>
      </c>
      <c r="V48">
        <v>115234419.188914</v>
      </c>
      <c r="W48">
        <v>117624661.090399</v>
      </c>
      <c r="X48">
        <v>119228150.79375</v>
      </c>
      <c r="Y48">
        <v>119806715.644448</v>
      </c>
      <c r="Z48">
        <v>122158989.968776</v>
      </c>
      <c r="AA48">
        <v>125085682.29805499</v>
      </c>
      <c r="AB48">
        <v>125602389.51885401</v>
      </c>
      <c r="AC48">
        <v>127132760.766698</v>
      </c>
      <c r="AD48">
        <v>129622107.614997</v>
      </c>
      <c r="AE48">
        <v>132165160</v>
      </c>
      <c r="AF48">
        <v>136586855</v>
      </c>
    </row>
    <row r="49" spans="1:32" x14ac:dyDescent="0.3">
      <c r="A49" t="s">
        <v>36</v>
      </c>
      <c r="B49" t="s">
        <v>180</v>
      </c>
      <c r="C49" t="s">
        <v>86</v>
      </c>
      <c r="D49" t="s">
        <v>181</v>
      </c>
      <c r="E49" t="s">
        <v>87</v>
      </c>
      <c r="F49">
        <v>21105308.0455897</v>
      </c>
      <c r="G49">
        <v>21371839.600910801</v>
      </c>
      <c r="H49">
        <v>21435074.107986599</v>
      </c>
      <c r="I49">
        <v>21429189.019005701</v>
      </c>
      <c r="J49">
        <v>21637099.1698149</v>
      </c>
      <c r="K49">
        <v>21725642.129963901</v>
      </c>
      <c r="L49">
        <v>21887767.983635198</v>
      </c>
      <c r="M49">
        <v>22147967.850699998</v>
      </c>
      <c r="N49">
        <v>22424804.358332399</v>
      </c>
      <c r="O49">
        <v>22501241.820590898</v>
      </c>
      <c r="P49">
        <v>22660787.291378099</v>
      </c>
      <c r="Q49">
        <v>22736174.515406098</v>
      </c>
      <c r="R49">
        <v>22866542.5064051</v>
      </c>
      <c r="S49">
        <v>22930334.6017587</v>
      </c>
      <c r="T49">
        <v>23225186.999158401</v>
      </c>
      <c r="U49">
        <v>23239588.913377199</v>
      </c>
      <c r="V49">
        <v>23671892.053842802</v>
      </c>
      <c r="W49">
        <v>23715265.193799399</v>
      </c>
      <c r="X49">
        <v>23471628.602849301</v>
      </c>
      <c r="Y49">
        <v>23340996.933777198</v>
      </c>
      <c r="Z49">
        <v>23320039.218694001</v>
      </c>
      <c r="AA49">
        <v>23458178.793290801</v>
      </c>
      <c r="AB49">
        <v>23494919.893959399</v>
      </c>
      <c r="AC49">
        <v>23476443.398756701</v>
      </c>
      <c r="AD49">
        <v>23598657.4978454</v>
      </c>
      <c r="AE49">
        <v>23818978</v>
      </c>
      <c r="AF49">
        <v>23656180</v>
      </c>
    </row>
    <row r="50" spans="1:32" x14ac:dyDescent="0.3">
      <c r="A50" t="s">
        <v>36</v>
      </c>
      <c r="B50" t="s">
        <v>182</v>
      </c>
      <c r="C50" t="s">
        <v>86</v>
      </c>
      <c r="D50" t="s">
        <v>183</v>
      </c>
      <c r="E50" t="s">
        <v>87</v>
      </c>
      <c r="F50">
        <v>37431592.999865599</v>
      </c>
      <c r="G50">
        <v>38759682.076945201</v>
      </c>
      <c r="H50">
        <v>39506704.780057997</v>
      </c>
      <c r="I50">
        <v>40394812.824710399</v>
      </c>
      <c r="J50">
        <v>42181575.982439503</v>
      </c>
      <c r="K50">
        <v>40944203.5565762</v>
      </c>
      <c r="L50">
        <v>42182763.968954302</v>
      </c>
      <c r="M50">
        <v>42969949.397040397</v>
      </c>
      <c r="N50">
        <v>43827096.611820698</v>
      </c>
      <c r="O50">
        <v>44887326.051360302</v>
      </c>
      <c r="P50">
        <v>46200584.293740503</v>
      </c>
      <c r="Q50">
        <v>46980419.759049401</v>
      </c>
      <c r="R50">
        <v>47469640.521770999</v>
      </c>
      <c r="S50">
        <v>48203649.230089799</v>
      </c>
      <c r="T50">
        <v>49371804.966621302</v>
      </c>
      <c r="U50">
        <v>51044961.439009301</v>
      </c>
      <c r="V50">
        <v>52887379.728767097</v>
      </c>
      <c r="W50">
        <v>55234911.330138497</v>
      </c>
      <c r="X50">
        <v>56548621.9722289</v>
      </c>
      <c r="Y50">
        <v>57485705.2336585</v>
      </c>
      <c r="Z50">
        <v>59553386.580673702</v>
      </c>
      <c r="AA50">
        <v>61740899.839256696</v>
      </c>
      <c r="AB50">
        <v>62595890.451771997</v>
      </c>
      <c r="AC50">
        <v>64033346.981929801</v>
      </c>
      <c r="AD50">
        <v>65648637.9192136</v>
      </c>
      <c r="AE50">
        <v>66109785</v>
      </c>
      <c r="AF50">
        <v>69622418</v>
      </c>
    </row>
    <row r="51" spans="1:32" x14ac:dyDescent="0.3">
      <c r="A51" t="s">
        <v>36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36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36</v>
      </c>
      <c r="B53" t="s">
        <v>188</v>
      </c>
      <c r="C53" t="s">
        <v>86</v>
      </c>
      <c r="D53" t="s">
        <v>189</v>
      </c>
      <c r="E53" t="s">
        <v>87</v>
      </c>
      <c r="F53">
        <v>12973763.916043499</v>
      </c>
      <c r="G53">
        <v>12939229.6773405</v>
      </c>
      <c r="H53">
        <v>12441065.7662067</v>
      </c>
      <c r="I53">
        <v>11891582.1144745</v>
      </c>
      <c r="J53">
        <v>11585786.1622943</v>
      </c>
      <c r="K53">
        <v>12167992.568693301</v>
      </c>
      <c r="L53">
        <v>12043671.816710001</v>
      </c>
      <c r="M53">
        <v>12262330.5787967</v>
      </c>
      <c r="N53">
        <v>11970927.2498959</v>
      </c>
      <c r="O53">
        <v>11862880.739108</v>
      </c>
      <c r="P53">
        <v>11729201.6344498</v>
      </c>
      <c r="Q53">
        <v>11828003.938235501</v>
      </c>
      <c r="R53">
        <v>11394698.346910501</v>
      </c>
      <c r="S53">
        <v>10993226.333702801</v>
      </c>
      <c r="T53">
        <v>10953279.590167301</v>
      </c>
      <c r="U53">
        <v>10592580.5078902</v>
      </c>
      <c r="V53">
        <v>10305137.9658943</v>
      </c>
      <c r="W53">
        <v>10939134.5950312</v>
      </c>
      <c r="X53">
        <v>11251597.5262754</v>
      </c>
      <c r="Y53">
        <v>11128889.0320265</v>
      </c>
      <c r="Z53">
        <v>11023226.362939101</v>
      </c>
      <c r="AA53">
        <v>10427936.571714699</v>
      </c>
      <c r="AB53">
        <v>10178720.9367911</v>
      </c>
      <c r="AC53">
        <v>9986276.16771001</v>
      </c>
      <c r="AD53">
        <v>9641809.6558614708</v>
      </c>
      <c r="AE53">
        <v>7362054</v>
      </c>
      <c r="AF53">
        <v>7590706</v>
      </c>
    </row>
    <row r="54" spans="1:32" x14ac:dyDescent="0.3">
      <c r="A54" t="s">
        <v>36</v>
      </c>
      <c r="B54" t="s">
        <v>190</v>
      </c>
      <c r="C54" t="s">
        <v>86</v>
      </c>
      <c r="D54" t="s">
        <v>191</v>
      </c>
      <c r="E54" t="s">
        <v>87</v>
      </c>
      <c r="F54">
        <v>29681133.925912999</v>
      </c>
      <c r="G54">
        <v>30319683.270288501</v>
      </c>
      <c r="H54">
        <v>29962397.201883301</v>
      </c>
      <c r="I54">
        <v>29891889.992169</v>
      </c>
      <c r="J54">
        <v>29866078.874906398</v>
      </c>
      <c r="K54">
        <v>31620458.240698099</v>
      </c>
      <c r="L54">
        <v>31093340.1715087</v>
      </c>
      <c r="M54">
        <v>31973410.742476601</v>
      </c>
      <c r="N54">
        <v>32163509.442137402</v>
      </c>
      <c r="O54">
        <v>32617820.249586001</v>
      </c>
      <c r="P54">
        <v>32289996.289914198</v>
      </c>
      <c r="Q54">
        <v>32368131.104119401</v>
      </c>
      <c r="R54">
        <v>32302052.433136199</v>
      </c>
      <c r="S54">
        <v>31659077.510906801</v>
      </c>
      <c r="T54">
        <v>30971437.371786799</v>
      </c>
      <c r="U54">
        <v>30514584.9970835</v>
      </c>
      <c r="V54">
        <v>30585904.541210599</v>
      </c>
      <c r="W54">
        <v>30881467.418395702</v>
      </c>
      <c r="X54">
        <v>30546889.650853299</v>
      </c>
      <c r="Y54">
        <v>29480949.127452899</v>
      </c>
      <c r="Z54">
        <v>28675343.815933</v>
      </c>
      <c r="AA54">
        <v>27702481.270070799</v>
      </c>
      <c r="AB54">
        <v>27557216.883483801</v>
      </c>
      <c r="AC54">
        <v>27186184.3060994</v>
      </c>
      <c r="AD54">
        <v>27199729.634979401</v>
      </c>
      <c r="AE54">
        <v>22753161</v>
      </c>
      <c r="AF54">
        <v>22692151</v>
      </c>
    </row>
    <row r="55" spans="1:32" x14ac:dyDescent="0.3">
      <c r="A55" t="s">
        <v>36</v>
      </c>
      <c r="B55" t="s">
        <v>192</v>
      </c>
      <c r="C55" t="s">
        <v>86</v>
      </c>
      <c r="D55" t="s">
        <v>193</v>
      </c>
      <c r="E55" t="s">
        <v>87</v>
      </c>
      <c r="F55">
        <v>16626508.826722</v>
      </c>
      <c r="G55">
        <v>17318184.819740601</v>
      </c>
      <c r="H55">
        <v>17478699.511015899</v>
      </c>
      <c r="I55">
        <v>17986388.0247721</v>
      </c>
      <c r="J55">
        <v>18282017.3205139</v>
      </c>
      <c r="K55">
        <v>19458680.560551301</v>
      </c>
      <c r="L55">
        <v>19053470.313277598</v>
      </c>
      <c r="M55">
        <v>19716742.618306302</v>
      </c>
      <c r="N55">
        <v>20201291.748617299</v>
      </c>
      <c r="O55">
        <v>20765822.080389701</v>
      </c>
      <c r="P55">
        <v>20571622.2713801</v>
      </c>
      <c r="Q55">
        <v>20551508.455119099</v>
      </c>
      <c r="R55">
        <v>20912772.152886599</v>
      </c>
      <c r="S55">
        <v>20669480.070122</v>
      </c>
      <c r="T55">
        <v>20023872.972276699</v>
      </c>
      <c r="U55">
        <v>19926150.7186164</v>
      </c>
      <c r="V55">
        <v>20282568.2994579</v>
      </c>
      <c r="W55">
        <v>19946044.7809784</v>
      </c>
      <c r="X55">
        <v>19302260.967674699</v>
      </c>
      <c r="Y55">
        <v>18362377.365614101</v>
      </c>
      <c r="Z55">
        <v>17666895.1532996</v>
      </c>
      <c r="AA55">
        <v>17283835.509247798</v>
      </c>
      <c r="AB55">
        <v>17385602.797683299</v>
      </c>
      <c r="AC55">
        <v>17206549.385655802</v>
      </c>
      <c r="AD55">
        <v>17562165.450469501</v>
      </c>
      <c r="AE55">
        <v>15391107</v>
      </c>
      <c r="AF55">
        <v>15101445</v>
      </c>
    </row>
    <row r="56" spans="1:32" x14ac:dyDescent="0.3">
      <c r="A56" t="s">
        <v>36</v>
      </c>
      <c r="B56" t="s">
        <v>194</v>
      </c>
      <c r="C56" t="s">
        <v>86</v>
      </c>
      <c r="D56" t="s">
        <v>195</v>
      </c>
      <c r="E56" t="s">
        <v>87</v>
      </c>
      <c r="F56">
        <v>4438858.1295164796</v>
      </c>
      <c r="G56">
        <v>4333920.16647889</v>
      </c>
      <c r="H56">
        <v>4181421.4137429898</v>
      </c>
      <c r="I56">
        <v>3876128.2779409299</v>
      </c>
      <c r="J56">
        <v>3739267.1026585498</v>
      </c>
      <c r="K56">
        <v>3601999.1330611301</v>
      </c>
      <c r="L56">
        <v>3506730.7456187401</v>
      </c>
      <c r="M56">
        <v>3455590.79375279</v>
      </c>
      <c r="N56">
        <v>3503994.6246497598</v>
      </c>
      <c r="O56">
        <v>3547105.6314368001</v>
      </c>
      <c r="P56">
        <v>3530612.7899544602</v>
      </c>
      <c r="Q56">
        <v>3701738.0878322702</v>
      </c>
      <c r="R56">
        <v>3915273.18778039</v>
      </c>
      <c r="S56">
        <v>4335968.6242167801</v>
      </c>
      <c r="T56">
        <v>4400936.0681260498</v>
      </c>
      <c r="U56">
        <v>4851612.1669819299</v>
      </c>
      <c r="V56">
        <v>5082359.0483748298</v>
      </c>
      <c r="W56">
        <v>5063289.4350181399</v>
      </c>
      <c r="X56">
        <v>4613268.4749343498</v>
      </c>
      <c r="Y56">
        <v>4428997.7222490599</v>
      </c>
      <c r="Z56">
        <v>4284608.4015610199</v>
      </c>
      <c r="AA56">
        <v>4651627.65679482</v>
      </c>
      <c r="AB56">
        <v>4549526.9983999496</v>
      </c>
      <c r="AC56">
        <v>4577539.3784761997</v>
      </c>
      <c r="AD56">
        <v>4751579.57922854</v>
      </c>
      <c r="AE56">
        <v>4609788</v>
      </c>
      <c r="AF56">
        <v>4438031</v>
      </c>
    </row>
    <row r="57" spans="1:32" x14ac:dyDescent="0.3">
      <c r="A57" t="s">
        <v>36</v>
      </c>
      <c r="B57" t="s">
        <v>196</v>
      </c>
      <c r="C57" t="s">
        <v>86</v>
      </c>
      <c r="D57" t="s">
        <v>197</v>
      </c>
      <c r="E57" t="s">
        <v>87</v>
      </c>
      <c r="F57">
        <v>912544372.96738303</v>
      </c>
      <c r="G57">
        <v>940150418.14699495</v>
      </c>
      <c r="H57">
        <v>952259221.21239996</v>
      </c>
      <c r="I57">
        <v>935829810.08718503</v>
      </c>
      <c r="J57">
        <v>935004437.58252001</v>
      </c>
      <c r="K57">
        <v>957355860.74944401</v>
      </c>
      <c r="L57">
        <v>955411402.804564</v>
      </c>
      <c r="M57">
        <v>952572851.40418994</v>
      </c>
      <c r="N57">
        <v>963439832.70718503</v>
      </c>
      <c r="O57">
        <v>980095162.63369799</v>
      </c>
      <c r="P57">
        <v>999578357.74828196</v>
      </c>
      <c r="Q57">
        <v>1013163236.86953</v>
      </c>
      <c r="R57">
        <v>1030277751.4944299</v>
      </c>
      <c r="S57">
        <v>1016720821.71876</v>
      </c>
      <c r="T57">
        <v>935728033.624053</v>
      </c>
      <c r="U57">
        <v>974668379.60940397</v>
      </c>
      <c r="V57">
        <v>972344169.77523899</v>
      </c>
      <c r="W57">
        <v>988158909.21761799</v>
      </c>
      <c r="X57">
        <v>999299651.16110396</v>
      </c>
      <c r="Y57">
        <v>1000605271.90775</v>
      </c>
      <c r="Z57">
        <v>1016808192.84574</v>
      </c>
      <c r="AA57">
        <v>1024391843.70293</v>
      </c>
      <c r="AB57">
        <v>1040697413.03839</v>
      </c>
      <c r="AC57">
        <v>1047523548.56405</v>
      </c>
      <c r="AD57">
        <v>1041736429.36321</v>
      </c>
      <c r="AE57">
        <v>986912727</v>
      </c>
      <c r="AF57">
        <v>1007844963</v>
      </c>
    </row>
    <row r="58" spans="1:32" x14ac:dyDescent="0.3">
      <c r="A58" t="s">
        <v>36</v>
      </c>
      <c r="B58" t="s">
        <v>198</v>
      </c>
      <c r="C58" t="s">
        <v>86</v>
      </c>
      <c r="D58" t="s">
        <v>199</v>
      </c>
      <c r="E58" t="s">
        <v>87</v>
      </c>
      <c r="F58">
        <v>908061818.90104401</v>
      </c>
      <c r="G58">
        <v>935824409.36744404</v>
      </c>
      <c r="H58">
        <v>948130907.00434005</v>
      </c>
      <c r="I58">
        <v>932056248.14142001</v>
      </c>
      <c r="J58">
        <v>931396616.466537</v>
      </c>
      <c r="K58">
        <v>953929444.65208006</v>
      </c>
      <c r="L58">
        <v>952094722.16327</v>
      </c>
      <c r="M58">
        <v>949314094.72049606</v>
      </c>
      <c r="N58">
        <v>960133340.30090201</v>
      </c>
      <c r="O58">
        <v>976751680.18676305</v>
      </c>
      <c r="P58">
        <v>996268216.80710495</v>
      </c>
      <c r="Q58">
        <v>1009664936.68899</v>
      </c>
      <c r="R58">
        <v>1026541282.12988</v>
      </c>
      <c r="S58">
        <v>1012464361.78192</v>
      </c>
      <c r="T58">
        <v>931348585.89838195</v>
      </c>
      <c r="U58">
        <v>969824542.79554701</v>
      </c>
      <c r="V58">
        <v>967259117.036322</v>
      </c>
      <c r="W58">
        <v>983095897.55430102</v>
      </c>
      <c r="X58">
        <v>994696280.18516695</v>
      </c>
      <c r="Y58">
        <v>996204689.20285499</v>
      </c>
      <c r="Z58">
        <v>1012575307.4923199</v>
      </c>
      <c r="AA58">
        <v>1019752315.4437701</v>
      </c>
      <c r="AB58">
        <v>1036166485.22671</v>
      </c>
      <c r="AC58">
        <v>1042964870.31379</v>
      </c>
      <c r="AD58">
        <v>1036988338.35905</v>
      </c>
      <c r="AE58">
        <v>982302939</v>
      </c>
      <c r="AF58">
        <v>1003406932</v>
      </c>
    </row>
    <row r="59" spans="1:32" x14ac:dyDescent="0.3">
      <c r="A59" t="s">
        <v>36</v>
      </c>
      <c r="B59" t="s">
        <v>200</v>
      </c>
      <c r="C59" t="s">
        <v>86</v>
      </c>
      <c r="D59" t="s">
        <v>201</v>
      </c>
      <c r="E59" t="s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3">
      <c r="A2" t="s">
        <v>38</v>
      </c>
      <c r="B2" t="s">
        <v>84</v>
      </c>
      <c r="C2" t="s">
        <v>86</v>
      </c>
      <c r="D2" t="s">
        <v>85</v>
      </c>
      <c r="E2" t="s">
        <v>87</v>
      </c>
      <c r="F2">
        <v>9223229.7641422097</v>
      </c>
      <c r="G2">
        <v>8407343.72036363</v>
      </c>
      <c r="H2">
        <v>8617257.6940597501</v>
      </c>
      <c r="I2">
        <v>8432653.1004889198</v>
      </c>
      <c r="J2">
        <v>8615597.5657986999</v>
      </c>
      <c r="K2">
        <v>8626447.2224415299</v>
      </c>
      <c r="L2">
        <v>8482645.7947440799</v>
      </c>
      <c r="M2">
        <v>8178559.2785219997</v>
      </c>
      <c r="N2">
        <v>7623707.3425231297</v>
      </c>
      <c r="O2">
        <v>7625482.9504862204</v>
      </c>
      <c r="P2">
        <v>7397097.38986813</v>
      </c>
      <c r="Q2">
        <v>7250883.9580855798</v>
      </c>
      <c r="R2">
        <v>7151769.8322308399</v>
      </c>
      <c r="S2">
        <v>6796348.7490258003</v>
      </c>
      <c r="T2">
        <v>7034228.5932066701</v>
      </c>
      <c r="U2">
        <v>7156497.9012349499</v>
      </c>
      <c r="V2">
        <v>6846786.6655065101</v>
      </c>
      <c r="W2">
        <v>6912216.0194027396</v>
      </c>
      <c r="X2">
        <v>7025988.7001275904</v>
      </c>
      <c r="Y2">
        <v>7051333.8508748896</v>
      </c>
      <c r="Z2">
        <v>6879512.5950456001</v>
      </c>
      <c r="AA2">
        <v>7170841.11355404</v>
      </c>
      <c r="AB2">
        <v>7167498.38371557</v>
      </c>
      <c r="AC2">
        <v>7275574.74490437</v>
      </c>
      <c r="AD2">
        <v>7091225.5505208801</v>
      </c>
      <c r="AE2">
        <v>7380265</v>
      </c>
      <c r="AF2">
        <v>7177136</v>
      </c>
    </row>
    <row r="3" spans="1:32" x14ac:dyDescent="0.3">
      <c r="A3" t="s">
        <v>38</v>
      </c>
      <c r="B3" t="s">
        <v>88</v>
      </c>
      <c r="C3" t="s">
        <v>86</v>
      </c>
      <c r="D3" t="s">
        <v>89</v>
      </c>
      <c r="E3" t="s">
        <v>87</v>
      </c>
      <c r="F3">
        <v>972956.33309878805</v>
      </c>
      <c r="G3">
        <v>1003153.89731426</v>
      </c>
      <c r="H3">
        <v>948395.65347643103</v>
      </c>
      <c r="I3">
        <v>877398.14735413401</v>
      </c>
      <c r="J3">
        <v>891980.94204700005</v>
      </c>
      <c r="K3">
        <v>874435.47591834399</v>
      </c>
      <c r="L3">
        <v>804110.09886749997</v>
      </c>
      <c r="M3">
        <v>765371.47267152194</v>
      </c>
      <c r="N3">
        <v>684333.42015768494</v>
      </c>
      <c r="O3">
        <v>663585.59601042396</v>
      </c>
      <c r="P3">
        <v>612150.26103058294</v>
      </c>
      <c r="Q3">
        <v>553313.89877249103</v>
      </c>
      <c r="R3">
        <v>529902.71876284003</v>
      </c>
      <c r="S3">
        <v>497373.94633380201</v>
      </c>
      <c r="T3">
        <v>563045.06390880595</v>
      </c>
      <c r="U3">
        <v>520779.37296163099</v>
      </c>
      <c r="V3">
        <v>441412.77191808203</v>
      </c>
      <c r="W3">
        <v>471978.91408740199</v>
      </c>
      <c r="X3">
        <v>455091.823577334</v>
      </c>
      <c r="Y3">
        <v>446747.46683340898</v>
      </c>
      <c r="Z3">
        <v>436835.93886483402</v>
      </c>
      <c r="AA3">
        <v>443665.15918513201</v>
      </c>
      <c r="AB3">
        <v>431663.25679838902</v>
      </c>
      <c r="AC3">
        <v>424177.93425440602</v>
      </c>
      <c r="AD3">
        <v>404518.691924315</v>
      </c>
      <c r="AE3">
        <v>424395</v>
      </c>
      <c r="AF3">
        <v>392039</v>
      </c>
    </row>
    <row r="4" spans="1:32" x14ac:dyDescent="0.3">
      <c r="A4" t="s">
        <v>38</v>
      </c>
      <c r="B4" t="s">
        <v>90</v>
      </c>
      <c r="C4" t="s">
        <v>86</v>
      </c>
      <c r="D4" t="s">
        <v>91</v>
      </c>
      <c r="E4" t="s">
        <v>87</v>
      </c>
      <c r="F4">
        <v>212017824.72527999</v>
      </c>
      <c r="G4">
        <v>217458819.401546</v>
      </c>
      <c r="H4">
        <v>223796242.77013701</v>
      </c>
      <c r="I4">
        <v>211667147.04269499</v>
      </c>
      <c r="J4">
        <v>205073154.46734199</v>
      </c>
      <c r="K4">
        <v>213033304.803155</v>
      </c>
      <c r="L4">
        <v>210250877.688081</v>
      </c>
      <c r="M4">
        <v>204278769.407626</v>
      </c>
      <c r="N4">
        <v>207169037.74559799</v>
      </c>
      <c r="O4">
        <v>212737173.13315001</v>
      </c>
      <c r="P4">
        <v>216262279.677338</v>
      </c>
      <c r="Q4">
        <v>222719047.89286801</v>
      </c>
      <c r="R4">
        <v>230585413.04240501</v>
      </c>
      <c r="S4">
        <v>224609758.613309</v>
      </c>
      <c r="T4">
        <v>187478428.17876801</v>
      </c>
      <c r="U4">
        <v>202930762.48210201</v>
      </c>
      <c r="V4">
        <v>197963983.83500001</v>
      </c>
      <c r="W4">
        <v>200155412.57420999</v>
      </c>
      <c r="X4">
        <v>196379428.75108299</v>
      </c>
      <c r="Y4">
        <v>198394292.52416399</v>
      </c>
      <c r="Z4">
        <v>202258727.93194601</v>
      </c>
      <c r="AA4">
        <v>202633071.88942501</v>
      </c>
      <c r="AB4">
        <v>207171785.35039201</v>
      </c>
      <c r="AC4">
        <v>208860799.35492799</v>
      </c>
      <c r="AD4">
        <v>204184372.690781</v>
      </c>
      <c r="AE4">
        <v>185317217</v>
      </c>
      <c r="AF4">
        <v>189383304</v>
      </c>
    </row>
    <row r="5" spans="1:32" x14ac:dyDescent="0.3">
      <c r="A5" t="s">
        <v>38</v>
      </c>
      <c r="B5" t="s">
        <v>92</v>
      </c>
      <c r="C5" t="s">
        <v>86</v>
      </c>
      <c r="D5" t="s">
        <v>93</v>
      </c>
      <c r="E5" t="s">
        <v>87</v>
      </c>
      <c r="F5">
        <v>25537021.805532899</v>
      </c>
      <c r="G5">
        <v>25485293.230673801</v>
      </c>
      <c r="H5">
        <v>25385400.230521001</v>
      </c>
      <c r="I5">
        <v>25575781.8971828</v>
      </c>
      <c r="J5">
        <v>25141578.452680402</v>
      </c>
      <c r="K5">
        <v>24566783.850103799</v>
      </c>
      <c r="L5">
        <v>24496867.034437899</v>
      </c>
      <c r="M5">
        <v>24232826.752538301</v>
      </c>
      <c r="N5">
        <v>23710294.653356802</v>
      </c>
      <c r="O5">
        <v>23766581.3197621</v>
      </c>
      <c r="P5">
        <v>23235219.630226001</v>
      </c>
      <c r="Q5">
        <v>23068048.387859099</v>
      </c>
      <c r="R5">
        <v>23472737.807819299</v>
      </c>
      <c r="S5">
        <v>23505159.155937601</v>
      </c>
      <c r="T5">
        <v>23970596.195202298</v>
      </c>
      <c r="U5">
        <v>24032003.853958599</v>
      </c>
      <c r="V5">
        <v>23536848.605177</v>
      </c>
      <c r="W5">
        <v>23487050.787808001</v>
      </c>
      <c r="X5">
        <v>23171490.837363001</v>
      </c>
      <c r="Y5">
        <v>22806072.339841899</v>
      </c>
      <c r="Z5">
        <v>23374590.995579101</v>
      </c>
      <c r="AA5">
        <v>22724821.346776601</v>
      </c>
      <c r="AB5">
        <v>22576241.314909998</v>
      </c>
      <c r="AC5">
        <v>23124997.1267922</v>
      </c>
      <c r="AD5">
        <v>22986180.295934699</v>
      </c>
      <c r="AE5">
        <v>22416421</v>
      </c>
      <c r="AF5">
        <v>22099490</v>
      </c>
    </row>
    <row r="6" spans="1:32" x14ac:dyDescent="0.3">
      <c r="A6" t="s">
        <v>38</v>
      </c>
      <c r="B6" t="s">
        <v>94</v>
      </c>
      <c r="C6" t="s">
        <v>86</v>
      </c>
      <c r="D6" t="s">
        <v>95</v>
      </c>
      <c r="E6" t="s">
        <v>87</v>
      </c>
      <c r="F6">
        <v>8836072.26560794</v>
      </c>
      <c r="G6">
        <v>8103875.1578160003</v>
      </c>
      <c r="H6">
        <v>7557177.0206434103</v>
      </c>
      <c r="I6">
        <v>7038559.44028298</v>
      </c>
      <c r="J6">
        <v>6517444.9374043103</v>
      </c>
      <c r="K6">
        <v>5918318.4358013598</v>
      </c>
      <c r="L6">
        <v>5257954.0110023199</v>
      </c>
      <c r="M6">
        <v>4659742.4962835601</v>
      </c>
      <c r="N6">
        <v>4315075.25071772</v>
      </c>
      <c r="O6">
        <v>4040436.6658510198</v>
      </c>
      <c r="P6">
        <v>3771508.3357975199</v>
      </c>
      <c r="Q6">
        <v>3511736.2347384002</v>
      </c>
      <c r="R6">
        <v>3384753.92380025</v>
      </c>
      <c r="S6">
        <v>3101597.2866232898</v>
      </c>
      <c r="T6">
        <v>2624562.16424193</v>
      </c>
      <c r="U6">
        <v>2482628.6334865601</v>
      </c>
      <c r="V6">
        <v>2605008.1828450002</v>
      </c>
      <c r="W6">
        <v>2526184.5389186302</v>
      </c>
      <c r="X6">
        <v>2331680.39084613</v>
      </c>
      <c r="Y6">
        <v>2292190.0437469399</v>
      </c>
      <c r="Z6">
        <v>2415156.1332567502</v>
      </c>
      <c r="AA6">
        <v>2381606.2197048198</v>
      </c>
      <c r="AB6">
        <v>2305656.6599594099</v>
      </c>
      <c r="AC6">
        <v>2197965.6696024202</v>
      </c>
      <c r="AD6">
        <v>2128092.5795285199</v>
      </c>
      <c r="AE6">
        <v>1955539</v>
      </c>
      <c r="AF6">
        <v>1706569</v>
      </c>
    </row>
    <row r="7" spans="1:32" x14ac:dyDescent="0.3">
      <c r="A7" t="s">
        <v>38</v>
      </c>
      <c r="B7" t="s">
        <v>96</v>
      </c>
      <c r="C7" t="s">
        <v>86</v>
      </c>
      <c r="D7" t="s">
        <v>97</v>
      </c>
      <c r="E7" t="s">
        <v>87</v>
      </c>
      <c r="F7">
        <v>13797015.055446999</v>
      </c>
      <c r="G7">
        <v>13811333.726895699</v>
      </c>
      <c r="H7">
        <v>13947828.399437999</v>
      </c>
      <c r="I7">
        <v>13125332.1789084</v>
      </c>
      <c r="J7">
        <v>13002198.817471201</v>
      </c>
      <c r="K7">
        <v>12870388.140675399</v>
      </c>
      <c r="L7">
        <v>12535202.494903401</v>
      </c>
      <c r="M7">
        <v>12236633.4998444</v>
      </c>
      <c r="N7">
        <v>12199127.8341334</v>
      </c>
      <c r="O7">
        <v>12178099.1265992</v>
      </c>
      <c r="P7">
        <v>11696248.624882801</v>
      </c>
      <c r="Q7">
        <v>11952666.6346159</v>
      </c>
      <c r="R7">
        <v>12191340.546147401</v>
      </c>
      <c r="S7">
        <v>11814467.8613382</v>
      </c>
      <c r="T7">
        <v>10367116.124444799</v>
      </c>
      <c r="U7">
        <v>10824868.529981099</v>
      </c>
      <c r="V7">
        <v>10450121.1897735</v>
      </c>
      <c r="W7">
        <v>10171329.6718053</v>
      </c>
      <c r="X7">
        <v>10046034.723117299</v>
      </c>
      <c r="Y7">
        <v>9911378.8362892997</v>
      </c>
      <c r="Z7">
        <v>9694027.6691147201</v>
      </c>
      <c r="AA7">
        <v>9509740.7803565599</v>
      </c>
      <c r="AB7">
        <v>9536157.8456586692</v>
      </c>
      <c r="AC7">
        <v>9290866.3927343003</v>
      </c>
      <c r="AD7">
        <v>9013514.4761676807</v>
      </c>
      <c r="AE7">
        <v>8355638</v>
      </c>
      <c r="AF7">
        <v>8471091</v>
      </c>
    </row>
    <row r="8" spans="1:32" x14ac:dyDescent="0.3">
      <c r="A8" t="s">
        <v>38</v>
      </c>
      <c r="B8" t="s">
        <v>98</v>
      </c>
      <c r="C8" t="s">
        <v>86</v>
      </c>
      <c r="D8" t="s">
        <v>99</v>
      </c>
      <c r="E8" t="s">
        <v>87</v>
      </c>
      <c r="F8">
        <v>12381804.6197381</v>
      </c>
      <c r="G8">
        <v>12386561.464102799</v>
      </c>
      <c r="H8">
        <v>12198639.8723836</v>
      </c>
      <c r="I8">
        <v>13247257.453956399</v>
      </c>
      <c r="J8">
        <v>12887585.802265599</v>
      </c>
      <c r="K8">
        <v>12013530.622065</v>
      </c>
      <c r="L8">
        <v>12136970.002348</v>
      </c>
      <c r="M8">
        <v>11789868.946259201</v>
      </c>
      <c r="N8">
        <v>12065658.120135101</v>
      </c>
      <c r="O8">
        <v>11832226.7385062</v>
      </c>
      <c r="P8">
        <v>12120836.3489876</v>
      </c>
      <c r="Q8">
        <v>11640642.7192316</v>
      </c>
      <c r="R8">
        <v>11949896.161029</v>
      </c>
      <c r="S8">
        <v>10690987.5583738</v>
      </c>
      <c r="T8">
        <v>12113574.8521931</v>
      </c>
      <c r="U8">
        <v>11514357.203857699</v>
      </c>
      <c r="V8">
        <v>10314826.644341899</v>
      </c>
      <c r="W8">
        <v>10595689.1170086</v>
      </c>
      <c r="X8">
        <v>9438364.8491899204</v>
      </c>
      <c r="Y8">
        <v>9411740.1837818101</v>
      </c>
      <c r="Z8">
        <v>9699589.8975999504</v>
      </c>
      <c r="AA8">
        <v>10256788.4809344</v>
      </c>
      <c r="AB8">
        <v>9521229.9230368994</v>
      </c>
      <c r="AC8">
        <v>8828061.4771260899</v>
      </c>
      <c r="AD8">
        <v>8908118.2980379201</v>
      </c>
      <c r="AE8">
        <v>7780409</v>
      </c>
      <c r="AF8">
        <v>6785648</v>
      </c>
    </row>
    <row r="9" spans="1:32" x14ac:dyDescent="0.3">
      <c r="A9" t="s">
        <v>38</v>
      </c>
      <c r="B9" t="s">
        <v>100</v>
      </c>
      <c r="C9" t="s">
        <v>86</v>
      </c>
      <c r="D9" t="s">
        <v>101</v>
      </c>
      <c r="E9" t="s">
        <v>87</v>
      </c>
      <c r="F9">
        <v>18104765.054849301</v>
      </c>
      <c r="G9">
        <v>18422428.7674141</v>
      </c>
      <c r="H9">
        <v>18957401.771957301</v>
      </c>
      <c r="I9">
        <v>18272990.626142599</v>
      </c>
      <c r="J9">
        <v>17850027.6964163</v>
      </c>
      <c r="K9">
        <v>17851120.075402901</v>
      </c>
      <c r="L9">
        <v>17265207.364389502</v>
      </c>
      <c r="M9">
        <v>16569003.036512099</v>
      </c>
      <c r="N9">
        <v>16289606.5589328</v>
      </c>
      <c r="O9">
        <v>16265960.195389999</v>
      </c>
      <c r="P9">
        <v>16048553.252669301</v>
      </c>
      <c r="Q9">
        <v>15818401.520033101</v>
      </c>
      <c r="R9">
        <v>16048027.2222792</v>
      </c>
      <c r="S9">
        <v>15352755.037884699</v>
      </c>
      <c r="T9">
        <v>13596869.094092701</v>
      </c>
      <c r="U9">
        <v>14298830.3849256</v>
      </c>
      <c r="V9">
        <v>13880565.8904051</v>
      </c>
      <c r="W9">
        <v>13531751.3618284</v>
      </c>
      <c r="X9">
        <v>13587841.530151701</v>
      </c>
      <c r="Y9">
        <v>13295280.9759664</v>
      </c>
      <c r="Z9">
        <v>13975907.7085912</v>
      </c>
      <c r="AA9">
        <v>13879948.8002249</v>
      </c>
      <c r="AB9">
        <v>14132302.3977577</v>
      </c>
      <c r="AC9">
        <v>13815626.6338997</v>
      </c>
      <c r="AD9">
        <v>13820865.167719901</v>
      </c>
      <c r="AE9">
        <v>13648719</v>
      </c>
      <c r="AF9">
        <v>13330390</v>
      </c>
    </row>
    <row r="10" spans="1:32" x14ac:dyDescent="0.3">
      <c r="A10" t="s">
        <v>38</v>
      </c>
      <c r="B10" t="s">
        <v>102</v>
      </c>
      <c r="C10" t="s">
        <v>86</v>
      </c>
      <c r="D10" t="s">
        <v>103</v>
      </c>
      <c r="E10" t="s">
        <v>87</v>
      </c>
    </row>
    <row r="11" spans="1:32" x14ac:dyDescent="0.3">
      <c r="A11" t="s">
        <v>38</v>
      </c>
      <c r="B11" t="s">
        <v>104</v>
      </c>
      <c r="C11" t="s">
        <v>86</v>
      </c>
      <c r="D11" t="s">
        <v>105</v>
      </c>
      <c r="E11" t="s">
        <v>87</v>
      </c>
      <c r="F11">
        <v>3577994.5657851598</v>
      </c>
      <c r="G11">
        <v>3497444.2983764601</v>
      </c>
      <c r="H11">
        <v>3632679.8439952298</v>
      </c>
      <c r="I11">
        <v>3668902.61350145</v>
      </c>
      <c r="J11">
        <v>3760983.6136783701</v>
      </c>
      <c r="K11">
        <v>4139335.2747512301</v>
      </c>
      <c r="L11">
        <v>4090128.6642967202</v>
      </c>
      <c r="M11">
        <v>4098286.3234572001</v>
      </c>
      <c r="N11">
        <v>4095567.5619102502</v>
      </c>
      <c r="O11">
        <v>4085151.5958675402</v>
      </c>
      <c r="P11">
        <v>3908737.0628064498</v>
      </c>
      <c r="Q11">
        <v>3948340.7667378699</v>
      </c>
      <c r="R11">
        <v>3822439.0328476001</v>
      </c>
      <c r="S11">
        <v>3778984.8182595102</v>
      </c>
      <c r="T11">
        <v>4019349.0491352798</v>
      </c>
      <c r="U11">
        <v>4133079.8515009</v>
      </c>
      <c r="V11">
        <v>4054103.7638737499</v>
      </c>
      <c r="W11">
        <v>3950824.1942978101</v>
      </c>
      <c r="X11">
        <v>3810395.98568189</v>
      </c>
      <c r="Y11">
        <v>3750926.2387283002</v>
      </c>
      <c r="Z11">
        <v>4051101.7860129499</v>
      </c>
      <c r="AA11">
        <v>4168198.8843514202</v>
      </c>
      <c r="AB11">
        <v>4162084.20019833</v>
      </c>
      <c r="AC11">
        <v>4081383.2452917802</v>
      </c>
      <c r="AD11">
        <v>3807864.9894870101</v>
      </c>
      <c r="AE11">
        <v>4220734</v>
      </c>
      <c r="AF11">
        <v>4132975</v>
      </c>
    </row>
    <row r="12" spans="1:32" x14ac:dyDescent="0.3">
      <c r="A12" t="s">
        <v>38</v>
      </c>
      <c r="B12" t="s">
        <v>106</v>
      </c>
      <c r="C12" t="s">
        <v>86</v>
      </c>
      <c r="D12" t="s">
        <v>107</v>
      </c>
      <c r="E12" t="s">
        <v>87</v>
      </c>
      <c r="F12">
        <v>15652817.429836599</v>
      </c>
      <c r="G12">
        <v>16051159.447884301</v>
      </c>
      <c r="H12">
        <v>16207685.327091301</v>
      </c>
      <c r="I12">
        <v>15395162.4249791</v>
      </c>
      <c r="J12">
        <v>15457314.4227587</v>
      </c>
      <c r="K12">
        <v>15285955.4113355</v>
      </c>
      <c r="L12">
        <v>15010956.664486799</v>
      </c>
      <c r="M12">
        <v>14760652.154280899</v>
      </c>
      <c r="N12">
        <v>14790957.9461556</v>
      </c>
      <c r="O12">
        <v>14794136.1006625</v>
      </c>
      <c r="P12">
        <v>14662567.466880901</v>
      </c>
      <c r="Q12">
        <v>14905518.210406501</v>
      </c>
      <c r="R12">
        <v>14810570.3275957</v>
      </c>
      <c r="S12">
        <v>13903597.419034099</v>
      </c>
      <c r="T12">
        <v>12038713.6886125</v>
      </c>
      <c r="U12">
        <v>12790465.223835999</v>
      </c>
      <c r="V12">
        <v>12704723.5404948</v>
      </c>
      <c r="W12">
        <v>12249096.556739699</v>
      </c>
      <c r="X12">
        <v>11815901.5738973</v>
      </c>
      <c r="Y12">
        <v>11694346.550433001</v>
      </c>
      <c r="Z12">
        <v>11973146.5809235</v>
      </c>
      <c r="AA12">
        <v>12014004.1471579</v>
      </c>
      <c r="AB12">
        <v>12239070.472464001</v>
      </c>
      <c r="AC12">
        <v>12280313.754824299</v>
      </c>
      <c r="AD12">
        <v>12091539.364953</v>
      </c>
      <c r="AE12">
        <v>11601241</v>
      </c>
      <c r="AF12">
        <v>11961601</v>
      </c>
    </row>
    <row r="13" spans="1:32" x14ac:dyDescent="0.3">
      <c r="A13" t="s">
        <v>38</v>
      </c>
      <c r="B13" t="s">
        <v>108</v>
      </c>
      <c r="C13" t="s">
        <v>86</v>
      </c>
      <c r="D13" t="s">
        <v>109</v>
      </c>
      <c r="E13" t="s">
        <v>87</v>
      </c>
      <c r="F13">
        <v>46074748.145219199</v>
      </c>
      <c r="G13">
        <v>45799409.505883299</v>
      </c>
      <c r="H13">
        <v>46499943.750209898</v>
      </c>
      <c r="I13">
        <v>42990168.717977501</v>
      </c>
      <c r="J13">
        <v>39044606.190798</v>
      </c>
      <c r="K13">
        <v>40908342.542271197</v>
      </c>
      <c r="L13">
        <v>40249773.989784896</v>
      </c>
      <c r="M13">
        <v>40194892.843364097</v>
      </c>
      <c r="N13">
        <v>38351842.720315702</v>
      </c>
      <c r="O13">
        <v>39976875.316412903</v>
      </c>
      <c r="P13">
        <v>41589033.104494497</v>
      </c>
      <c r="Q13">
        <v>42529525.478296198</v>
      </c>
      <c r="R13">
        <v>44822941.3502094</v>
      </c>
      <c r="S13">
        <v>44177973.990733303</v>
      </c>
      <c r="T13">
        <v>35376803.2867596</v>
      </c>
      <c r="U13">
        <v>38246857.840551399</v>
      </c>
      <c r="V13">
        <v>37983269.549365498</v>
      </c>
      <c r="W13">
        <v>39529174.474273503</v>
      </c>
      <c r="X13">
        <v>38100154.3694304</v>
      </c>
      <c r="Y13">
        <v>38382784.004265599</v>
      </c>
      <c r="Z13">
        <v>36660925.4820842</v>
      </c>
      <c r="AA13">
        <v>37243034.272893302</v>
      </c>
      <c r="AB13">
        <v>37331596.591057204</v>
      </c>
      <c r="AC13">
        <v>37646209.362090699</v>
      </c>
      <c r="AD13">
        <v>36457995.192831002</v>
      </c>
      <c r="AE13">
        <v>31883608</v>
      </c>
      <c r="AF13">
        <v>34277059</v>
      </c>
    </row>
    <row r="14" spans="1:32" x14ac:dyDescent="0.3">
      <c r="A14" t="s">
        <v>38</v>
      </c>
      <c r="B14" t="s">
        <v>110</v>
      </c>
      <c r="C14" t="s">
        <v>86</v>
      </c>
      <c r="D14" t="s">
        <v>111</v>
      </c>
      <c r="E14" t="s">
        <v>87</v>
      </c>
      <c r="F14">
        <v>14162928.877052</v>
      </c>
      <c r="G14">
        <v>16011693.248006901</v>
      </c>
      <c r="H14">
        <v>17545280.968367901</v>
      </c>
      <c r="I14">
        <v>16495167.4695209</v>
      </c>
      <c r="J14">
        <v>16974493.482125498</v>
      </c>
      <c r="K14">
        <v>18973652.127251901</v>
      </c>
      <c r="L14">
        <v>17999310.735095602</v>
      </c>
      <c r="M14">
        <v>16697298.470610799</v>
      </c>
      <c r="N14">
        <v>17948248.049643502</v>
      </c>
      <c r="O14">
        <v>18539866.647846598</v>
      </c>
      <c r="P14">
        <v>18314013.6866314</v>
      </c>
      <c r="Q14">
        <v>19445499.3210155</v>
      </c>
      <c r="R14">
        <v>20655073.2615357</v>
      </c>
      <c r="S14">
        <v>20974283.486086201</v>
      </c>
      <c r="T14">
        <v>16378286.3559753</v>
      </c>
      <c r="U14">
        <v>17431081.618434999</v>
      </c>
      <c r="V14">
        <v>16656844.128241099</v>
      </c>
      <c r="W14">
        <v>14443578.583309401</v>
      </c>
      <c r="X14">
        <v>13625318.632432999</v>
      </c>
      <c r="Y14">
        <v>14642458.899317499</v>
      </c>
      <c r="Z14">
        <v>15093514.293893101</v>
      </c>
      <c r="AA14">
        <v>14405414.151521301</v>
      </c>
      <c r="AB14">
        <v>15441980.7671725</v>
      </c>
      <c r="AC14">
        <v>15397544.2368365</v>
      </c>
      <c r="AD14">
        <v>14452817.693</v>
      </c>
      <c r="AE14">
        <v>14313802</v>
      </c>
      <c r="AF14">
        <v>15170328</v>
      </c>
    </row>
    <row r="15" spans="1:32" x14ac:dyDescent="0.3">
      <c r="A15" t="s">
        <v>38</v>
      </c>
      <c r="B15" t="s">
        <v>112</v>
      </c>
      <c r="C15" t="s">
        <v>86</v>
      </c>
      <c r="D15" t="s">
        <v>113</v>
      </c>
      <c r="E15" t="s">
        <v>87</v>
      </c>
    </row>
    <row r="16" spans="1:32" x14ac:dyDescent="0.3">
      <c r="A16" t="s">
        <v>38</v>
      </c>
      <c r="B16" t="s">
        <v>114</v>
      </c>
      <c r="C16" t="s">
        <v>86</v>
      </c>
      <c r="D16" t="s">
        <v>115</v>
      </c>
      <c r="E16" t="s">
        <v>87</v>
      </c>
      <c r="F16">
        <v>9600426.8094388396</v>
      </c>
      <c r="G16">
        <v>10158897.8182841</v>
      </c>
      <c r="H16">
        <v>10386667.2124101</v>
      </c>
      <c r="I16">
        <v>9459133.57819991</v>
      </c>
      <c r="J16">
        <v>8871166.8746074308</v>
      </c>
      <c r="K16">
        <v>9728849.7815194093</v>
      </c>
      <c r="L16">
        <v>10066084.521618299</v>
      </c>
      <c r="M16">
        <v>8798840.61720719</v>
      </c>
      <c r="N16">
        <v>8809918.7570910193</v>
      </c>
      <c r="O16">
        <v>9073764.3211008105</v>
      </c>
      <c r="P16">
        <v>9444976.7589240205</v>
      </c>
      <c r="Q16">
        <v>10099022.073455499</v>
      </c>
      <c r="R16">
        <v>10464759.515648101</v>
      </c>
      <c r="S16">
        <v>9869516.4848800097</v>
      </c>
      <c r="T16">
        <v>8816476.2556376401</v>
      </c>
      <c r="U16">
        <v>9885071.2917722091</v>
      </c>
      <c r="V16">
        <v>9776820.7345601004</v>
      </c>
      <c r="W16">
        <v>10286426.9465601</v>
      </c>
      <c r="X16">
        <v>10325373.378587199</v>
      </c>
      <c r="Y16">
        <v>10802214.141325301</v>
      </c>
      <c r="Z16">
        <v>10786547.5177345</v>
      </c>
      <c r="AA16">
        <v>10584114.8645138</v>
      </c>
      <c r="AB16">
        <v>10755216.818492601</v>
      </c>
      <c r="AC16">
        <v>11688578.822523599</v>
      </c>
      <c r="AD16">
        <v>11282373.7809257</v>
      </c>
      <c r="AE16">
        <v>10849275</v>
      </c>
      <c r="AF16">
        <v>10920935</v>
      </c>
    </row>
    <row r="17" spans="1:32" x14ac:dyDescent="0.3">
      <c r="A17" t="s">
        <v>38</v>
      </c>
      <c r="B17" t="s">
        <v>116</v>
      </c>
      <c r="C17" t="s">
        <v>86</v>
      </c>
      <c r="D17" t="s">
        <v>117</v>
      </c>
      <c r="E17" t="s">
        <v>87</v>
      </c>
      <c r="F17">
        <v>17441494.9169177</v>
      </c>
      <c r="G17">
        <v>18722972.618687499</v>
      </c>
      <c r="H17">
        <v>19303246.7792731</v>
      </c>
      <c r="I17">
        <v>18143766.0707413</v>
      </c>
      <c r="J17">
        <v>17073405.645681899</v>
      </c>
      <c r="K17">
        <v>18391317.955754202</v>
      </c>
      <c r="L17">
        <v>18098762.331504598</v>
      </c>
      <c r="M17">
        <v>16492115.9350644</v>
      </c>
      <c r="N17">
        <v>17371100.838841598</v>
      </c>
      <c r="O17">
        <v>19156788.5574321</v>
      </c>
      <c r="P17">
        <v>20600013.7481918</v>
      </c>
      <c r="Q17">
        <v>21684366.809313599</v>
      </c>
      <c r="R17">
        <v>22644846.673116799</v>
      </c>
      <c r="S17">
        <v>20989352.245835301</v>
      </c>
      <c r="T17">
        <v>13964852.3509956</v>
      </c>
      <c r="U17">
        <v>15665796.308263101</v>
      </c>
      <c r="V17">
        <v>17181752.021937601</v>
      </c>
      <c r="W17">
        <v>17349627.083190002</v>
      </c>
      <c r="X17">
        <v>16597718.2890768</v>
      </c>
      <c r="Y17">
        <v>17233131.739331301</v>
      </c>
      <c r="Z17">
        <v>18027602.7141531</v>
      </c>
      <c r="AA17">
        <v>18419931.2623882</v>
      </c>
      <c r="AB17">
        <v>19523383.8349117</v>
      </c>
      <c r="AC17">
        <v>20253187.888284501</v>
      </c>
      <c r="AD17">
        <v>19071110.258545302</v>
      </c>
      <c r="AE17">
        <v>16967272</v>
      </c>
      <c r="AF17">
        <v>18667414</v>
      </c>
    </row>
    <row r="18" spans="1:32" x14ac:dyDescent="0.3">
      <c r="A18" t="s">
        <v>38</v>
      </c>
      <c r="B18" t="s">
        <v>118</v>
      </c>
      <c r="C18" t="s">
        <v>86</v>
      </c>
      <c r="D18" t="s">
        <v>119</v>
      </c>
      <c r="E18" t="s">
        <v>87</v>
      </c>
      <c r="F18">
        <v>28836601.5258082</v>
      </c>
      <c r="G18">
        <v>29274202.083185401</v>
      </c>
      <c r="H18">
        <v>31494835.405134801</v>
      </c>
      <c r="I18">
        <v>28438140.740668699</v>
      </c>
      <c r="J18">
        <v>27798763.610127199</v>
      </c>
      <c r="K18">
        <v>29947932.918804899</v>
      </c>
      <c r="L18">
        <v>30697029.513585299</v>
      </c>
      <c r="M18">
        <v>32348035.979995199</v>
      </c>
      <c r="N18">
        <v>34727836.998226002</v>
      </c>
      <c r="O18">
        <v>36835625.983849302</v>
      </c>
      <c r="P18">
        <v>38728208.273650996</v>
      </c>
      <c r="Q18">
        <v>41789048.371475302</v>
      </c>
      <c r="R18">
        <v>44241999.707380503</v>
      </c>
      <c r="S18">
        <v>44824742.569204502</v>
      </c>
      <c r="T18">
        <v>30749827.865530498</v>
      </c>
      <c r="U18">
        <v>37985603.328261197</v>
      </c>
      <c r="V18">
        <v>35531897.066106804</v>
      </c>
      <c r="W18">
        <v>38624366.156475097</v>
      </c>
      <c r="X18">
        <v>40701964.352034003</v>
      </c>
      <c r="Y18">
        <v>41624486.377287097</v>
      </c>
      <c r="Z18">
        <v>43658283.553719804</v>
      </c>
      <c r="AA18">
        <v>44031179.1319414</v>
      </c>
      <c r="AB18">
        <v>46529791.745980702</v>
      </c>
      <c r="AC18">
        <v>47411003.545647003</v>
      </c>
      <c r="AD18">
        <v>47101782.848594703</v>
      </c>
      <c r="AE18">
        <v>38227773</v>
      </c>
      <c r="AF18">
        <v>38334557</v>
      </c>
    </row>
    <row r="19" spans="1:32" x14ac:dyDescent="0.3">
      <c r="A19" t="s">
        <v>38</v>
      </c>
      <c r="B19" t="s">
        <v>120</v>
      </c>
      <c r="C19" t="s">
        <v>86</v>
      </c>
      <c r="D19" t="s">
        <v>121</v>
      </c>
      <c r="E19" t="s">
        <v>87</v>
      </c>
      <c r="F19">
        <v>6934815.4811173296</v>
      </c>
      <c r="G19">
        <v>6924987.6758331098</v>
      </c>
      <c r="H19">
        <v>6629612.2011152003</v>
      </c>
      <c r="I19">
        <v>6237986.8175593102</v>
      </c>
      <c r="J19">
        <v>5652383.0247142203</v>
      </c>
      <c r="K19">
        <v>5603387.8537304197</v>
      </c>
      <c r="L19">
        <v>5525344.61713388</v>
      </c>
      <c r="M19">
        <v>5073560.5125980796</v>
      </c>
      <c r="N19">
        <v>4706605.9938999396</v>
      </c>
      <c r="O19">
        <v>4211431.3575371103</v>
      </c>
      <c r="P19">
        <v>4288883.5206542201</v>
      </c>
      <c r="Q19">
        <v>4249500.8282365296</v>
      </c>
      <c r="R19">
        <v>3998346.41746207</v>
      </c>
      <c r="S19">
        <v>3808439.18777854</v>
      </c>
      <c r="T19">
        <v>3151033.9271173398</v>
      </c>
      <c r="U19">
        <v>3103906.48717028</v>
      </c>
      <c r="V19">
        <v>3192522.6397542399</v>
      </c>
      <c r="W19">
        <v>3135041.7608814701</v>
      </c>
      <c r="X19">
        <v>3095698.2047971901</v>
      </c>
      <c r="Y19">
        <v>3045725.5748866098</v>
      </c>
      <c r="Z19">
        <v>3144458.1917487001</v>
      </c>
      <c r="AA19">
        <v>3219455.9016651302</v>
      </c>
      <c r="AB19">
        <v>3208077.0280538299</v>
      </c>
      <c r="AC19">
        <v>3154889.7863437999</v>
      </c>
      <c r="AD19">
        <v>3162575.3199954499</v>
      </c>
      <c r="AE19">
        <v>3096786</v>
      </c>
      <c r="AF19">
        <v>3525247</v>
      </c>
    </row>
    <row r="20" spans="1:32" x14ac:dyDescent="0.3">
      <c r="A20" t="s">
        <v>38</v>
      </c>
      <c r="B20" t="s">
        <v>122</v>
      </c>
      <c r="C20" t="s">
        <v>86</v>
      </c>
      <c r="D20" t="s">
        <v>123</v>
      </c>
      <c r="E20" t="s">
        <v>87</v>
      </c>
      <c r="F20">
        <v>12766596.746069901</v>
      </c>
      <c r="G20">
        <v>12248570.473365501</v>
      </c>
      <c r="H20">
        <v>12054098.292448901</v>
      </c>
      <c r="I20">
        <v>12167272.520556601</v>
      </c>
      <c r="J20">
        <v>12598944.6249882</v>
      </c>
      <c r="K20">
        <v>12271453.636799799</v>
      </c>
      <c r="L20">
        <v>12080097.1370953</v>
      </c>
      <c r="M20">
        <v>12192188.726720899</v>
      </c>
      <c r="N20">
        <v>12293029.6598453</v>
      </c>
      <c r="O20">
        <v>12114186.857696</v>
      </c>
      <c r="P20">
        <v>11586661.211608401</v>
      </c>
      <c r="Q20">
        <v>11418333.1330925</v>
      </c>
      <c r="R20">
        <v>12777457.3801479</v>
      </c>
      <c r="S20">
        <v>12114256.3185111</v>
      </c>
      <c r="T20">
        <v>13096507.666958399</v>
      </c>
      <c r="U20">
        <v>12730121.457685299</v>
      </c>
      <c r="V20">
        <v>13895302.0133167</v>
      </c>
      <c r="W20">
        <v>14877241.718428301</v>
      </c>
      <c r="X20">
        <v>13789643.357473699</v>
      </c>
      <c r="Y20">
        <v>13131264.700582201</v>
      </c>
      <c r="Z20">
        <v>12972448.9004094</v>
      </c>
      <c r="AA20">
        <v>12572810.255031601</v>
      </c>
      <c r="AB20">
        <v>11850685.3947547</v>
      </c>
      <c r="AC20">
        <v>11661857.810067</v>
      </c>
      <c r="AD20">
        <v>11510453.4775536</v>
      </c>
      <c r="AE20">
        <v>11505717</v>
      </c>
      <c r="AF20">
        <v>11715120</v>
      </c>
    </row>
    <row r="21" spans="1:32" x14ac:dyDescent="0.3">
      <c r="A21" t="s">
        <v>38</v>
      </c>
      <c r="B21" t="s">
        <v>124</v>
      </c>
      <c r="C21" t="s">
        <v>86</v>
      </c>
      <c r="D21" t="s">
        <v>125</v>
      </c>
      <c r="E21" t="s">
        <v>87</v>
      </c>
    </row>
    <row r="22" spans="1:32" x14ac:dyDescent="0.3">
      <c r="A22" t="s">
        <v>38</v>
      </c>
      <c r="B22" t="s">
        <v>126</v>
      </c>
      <c r="C22" t="s">
        <v>86</v>
      </c>
      <c r="D22" t="s">
        <v>127</v>
      </c>
      <c r="E22" t="s">
        <v>87</v>
      </c>
      <c r="F22">
        <v>4050938.32327137</v>
      </c>
      <c r="G22">
        <v>4182665.6884485399</v>
      </c>
      <c r="H22">
        <v>4196618.5964875901</v>
      </c>
      <c r="I22">
        <v>4349123.96341353</v>
      </c>
      <c r="J22">
        <v>4481318.5482108304</v>
      </c>
      <c r="K22">
        <v>4409459.8426527297</v>
      </c>
      <c r="L22">
        <v>4698854.6806685198</v>
      </c>
      <c r="M22">
        <v>4909426.8381725699</v>
      </c>
      <c r="N22">
        <v>5003341.85414326</v>
      </c>
      <c r="O22">
        <v>4952532.8296935996</v>
      </c>
      <c r="P22">
        <v>4919985.8636337798</v>
      </c>
      <c r="Q22">
        <v>4784727.5364050996</v>
      </c>
      <c r="R22">
        <v>4735622.7134422101</v>
      </c>
      <c r="S22">
        <v>4588715.1152114598</v>
      </c>
      <c r="T22">
        <v>4677274.12207413</v>
      </c>
      <c r="U22">
        <v>4610532.6221196</v>
      </c>
      <c r="V22">
        <v>4614150.4632654795</v>
      </c>
      <c r="W22">
        <v>4696303.2019488402</v>
      </c>
      <c r="X22">
        <v>4747405.6774927899</v>
      </c>
      <c r="Y22">
        <v>4889500.3832980599</v>
      </c>
      <c r="Z22">
        <v>5171860.1079189004</v>
      </c>
      <c r="AA22">
        <v>5415729.9236054104</v>
      </c>
      <c r="AB22">
        <v>5411383.0888329297</v>
      </c>
      <c r="AC22">
        <v>5243602.4486802304</v>
      </c>
      <c r="AD22">
        <v>5235782.4501192002</v>
      </c>
      <c r="AE22">
        <v>5426066</v>
      </c>
      <c r="AF22">
        <v>5299460</v>
      </c>
    </row>
    <row r="23" spans="1:32" x14ac:dyDescent="0.3">
      <c r="A23" t="s">
        <v>38</v>
      </c>
      <c r="B23" t="s">
        <v>128</v>
      </c>
      <c r="C23" t="s">
        <v>86</v>
      </c>
      <c r="D23" t="s">
        <v>129</v>
      </c>
      <c r="E23" t="s">
        <v>87</v>
      </c>
      <c r="F23">
        <v>57691634.919249304</v>
      </c>
      <c r="G23">
        <v>61034683.554856703</v>
      </c>
      <c r="H23">
        <v>56988418.390815698</v>
      </c>
      <c r="I23">
        <v>53846556.334962398</v>
      </c>
      <c r="J23">
        <v>52284640.863409698</v>
      </c>
      <c r="K23">
        <v>51373025.292389199</v>
      </c>
      <c r="L23">
        <v>49007923.0304638</v>
      </c>
      <c r="M23">
        <v>46461255.629834801</v>
      </c>
      <c r="N23">
        <v>44482648.382548302</v>
      </c>
      <c r="O23">
        <v>42732282.077152804</v>
      </c>
      <c r="P23">
        <v>42037953.3823421</v>
      </c>
      <c r="Q23">
        <v>40482161.231383599</v>
      </c>
      <c r="R23">
        <v>37644499.541122302</v>
      </c>
      <c r="S23">
        <v>35378773.252872303</v>
      </c>
      <c r="T23">
        <v>32371259.654263198</v>
      </c>
      <c r="U23">
        <v>31479892.0669032</v>
      </c>
      <c r="V23">
        <v>33343231.843654599</v>
      </c>
      <c r="W23">
        <v>34209986.377030201</v>
      </c>
      <c r="X23">
        <v>36784931.723509803</v>
      </c>
      <c r="Y23">
        <v>35152298.222864099</v>
      </c>
      <c r="Z23">
        <v>34975904.897776701</v>
      </c>
      <c r="AA23">
        <v>36263744.148001701</v>
      </c>
      <c r="AB23">
        <v>36685599.3633385</v>
      </c>
      <c r="AC23">
        <v>36542680.162461497</v>
      </c>
      <c r="AD23">
        <v>36689168.905404001</v>
      </c>
      <c r="AE23">
        <v>35437967</v>
      </c>
      <c r="AF23">
        <v>34535727</v>
      </c>
    </row>
    <row r="24" spans="1:32" x14ac:dyDescent="0.3">
      <c r="A24" t="s">
        <v>38</v>
      </c>
      <c r="B24" t="s">
        <v>130</v>
      </c>
      <c r="C24" t="s">
        <v>86</v>
      </c>
      <c r="D24" t="s">
        <v>131</v>
      </c>
      <c r="E24" t="s">
        <v>87</v>
      </c>
      <c r="F24">
        <v>34151504.381495804</v>
      </c>
      <c r="G24">
        <v>35422331.167110696</v>
      </c>
      <c r="H24">
        <v>36182251.651048698</v>
      </c>
      <c r="I24">
        <v>35885239.2183057</v>
      </c>
      <c r="J24">
        <v>36968290.768118702</v>
      </c>
      <c r="K24">
        <v>37311084.519122198</v>
      </c>
      <c r="L24">
        <v>38363473.843433999</v>
      </c>
      <c r="M24">
        <v>39288686.032715298</v>
      </c>
      <c r="N24">
        <v>40856144.474903703</v>
      </c>
      <c r="O24">
        <v>41435475.243482903</v>
      </c>
      <c r="P24">
        <v>45688057.874815397</v>
      </c>
      <c r="Q24">
        <v>46142408.849380396</v>
      </c>
      <c r="R24">
        <v>46351145.348181397</v>
      </c>
      <c r="S24">
        <v>46702373.786481597</v>
      </c>
      <c r="T24">
        <v>42584370.653792404</v>
      </c>
      <c r="U24">
        <v>45152997.340365298</v>
      </c>
      <c r="V24">
        <v>44979904.9754664</v>
      </c>
      <c r="W24">
        <v>45480110.013065197</v>
      </c>
      <c r="X24">
        <v>46971008.220369399</v>
      </c>
      <c r="Y24">
        <v>45521342.887836099</v>
      </c>
      <c r="Z24">
        <v>45129381.142658897</v>
      </c>
      <c r="AA24">
        <v>45590307.849958703</v>
      </c>
      <c r="AB24">
        <v>45877140.218862399</v>
      </c>
      <c r="AC24">
        <v>47318884.555056296</v>
      </c>
      <c r="AD24">
        <v>47209291.235721901</v>
      </c>
      <c r="AE24">
        <v>47783164</v>
      </c>
      <c r="AF24">
        <v>49152173</v>
      </c>
    </row>
    <row r="25" spans="1:32" x14ac:dyDescent="0.3">
      <c r="A25" t="s">
        <v>38</v>
      </c>
      <c r="B25" t="s">
        <v>132</v>
      </c>
      <c r="C25" t="s">
        <v>86</v>
      </c>
      <c r="D25" t="s">
        <v>133</v>
      </c>
      <c r="E25" t="s">
        <v>87</v>
      </c>
      <c r="F25">
        <v>4348686.1415087599</v>
      </c>
      <c r="G25">
        <v>4589637.0578699699</v>
      </c>
      <c r="H25">
        <v>4899864.7342572799</v>
      </c>
      <c r="I25">
        <v>4839881.4938199399</v>
      </c>
      <c r="J25">
        <v>5094067.5322632603</v>
      </c>
      <c r="K25">
        <v>5429396.51372464</v>
      </c>
      <c r="L25">
        <v>5085451.7608602699</v>
      </c>
      <c r="M25">
        <v>5077312.42025497</v>
      </c>
      <c r="N25">
        <v>5309879.3342813402</v>
      </c>
      <c r="O25">
        <v>5473138.3870010003</v>
      </c>
      <c r="P25">
        <v>6227609.3926862599</v>
      </c>
      <c r="Q25">
        <v>5741131.8241107604</v>
      </c>
      <c r="R25">
        <v>5184217.57449672</v>
      </c>
      <c r="S25">
        <v>4335717.9380813604</v>
      </c>
      <c r="T25">
        <v>3312126.9795320798</v>
      </c>
      <c r="U25">
        <v>3331720.8028089101</v>
      </c>
      <c r="V25">
        <v>2773066.2279801499</v>
      </c>
      <c r="W25">
        <v>2942723.6409054399</v>
      </c>
      <c r="X25">
        <v>3091699.6959595699</v>
      </c>
      <c r="Y25">
        <v>3337252.12411635</v>
      </c>
      <c r="Z25">
        <v>3431444.7439133702</v>
      </c>
      <c r="AA25">
        <v>3622210.5407116599</v>
      </c>
      <c r="AB25">
        <v>3895427.75382064</v>
      </c>
      <c r="AC25">
        <v>3859029.1729919598</v>
      </c>
      <c r="AD25">
        <v>3772020.1523397998</v>
      </c>
      <c r="AE25">
        <v>3670203</v>
      </c>
      <c r="AF25">
        <v>3466688</v>
      </c>
    </row>
    <row r="26" spans="1:32" x14ac:dyDescent="0.3">
      <c r="A26" t="s">
        <v>38</v>
      </c>
      <c r="B26" t="s">
        <v>134</v>
      </c>
      <c r="C26" t="s">
        <v>86</v>
      </c>
      <c r="D26" t="s">
        <v>135</v>
      </c>
      <c r="E26" t="s">
        <v>87</v>
      </c>
      <c r="F26">
        <v>18463364.0881419</v>
      </c>
      <c r="G26">
        <v>19325790.634042799</v>
      </c>
      <c r="H26">
        <v>20003505.338467602</v>
      </c>
      <c r="I26">
        <v>19342929.938614</v>
      </c>
      <c r="J26">
        <v>20218387.630993798</v>
      </c>
      <c r="K26">
        <v>19999702.488705002</v>
      </c>
      <c r="L26">
        <v>20856367.7362637</v>
      </c>
      <c r="M26">
        <v>21573369.2682546</v>
      </c>
      <c r="N26">
        <v>22475774.993783802</v>
      </c>
      <c r="O26">
        <v>22821966.0355745</v>
      </c>
      <c r="P26">
        <v>26422468.791308101</v>
      </c>
      <c r="Q26">
        <v>26648385.003382001</v>
      </c>
      <c r="R26">
        <v>25725149.499954499</v>
      </c>
      <c r="S26">
        <v>25772099.857473101</v>
      </c>
      <c r="T26">
        <v>20387796.431874398</v>
      </c>
      <c r="U26">
        <v>21273390.689335</v>
      </c>
      <c r="V26">
        <v>20645196.758517001</v>
      </c>
      <c r="W26">
        <v>20095100.806506298</v>
      </c>
      <c r="X26">
        <v>19981614.591008801</v>
      </c>
      <c r="Y26">
        <v>17935225.348017901</v>
      </c>
      <c r="Z26">
        <v>16732730.2964876</v>
      </c>
      <c r="AA26">
        <v>17059671.242609099</v>
      </c>
      <c r="AB26">
        <v>17289434.1723326</v>
      </c>
      <c r="AC26">
        <v>17588534.714478798</v>
      </c>
      <c r="AD26">
        <v>16952346.524631102</v>
      </c>
      <c r="AE26">
        <v>16157652</v>
      </c>
      <c r="AF26">
        <v>17628539</v>
      </c>
    </row>
    <row r="27" spans="1:32" x14ac:dyDescent="0.3">
      <c r="A27" t="s">
        <v>38</v>
      </c>
      <c r="B27" t="s">
        <v>136</v>
      </c>
      <c r="C27" t="s">
        <v>86</v>
      </c>
      <c r="D27" t="s">
        <v>137</v>
      </c>
      <c r="E27" t="s">
        <v>87</v>
      </c>
      <c r="F27">
        <v>11731735.4403855</v>
      </c>
      <c r="G27">
        <v>11927869.286812199</v>
      </c>
      <c r="H27">
        <v>11728569.2594638</v>
      </c>
      <c r="I27">
        <v>12096228.115235999</v>
      </c>
      <c r="J27">
        <v>12088834.4636057</v>
      </c>
      <c r="K27">
        <v>12267447.938187201</v>
      </c>
      <c r="L27">
        <v>12859870.0924783</v>
      </c>
      <c r="M27">
        <v>13110644.811618799</v>
      </c>
      <c r="N27">
        <v>13566660.453945899</v>
      </c>
      <c r="O27">
        <v>13649237.382390101</v>
      </c>
      <c r="P27">
        <v>13727413.498432299</v>
      </c>
      <c r="Q27">
        <v>14421282.312494401</v>
      </c>
      <c r="R27">
        <v>16003789.326610001</v>
      </c>
      <c r="S27">
        <v>17111936.756621201</v>
      </c>
      <c r="T27">
        <v>19120979.450981598</v>
      </c>
      <c r="U27">
        <v>20770510.847218599</v>
      </c>
      <c r="V27">
        <v>21739110.158794999</v>
      </c>
      <c r="W27">
        <v>22587391.542942401</v>
      </c>
      <c r="X27">
        <v>24010131.413250599</v>
      </c>
      <c r="Y27">
        <v>24300532.095735598</v>
      </c>
      <c r="Z27">
        <v>24974899.604249399</v>
      </c>
      <c r="AA27">
        <v>24930407.4411887</v>
      </c>
      <c r="AB27">
        <v>24724181.689439502</v>
      </c>
      <c r="AC27">
        <v>25893607.583028801</v>
      </c>
      <c r="AD27">
        <v>26496760.409804199</v>
      </c>
      <c r="AE27">
        <v>27955309</v>
      </c>
      <c r="AF27">
        <v>28056946</v>
      </c>
    </row>
    <row r="28" spans="1:32" x14ac:dyDescent="0.3">
      <c r="A28" t="s">
        <v>38</v>
      </c>
      <c r="B28" t="s">
        <v>138</v>
      </c>
      <c r="C28" t="s">
        <v>86</v>
      </c>
      <c r="D28" t="s">
        <v>139</v>
      </c>
      <c r="E28" t="s">
        <v>87</v>
      </c>
      <c r="F28">
        <v>19076407.6182799</v>
      </c>
      <c r="G28">
        <v>17650006.235517599</v>
      </c>
      <c r="H28">
        <v>17818717.2664156</v>
      </c>
      <c r="I28">
        <v>18097775.482314501</v>
      </c>
      <c r="J28">
        <v>17902804.710250601</v>
      </c>
      <c r="K28">
        <v>17642094.6539689</v>
      </c>
      <c r="L28">
        <v>17646762.435210101</v>
      </c>
      <c r="M28">
        <v>17692816.9490037</v>
      </c>
      <c r="N28">
        <v>18092724.219040401</v>
      </c>
      <c r="O28">
        <v>18454096.5689753</v>
      </c>
      <c r="P28">
        <v>18777929.667685799</v>
      </c>
      <c r="Q28">
        <v>18273153.189292099</v>
      </c>
      <c r="R28">
        <v>18294820.1463378</v>
      </c>
      <c r="S28">
        <v>18220071.9187239</v>
      </c>
      <c r="T28">
        <v>17301120.745103799</v>
      </c>
      <c r="U28">
        <v>16940908.825633399</v>
      </c>
      <c r="V28">
        <v>16149983.0361828</v>
      </c>
      <c r="W28">
        <v>16989933.588450499</v>
      </c>
      <c r="X28">
        <v>17077481.942820601</v>
      </c>
      <c r="Y28">
        <v>17600090.136895001</v>
      </c>
      <c r="Z28">
        <v>18383244.713970199</v>
      </c>
      <c r="AA28">
        <v>18424439.115236301</v>
      </c>
      <c r="AB28">
        <v>18497678.6090197</v>
      </c>
      <c r="AC28">
        <v>17915192.6699766</v>
      </c>
      <c r="AD28">
        <v>17659192.337885901</v>
      </c>
      <c r="AE28">
        <v>14995575</v>
      </c>
      <c r="AF28">
        <v>14483030</v>
      </c>
    </row>
    <row r="29" spans="1:32" x14ac:dyDescent="0.3">
      <c r="A29" t="s">
        <v>38</v>
      </c>
      <c r="B29" t="s">
        <v>140</v>
      </c>
      <c r="C29" t="s">
        <v>86</v>
      </c>
      <c r="D29" t="s">
        <v>141</v>
      </c>
      <c r="E29" t="s">
        <v>87</v>
      </c>
      <c r="F29">
        <v>10503224.274800399</v>
      </c>
      <c r="G29">
        <v>9527739.3176148292</v>
      </c>
      <c r="H29">
        <v>9280213.9188643694</v>
      </c>
      <c r="I29">
        <v>9132739.5900670793</v>
      </c>
      <c r="J29">
        <v>9123681.4441777505</v>
      </c>
      <c r="K29">
        <v>9459519.1515441798</v>
      </c>
      <c r="L29">
        <v>9078837.4102972392</v>
      </c>
      <c r="M29">
        <v>8917415.9363661408</v>
      </c>
      <c r="N29">
        <v>9248914.2878899798</v>
      </c>
      <c r="O29">
        <v>9487579.1393764094</v>
      </c>
      <c r="P29">
        <v>8990387.0130188502</v>
      </c>
      <c r="Q29">
        <v>8214581.5108375596</v>
      </c>
      <c r="R29">
        <v>7931725.4240070097</v>
      </c>
      <c r="S29">
        <v>7964306.2970802896</v>
      </c>
      <c r="T29">
        <v>8120970.0328788897</v>
      </c>
      <c r="U29">
        <v>7304776.3769907197</v>
      </c>
      <c r="V29">
        <v>6693917.5986287603</v>
      </c>
      <c r="W29">
        <v>6783012.5166167105</v>
      </c>
      <c r="X29">
        <v>6835342.4192971801</v>
      </c>
      <c r="Y29">
        <v>6772557.9452241603</v>
      </c>
      <c r="Z29">
        <v>7142981.1964773703</v>
      </c>
      <c r="AA29">
        <v>7714390.3848053701</v>
      </c>
      <c r="AB29">
        <v>7550551.7119314196</v>
      </c>
      <c r="AC29">
        <v>7296778.7883292297</v>
      </c>
      <c r="AD29">
        <v>7460933.9476156496</v>
      </c>
      <c r="AE29">
        <v>7164558</v>
      </c>
      <c r="AF29">
        <v>6830004</v>
      </c>
    </row>
    <row r="30" spans="1:32" x14ac:dyDescent="0.3">
      <c r="A30" t="s">
        <v>38</v>
      </c>
      <c r="B30" t="s">
        <v>142</v>
      </c>
      <c r="C30" t="s">
        <v>86</v>
      </c>
      <c r="D30" t="s">
        <v>143</v>
      </c>
      <c r="E30" t="s">
        <v>87</v>
      </c>
      <c r="F30">
        <v>2393598.8189691999</v>
      </c>
      <c r="G30">
        <v>2160983.5884272298</v>
      </c>
      <c r="H30">
        <v>2375622.8794152499</v>
      </c>
      <c r="I30">
        <v>2559014.8291584202</v>
      </c>
      <c r="J30">
        <v>2385876.12430654</v>
      </c>
      <c r="K30">
        <v>2203965.1245152801</v>
      </c>
      <c r="L30">
        <v>2428488.9344027401</v>
      </c>
      <c r="M30">
        <v>2425463.0329048298</v>
      </c>
      <c r="N30">
        <v>2359730.1932387701</v>
      </c>
      <c r="O30">
        <v>2353385.2531787902</v>
      </c>
      <c r="P30">
        <v>2797503.6001736899</v>
      </c>
      <c r="Q30">
        <v>3027509.52881946</v>
      </c>
      <c r="R30">
        <v>3175932.6794540002</v>
      </c>
      <c r="S30">
        <v>3186812.4173524901</v>
      </c>
      <c r="T30">
        <v>2327831.64619837</v>
      </c>
      <c r="U30">
        <v>2856736.33651568</v>
      </c>
      <c r="V30">
        <v>2891213.0545708602</v>
      </c>
      <c r="W30">
        <v>3218052.3490002202</v>
      </c>
      <c r="X30">
        <v>3421410.9443824999</v>
      </c>
      <c r="Y30">
        <v>3720059.60477942</v>
      </c>
      <c r="Z30">
        <v>3673948.3997836602</v>
      </c>
      <c r="AA30">
        <v>2946369.6891383501</v>
      </c>
      <c r="AB30">
        <v>3108696.31327212</v>
      </c>
      <c r="AC30">
        <v>2783888.4165990502</v>
      </c>
      <c r="AD30">
        <v>2487896.7307852102</v>
      </c>
      <c r="AE30">
        <v>2665855</v>
      </c>
      <c r="AF30">
        <v>3458268</v>
      </c>
    </row>
    <row r="31" spans="1:32" x14ac:dyDescent="0.3">
      <c r="A31" t="s">
        <v>38</v>
      </c>
      <c r="B31" t="s">
        <v>144</v>
      </c>
      <c r="C31" t="s">
        <v>86</v>
      </c>
      <c r="D31" t="s">
        <v>145</v>
      </c>
      <c r="E31" t="s">
        <v>87</v>
      </c>
      <c r="F31">
        <v>2539825.8215241702</v>
      </c>
      <c r="G31">
        <v>2690809.3964912598</v>
      </c>
      <c r="H31">
        <v>2688484.0051343902</v>
      </c>
      <c r="I31">
        <v>2768930.9113322799</v>
      </c>
      <c r="J31">
        <v>2877822.8470479199</v>
      </c>
      <c r="K31">
        <v>2828571.0581916198</v>
      </c>
      <c r="L31">
        <v>2901842.6868261201</v>
      </c>
      <c r="M31">
        <v>3100442.1121418099</v>
      </c>
      <c r="N31">
        <v>3296622.6679686899</v>
      </c>
      <c r="O31">
        <v>3474524.1031507901</v>
      </c>
      <c r="P31">
        <v>3617053.3086226499</v>
      </c>
      <c r="Q31">
        <v>3597424.5256655901</v>
      </c>
      <c r="R31">
        <v>3717429.7786277402</v>
      </c>
      <c r="S31">
        <v>3725693.0664645601</v>
      </c>
      <c r="T31">
        <v>3999294.0241923202</v>
      </c>
      <c r="U31">
        <v>3379702.8108514501</v>
      </c>
      <c r="V31">
        <v>3039710.0412660302</v>
      </c>
      <c r="W31">
        <v>3133083.3137105899</v>
      </c>
      <c r="X31">
        <v>2933806.71356731</v>
      </c>
      <c r="Y31">
        <v>3176956.85037447</v>
      </c>
      <c r="Z31">
        <v>3658498.2192641799</v>
      </c>
      <c r="AA31">
        <v>3947925.9710149001</v>
      </c>
      <c r="AB31">
        <v>4081823.10545841</v>
      </c>
      <c r="AC31">
        <v>4221336.1236747196</v>
      </c>
      <c r="AD31">
        <v>4292648.6085841497</v>
      </c>
      <c r="AE31">
        <v>1369765</v>
      </c>
      <c r="AF31">
        <v>723357</v>
      </c>
    </row>
    <row r="32" spans="1:32" x14ac:dyDescent="0.3">
      <c r="A32" t="s">
        <v>38</v>
      </c>
      <c r="B32" t="s">
        <v>146</v>
      </c>
      <c r="C32" t="s">
        <v>86</v>
      </c>
      <c r="D32" t="s">
        <v>147</v>
      </c>
      <c r="E32" t="s">
        <v>87</v>
      </c>
      <c r="F32">
        <v>4315706.7576056505</v>
      </c>
      <c r="G32">
        <v>3856542.52162273</v>
      </c>
      <c r="H32">
        <v>3992576.3083558301</v>
      </c>
      <c r="I32">
        <v>4136118.5054831598</v>
      </c>
      <c r="J32">
        <v>4077846.5045123799</v>
      </c>
      <c r="K32">
        <v>3732999.7214441099</v>
      </c>
      <c r="L32">
        <v>3779631.0643218202</v>
      </c>
      <c r="M32">
        <v>3864641.0350893098</v>
      </c>
      <c r="N32">
        <v>3912446.7810436399</v>
      </c>
      <c r="O32">
        <v>4004571.2562055802</v>
      </c>
      <c r="P32">
        <v>4096461.7088316702</v>
      </c>
      <c r="Q32">
        <v>4087476.4720714898</v>
      </c>
      <c r="R32">
        <v>4078039.3705650601</v>
      </c>
      <c r="S32">
        <v>3814962.5273516802</v>
      </c>
      <c r="T32">
        <v>3815604.3971094</v>
      </c>
      <c r="U32">
        <v>3808652.1985228299</v>
      </c>
      <c r="V32">
        <v>3840932.4638921199</v>
      </c>
      <c r="W32">
        <v>4138226.2818703498</v>
      </c>
      <c r="X32">
        <v>4029011.5615590299</v>
      </c>
      <c r="Y32">
        <v>4109502.29938953</v>
      </c>
      <c r="Z32">
        <v>4227123.61329039</v>
      </c>
      <c r="AA32">
        <v>4368289.2625284996</v>
      </c>
      <c r="AB32">
        <v>4320628.5425059004</v>
      </c>
      <c r="AC32">
        <v>4302746.5543696797</v>
      </c>
      <c r="AD32">
        <v>4197409.8512009596</v>
      </c>
      <c r="AE32">
        <v>3343496</v>
      </c>
      <c r="AF32">
        <v>3034180</v>
      </c>
    </row>
    <row r="33" spans="1:32" x14ac:dyDescent="0.3">
      <c r="A33" t="s">
        <v>38</v>
      </c>
      <c r="B33" t="s">
        <v>148</v>
      </c>
      <c r="C33" t="s">
        <v>86</v>
      </c>
      <c r="D33" t="s">
        <v>149</v>
      </c>
      <c r="E33" t="s">
        <v>87</v>
      </c>
      <c r="F33">
        <v>490953.89033032098</v>
      </c>
      <c r="G33">
        <v>544251.72782097501</v>
      </c>
      <c r="H33">
        <v>556180.05716840003</v>
      </c>
      <c r="I33">
        <v>555039.40080851899</v>
      </c>
      <c r="J33">
        <v>554086.99120019795</v>
      </c>
      <c r="K33">
        <v>537692.53743506304</v>
      </c>
      <c r="L33">
        <v>515604.51483542298</v>
      </c>
      <c r="M33">
        <v>500732.28495963698</v>
      </c>
      <c r="N33">
        <v>479714.19432024902</v>
      </c>
      <c r="O33">
        <v>418382.35864667798</v>
      </c>
      <c r="P33">
        <v>415223.55859090801</v>
      </c>
      <c r="Q33">
        <v>375917.80749582598</v>
      </c>
      <c r="R33">
        <v>401621.653466232</v>
      </c>
      <c r="S33">
        <v>495613.87566116999</v>
      </c>
      <c r="T33">
        <v>478114.88014937303</v>
      </c>
      <c r="U33">
        <v>505974.36500521301</v>
      </c>
      <c r="V33">
        <v>442819.69429121597</v>
      </c>
      <c r="W33">
        <v>442546.53644357203</v>
      </c>
      <c r="X33">
        <v>445147.46579325898</v>
      </c>
      <c r="Y33">
        <v>442193.11338899902</v>
      </c>
      <c r="Z33">
        <v>469587.66744767199</v>
      </c>
      <c r="AA33">
        <v>485025.08017691597</v>
      </c>
      <c r="AB33">
        <v>488150.255474251</v>
      </c>
      <c r="AC33">
        <v>492882.67093659699</v>
      </c>
      <c r="AD33">
        <v>493130.92802440602</v>
      </c>
      <c r="AE33">
        <v>451901</v>
      </c>
      <c r="AF33">
        <v>437221</v>
      </c>
    </row>
    <row r="34" spans="1:32" x14ac:dyDescent="0.3">
      <c r="A34" t="s">
        <v>38</v>
      </c>
      <c r="B34" t="s">
        <v>150</v>
      </c>
      <c r="C34" t="s">
        <v>86</v>
      </c>
      <c r="D34" t="s">
        <v>151</v>
      </c>
      <c r="E34" t="s">
        <v>87</v>
      </c>
      <c r="F34">
        <v>19490603.221148901</v>
      </c>
      <c r="G34">
        <v>20301999.777847201</v>
      </c>
      <c r="H34">
        <v>20106666.7728783</v>
      </c>
      <c r="I34">
        <v>20299903.545830101</v>
      </c>
      <c r="J34">
        <v>20807234.656675901</v>
      </c>
      <c r="K34">
        <v>21320326.5055159</v>
      </c>
      <c r="L34">
        <v>21410307.8329602</v>
      </c>
      <c r="M34">
        <v>20819499.664541502</v>
      </c>
      <c r="N34">
        <v>20153830.513902102</v>
      </c>
      <c r="O34">
        <v>19659632.192893501</v>
      </c>
      <c r="P34">
        <v>19861894.700898599</v>
      </c>
      <c r="Q34">
        <v>19655526.506046802</v>
      </c>
      <c r="R34">
        <v>19701525.9659927</v>
      </c>
      <c r="S34">
        <v>19617147.970148601</v>
      </c>
      <c r="T34">
        <v>19250885.302852102</v>
      </c>
      <c r="U34">
        <v>19308594.9235745</v>
      </c>
      <c r="V34">
        <v>18441631.025929902</v>
      </c>
      <c r="W34">
        <v>19457524.4066526</v>
      </c>
      <c r="X34">
        <v>18540301.356872499</v>
      </c>
      <c r="Y34">
        <v>18245546.581941798</v>
      </c>
      <c r="Z34">
        <v>19053206.1741491</v>
      </c>
      <c r="AA34">
        <v>18553676.066725198</v>
      </c>
      <c r="AB34">
        <v>18242255.819383699</v>
      </c>
      <c r="AC34">
        <v>17560684.259248599</v>
      </c>
      <c r="AD34">
        <v>17865244.090449098</v>
      </c>
      <c r="AE34">
        <v>14005963</v>
      </c>
      <c r="AF34">
        <v>12327627</v>
      </c>
    </row>
    <row r="35" spans="1:32" x14ac:dyDescent="0.3">
      <c r="A35" t="s">
        <v>38</v>
      </c>
      <c r="B35" t="s">
        <v>152</v>
      </c>
      <c r="C35" t="s">
        <v>86</v>
      </c>
      <c r="D35" t="s">
        <v>153</v>
      </c>
      <c r="E35" t="s">
        <v>87</v>
      </c>
      <c r="F35">
        <v>9562586.3856651094</v>
      </c>
      <c r="G35">
        <v>10705009.0403724</v>
      </c>
      <c r="H35">
        <v>11792923.001464801</v>
      </c>
      <c r="I35">
        <v>12998805.180525901</v>
      </c>
      <c r="J35">
        <v>15310001.819718899</v>
      </c>
      <c r="K35">
        <v>17519555.296254698</v>
      </c>
      <c r="L35">
        <v>19006612.472415</v>
      </c>
      <c r="M35">
        <v>19807677.351641402</v>
      </c>
      <c r="N35">
        <v>20147396.586497601</v>
      </c>
      <c r="O35">
        <v>20444030.644339401</v>
      </c>
      <c r="P35">
        <v>20182999.416666001</v>
      </c>
      <c r="Q35">
        <v>20893131.837411299</v>
      </c>
      <c r="R35">
        <v>21475916.3619629</v>
      </c>
      <c r="S35">
        <v>21524645.225999601</v>
      </c>
      <c r="T35">
        <v>21229989.519517999</v>
      </c>
      <c r="U35">
        <v>21861893.817609899</v>
      </c>
      <c r="V35">
        <v>22337521.959338199</v>
      </c>
      <c r="W35">
        <v>23805003.363220401</v>
      </c>
      <c r="X35">
        <v>24776808.808764301</v>
      </c>
      <c r="Y35">
        <v>25623363.863949299</v>
      </c>
      <c r="Z35">
        <v>26716358.6036609</v>
      </c>
      <c r="AA35">
        <v>27289356.880546</v>
      </c>
      <c r="AB35">
        <v>27714602.209192902</v>
      </c>
      <c r="AC35">
        <v>28712284.698740799</v>
      </c>
      <c r="AD35">
        <v>29215061.8943564</v>
      </c>
      <c r="AE35">
        <v>28672022</v>
      </c>
      <c r="AF35">
        <v>28602529</v>
      </c>
    </row>
    <row r="36" spans="1:32" x14ac:dyDescent="0.3">
      <c r="A36" t="s">
        <v>38</v>
      </c>
      <c r="B36" t="s">
        <v>154</v>
      </c>
      <c r="C36" t="s">
        <v>86</v>
      </c>
      <c r="D36" t="s">
        <v>155</v>
      </c>
      <c r="E36" t="s">
        <v>87</v>
      </c>
      <c r="F36">
        <v>5277381.0602795696</v>
      </c>
      <c r="G36">
        <v>5480922.9892975297</v>
      </c>
      <c r="H36">
        <v>5647767.0553277601</v>
      </c>
      <c r="I36">
        <v>5848223.1690373998</v>
      </c>
      <c r="J36">
        <v>5931725.7839867203</v>
      </c>
      <c r="K36">
        <v>6315445.1051040301</v>
      </c>
      <c r="L36">
        <v>6529218.3583231401</v>
      </c>
      <c r="M36">
        <v>6681149.9312601201</v>
      </c>
      <c r="N36">
        <v>6814933.0158477398</v>
      </c>
      <c r="O36">
        <v>7078918.57086288</v>
      </c>
      <c r="P36">
        <v>6918465.0359838102</v>
      </c>
      <c r="Q36">
        <v>6953464.0275180796</v>
      </c>
      <c r="R36">
        <v>6918767.2730283197</v>
      </c>
      <c r="S36">
        <v>7097561.5790653396</v>
      </c>
      <c r="T36">
        <v>7020258.7583921002</v>
      </c>
      <c r="U36">
        <v>6866286.1134785898</v>
      </c>
      <c r="V36">
        <v>6916447.3576805703</v>
      </c>
      <c r="W36">
        <v>7439031.9792058999</v>
      </c>
      <c r="X36">
        <v>7428642.6863698</v>
      </c>
      <c r="Y36">
        <v>7329258.6891873702</v>
      </c>
      <c r="Z36">
        <v>7459233.1743687997</v>
      </c>
      <c r="AA36">
        <v>7396774.6549158702</v>
      </c>
      <c r="AB36">
        <v>7395666.41371</v>
      </c>
      <c r="AC36">
        <v>7466688.5973538198</v>
      </c>
      <c r="AD36">
        <v>7573472.8401697604</v>
      </c>
      <c r="AE36">
        <v>6816110</v>
      </c>
      <c r="AF36">
        <v>6561495</v>
      </c>
    </row>
    <row r="37" spans="1:32" x14ac:dyDescent="0.3">
      <c r="A37" t="s">
        <v>38</v>
      </c>
      <c r="B37" t="s">
        <v>156</v>
      </c>
      <c r="C37" t="s">
        <v>86</v>
      </c>
      <c r="D37" t="s">
        <v>157</v>
      </c>
      <c r="E37" t="s">
        <v>87</v>
      </c>
      <c r="F37">
        <v>2101902.85633768</v>
      </c>
      <c r="G37">
        <v>2528229.16846349</v>
      </c>
      <c r="H37">
        <v>3044838.5101076998</v>
      </c>
      <c r="I37">
        <v>3323265.0069992701</v>
      </c>
      <c r="J37">
        <v>4970494.2541086702</v>
      </c>
      <c r="K37">
        <v>6174816.2896890203</v>
      </c>
      <c r="L37">
        <v>6646299.4108603699</v>
      </c>
      <c r="M37">
        <v>6834469.0107575301</v>
      </c>
      <c r="N37">
        <v>6820270.6985062696</v>
      </c>
      <c r="O37">
        <v>6619695.7885281602</v>
      </c>
      <c r="P37">
        <v>6522040.3958399501</v>
      </c>
      <c r="Q37">
        <v>7105430.0206624502</v>
      </c>
      <c r="R37">
        <v>7441617.6420883797</v>
      </c>
      <c r="S37">
        <v>6972915.29681224</v>
      </c>
      <c r="T37">
        <v>6978199.7061854396</v>
      </c>
      <c r="U37">
        <v>7515141.7561926097</v>
      </c>
      <c r="V37">
        <v>8211244.8679272896</v>
      </c>
      <c r="W37">
        <v>8726381.6112794094</v>
      </c>
      <c r="X37">
        <v>9360233.2988230493</v>
      </c>
      <c r="Y37">
        <v>9853163.6287676003</v>
      </c>
      <c r="Z37">
        <v>10488653.664208399</v>
      </c>
      <c r="AA37">
        <v>10894256.5264828</v>
      </c>
      <c r="AB37">
        <v>11097883.6588606</v>
      </c>
      <c r="AC37">
        <v>12162362.8993042</v>
      </c>
      <c r="AD37">
        <v>12437836.4769099</v>
      </c>
      <c r="AE37">
        <v>12403904</v>
      </c>
      <c r="AF37">
        <v>12697564</v>
      </c>
    </row>
    <row r="38" spans="1:32" x14ac:dyDescent="0.3">
      <c r="A38" t="s">
        <v>38</v>
      </c>
      <c r="B38" t="s">
        <v>158</v>
      </c>
      <c r="C38" t="s">
        <v>86</v>
      </c>
      <c r="D38" t="s">
        <v>159</v>
      </c>
      <c r="E38" t="s">
        <v>87</v>
      </c>
      <c r="F38">
        <v>2442749.5905097602</v>
      </c>
      <c r="G38">
        <v>2944567.4283664199</v>
      </c>
      <c r="H38">
        <v>3321420.4560024901</v>
      </c>
      <c r="I38">
        <v>4073855.3301292001</v>
      </c>
      <c r="J38">
        <v>4512629.2772335801</v>
      </c>
      <c r="K38">
        <v>5062200.1792967096</v>
      </c>
      <c r="L38">
        <v>5869448.00150753</v>
      </c>
      <c r="M38">
        <v>6341420.2809113003</v>
      </c>
      <c r="N38">
        <v>6576186.1692909198</v>
      </c>
      <c r="O38">
        <v>6841134.0396495797</v>
      </c>
      <c r="P38">
        <v>6838728.5234748498</v>
      </c>
      <c r="Q38">
        <v>6896143.5393136004</v>
      </c>
      <c r="R38">
        <v>7165518.2653652402</v>
      </c>
      <c r="S38">
        <v>7551019.3774194103</v>
      </c>
      <c r="T38">
        <v>7317884.0514929099</v>
      </c>
      <c r="U38">
        <v>7542834.7354448996</v>
      </c>
      <c r="V38">
        <v>7235964.2307607597</v>
      </c>
      <c r="W38">
        <v>7668710.5865298798</v>
      </c>
      <c r="X38">
        <v>8003915.9611804998</v>
      </c>
      <c r="Y38">
        <v>8452330.5366448406</v>
      </c>
      <c r="Z38">
        <v>8775431.3858603202</v>
      </c>
      <c r="AA38">
        <v>9003216.5765903592</v>
      </c>
      <c r="AB38">
        <v>9226084.6043706108</v>
      </c>
      <c r="AC38">
        <v>9082324.0849061292</v>
      </c>
      <c r="AD38">
        <v>9202241.4079922996</v>
      </c>
      <c r="AE38">
        <v>9452008</v>
      </c>
      <c r="AF38">
        <v>9343470</v>
      </c>
    </row>
    <row r="39" spans="1:32" x14ac:dyDescent="0.3">
      <c r="A39" t="s">
        <v>38</v>
      </c>
      <c r="B39" t="s">
        <v>160</v>
      </c>
      <c r="C39" t="s">
        <v>86</v>
      </c>
      <c r="D39" t="s">
        <v>161</v>
      </c>
      <c r="E39" t="s">
        <v>87</v>
      </c>
      <c r="F39">
        <v>10853644.173516801</v>
      </c>
      <c r="G39">
        <v>11671484.356067101</v>
      </c>
      <c r="H39">
        <v>11659755.3454012</v>
      </c>
      <c r="I39">
        <v>12022726.949653201</v>
      </c>
      <c r="J39">
        <v>12032958.8611761</v>
      </c>
      <c r="K39">
        <v>11914780.233691599</v>
      </c>
      <c r="L39">
        <v>11615933.585841101</v>
      </c>
      <c r="M39">
        <v>11795812.9781985</v>
      </c>
      <c r="N39">
        <v>11390308.032825699</v>
      </c>
      <c r="O39">
        <v>11472934.3462705</v>
      </c>
      <c r="P39">
        <v>12403491.579814499</v>
      </c>
      <c r="Q39">
        <v>13393262.8535497</v>
      </c>
      <c r="R39">
        <v>14107682.4597171</v>
      </c>
      <c r="S39">
        <v>13800073.7830343</v>
      </c>
      <c r="T39">
        <v>12915406.8709196</v>
      </c>
      <c r="U39">
        <v>12350749.888366001</v>
      </c>
      <c r="V39">
        <v>12070688.167767299</v>
      </c>
      <c r="W39">
        <v>11956773.308557499</v>
      </c>
      <c r="X39">
        <v>12408991.0024607</v>
      </c>
      <c r="Y39">
        <v>12205617.017176099</v>
      </c>
      <c r="Z39">
        <v>12940125.3227874</v>
      </c>
      <c r="AA39">
        <v>12906790.8380203</v>
      </c>
      <c r="AB39">
        <v>13061477.171624999</v>
      </c>
      <c r="AC39">
        <v>13411420.610752</v>
      </c>
      <c r="AD39">
        <v>13449252.332403</v>
      </c>
      <c r="AE39">
        <v>13214991</v>
      </c>
      <c r="AF39">
        <v>12873545</v>
      </c>
    </row>
    <row r="40" spans="1:32" x14ac:dyDescent="0.3">
      <c r="A40" t="s">
        <v>38</v>
      </c>
      <c r="B40" t="s">
        <v>162</v>
      </c>
      <c r="C40" t="s">
        <v>86</v>
      </c>
      <c r="D40" t="s">
        <v>163</v>
      </c>
      <c r="E40" t="s">
        <v>87</v>
      </c>
      <c r="F40">
        <v>6462554.7067949297</v>
      </c>
      <c r="G40">
        <v>6652174.6613923497</v>
      </c>
      <c r="H40">
        <v>6879244.7979988297</v>
      </c>
      <c r="I40">
        <v>7448501.9360243399</v>
      </c>
      <c r="J40">
        <v>7573284.3877027696</v>
      </c>
      <c r="K40">
        <v>7710100.5218961304</v>
      </c>
      <c r="L40">
        <v>8387235.4361356199</v>
      </c>
      <c r="M40">
        <v>8646850.1995642297</v>
      </c>
      <c r="N40">
        <v>8807142.2934961598</v>
      </c>
      <c r="O40">
        <v>9021571.3573044203</v>
      </c>
      <c r="P40">
        <v>8932641.8791849501</v>
      </c>
      <c r="Q40">
        <v>9176739.07693775</v>
      </c>
      <c r="R40">
        <v>9871549.7554764394</v>
      </c>
      <c r="S40">
        <v>10536793.610016</v>
      </c>
      <c r="T40">
        <v>10837795.167852599</v>
      </c>
      <c r="U40">
        <v>11579451.395352799</v>
      </c>
      <c r="V40">
        <v>12204434.7888187</v>
      </c>
      <c r="W40">
        <v>12910560.982901501</v>
      </c>
      <c r="X40">
        <v>13384182.5443628</v>
      </c>
      <c r="Y40">
        <v>13497964.6437029</v>
      </c>
      <c r="Z40">
        <v>13717673.2409063</v>
      </c>
      <c r="AA40">
        <v>14181750.244927</v>
      </c>
      <c r="AB40">
        <v>13726622.3151822</v>
      </c>
      <c r="AC40">
        <v>13709356.6969887</v>
      </c>
      <c r="AD40">
        <v>13947201.4440188</v>
      </c>
      <c r="AE40">
        <v>14232796</v>
      </c>
      <c r="AF40">
        <v>14679177</v>
      </c>
    </row>
    <row r="41" spans="1:32" x14ac:dyDescent="0.3">
      <c r="A41" t="s">
        <v>38</v>
      </c>
      <c r="B41" t="s">
        <v>164</v>
      </c>
      <c r="C41" t="s">
        <v>86</v>
      </c>
      <c r="D41" t="s">
        <v>165</v>
      </c>
      <c r="E41" t="s">
        <v>87</v>
      </c>
    </row>
    <row r="42" spans="1:32" x14ac:dyDescent="0.3">
      <c r="A42" t="s">
        <v>38</v>
      </c>
      <c r="B42" t="s">
        <v>166</v>
      </c>
      <c r="C42" t="s">
        <v>86</v>
      </c>
      <c r="D42" t="s">
        <v>167</v>
      </c>
      <c r="E42" t="s">
        <v>87</v>
      </c>
    </row>
    <row r="43" spans="1:32" x14ac:dyDescent="0.3">
      <c r="A43" t="s">
        <v>38</v>
      </c>
      <c r="B43" t="s">
        <v>168</v>
      </c>
      <c r="C43" t="s">
        <v>86</v>
      </c>
      <c r="D43" t="s">
        <v>169</v>
      </c>
      <c r="E43" t="s">
        <v>87</v>
      </c>
      <c r="F43">
        <v>13781042.136970401</v>
      </c>
      <c r="G43">
        <v>14516612.660564199</v>
      </c>
      <c r="H43">
        <v>15019274.050889</v>
      </c>
      <c r="I43">
        <v>15679072.320865501</v>
      </c>
      <c r="J43">
        <v>15616043.379410001</v>
      </c>
      <c r="K43">
        <v>17133528.432116199</v>
      </c>
      <c r="L43">
        <v>17294675.838676501</v>
      </c>
      <c r="M43">
        <v>16945364.865630198</v>
      </c>
      <c r="N43">
        <v>16895410.6964719</v>
      </c>
      <c r="O43">
        <v>16730427.954682</v>
      </c>
      <c r="P43">
        <v>17252560.5620564</v>
      </c>
      <c r="Q43">
        <v>17919716.231659301</v>
      </c>
      <c r="R43">
        <v>18488860.555957802</v>
      </c>
      <c r="S43">
        <v>19521427.752685498</v>
      </c>
      <c r="T43">
        <v>18903563.068983998</v>
      </c>
      <c r="U43">
        <v>19185787.852504</v>
      </c>
      <c r="V43">
        <v>19962405.432885099</v>
      </c>
      <c r="W43">
        <v>20209252.768291701</v>
      </c>
      <c r="X43">
        <v>20745718.563715801</v>
      </c>
      <c r="Y43">
        <v>21379714.881558001</v>
      </c>
      <c r="Z43">
        <v>22361452.543384299</v>
      </c>
      <c r="AA43">
        <v>22478687.753608398</v>
      </c>
      <c r="AB43">
        <v>22910832.847546201</v>
      </c>
      <c r="AC43">
        <v>23125626.081550501</v>
      </c>
      <c r="AD43">
        <v>23502804.388349898</v>
      </c>
      <c r="AE43">
        <v>21255769</v>
      </c>
      <c r="AF43">
        <v>21148970</v>
      </c>
    </row>
    <row r="44" spans="1:32" x14ac:dyDescent="0.3">
      <c r="A44" t="s">
        <v>38</v>
      </c>
      <c r="B44" t="s">
        <v>170</v>
      </c>
      <c r="C44" t="s">
        <v>86</v>
      </c>
      <c r="D44" t="s">
        <v>171</v>
      </c>
      <c r="E44" t="s">
        <v>87</v>
      </c>
      <c r="F44">
        <v>408096571.97886199</v>
      </c>
      <c r="G44">
        <v>420186816.72885698</v>
      </c>
      <c r="H44">
        <v>425162320.81037199</v>
      </c>
      <c r="I44">
        <v>412792496.80453098</v>
      </c>
      <c r="J44">
        <v>409975571.38880402</v>
      </c>
      <c r="K44">
        <v>422142888.30283099</v>
      </c>
      <c r="L44">
        <v>420100353.40970099</v>
      </c>
      <c r="M44">
        <v>413281980.28356999</v>
      </c>
      <c r="N44">
        <v>415271876.21578503</v>
      </c>
      <c r="O44">
        <v>420363526.45843899</v>
      </c>
      <c r="P44">
        <v>428283644.10929298</v>
      </c>
      <c r="Q44">
        <v>435022528.03261298</v>
      </c>
      <c r="R44">
        <v>443728361.44775301</v>
      </c>
      <c r="S44">
        <v>435348375.76627499</v>
      </c>
      <c r="T44">
        <v>388446165.89711201</v>
      </c>
      <c r="U44">
        <v>405754648.23969102</v>
      </c>
      <c r="V44">
        <v>402404260.64331102</v>
      </c>
      <c r="W44">
        <v>410921979.54412502</v>
      </c>
      <c r="X44">
        <v>410824336.48298901</v>
      </c>
      <c r="Y44">
        <v>410141341.98935997</v>
      </c>
      <c r="Z44">
        <v>417323255.693075</v>
      </c>
      <c r="AA44">
        <v>419510012.91393101</v>
      </c>
      <c r="AB44">
        <v>424599530.36894798</v>
      </c>
      <c r="AC44">
        <v>427526691.93375498</v>
      </c>
      <c r="AD44">
        <v>423323868.81416899</v>
      </c>
      <c r="AE44">
        <v>393121200</v>
      </c>
      <c r="AF44">
        <v>394576905</v>
      </c>
    </row>
    <row r="45" spans="1:32" x14ac:dyDescent="0.3">
      <c r="A45" t="s">
        <v>38</v>
      </c>
      <c r="B45" t="s">
        <v>172</v>
      </c>
      <c r="C45" t="s">
        <v>86</v>
      </c>
      <c r="D45" t="s">
        <v>173</v>
      </c>
      <c r="E45" t="s">
        <v>87</v>
      </c>
    </row>
    <row r="46" spans="1:32" x14ac:dyDescent="0.3">
      <c r="A46" t="s">
        <v>38</v>
      </c>
      <c r="B46" t="s">
        <v>174</v>
      </c>
      <c r="C46" t="s">
        <v>86</v>
      </c>
      <c r="D46" t="s">
        <v>175</v>
      </c>
      <c r="E46" t="s">
        <v>87</v>
      </c>
    </row>
    <row r="47" spans="1:32" x14ac:dyDescent="0.3">
      <c r="A47" t="s">
        <v>38</v>
      </c>
      <c r="B47" t="s">
        <v>176</v>
      </c>
      <c r="C47" t="s">
        <v>86</v>
      </c>
      <c r="D47" t="s">
        <v>177</v>
      </c>
      <c r="E47" t="s">
        <v>87</v>
      </c>
      <c r="F47">
        <v>17854559.630957399</v>
      </c>
      <c r="G47">
        <v>17077325.342308801</v>
      </c>
      <c r="H47">
        <v>16557356.4229919</v>
      </c>
      <c r="I47">
        <v>16599025.126863301</v>
      </c>
      <c r="J47">
        <v>17303259.014886498</v>
      </c>
      <c r="K47">
        <v>17351565.312449299</v>
      </c>
      <c r="L47">
        <v>18157485.809879601</v>
      </c>
      <c r="M47">
        <v>18467813.972411599</v>
      </c>
      <c r="N47">
        <v>18836216.696835201</v>
      </c>
      <c r="O47">
        <v>18415825.1947098</v>
      </c>
      <c r="P47">
        <v>17497784.432420202</v>
      </c>
      <c r="Q47">
        <v>16187825.608740499</v>
      </c>
      <c r="R47">
        <v>15735707.840503501</v>
      </c>
      <c r="S47">
        <v>14512846.7203747</v>
      </c>
      <c r="T47">
        <v>15355020.881801</v>
      </c>
      <c r="U47">
        <v>16258986.6565306</v>
      </c>
      <c r="V47">
        <v>15687496.2936834</v>
      </c>
      <c r="W47">
        <v>15167714.1860945</v>
      </c>
      <c r="X47">
        <v>15344346.776371701</v>
      </c>
      <c r="Y47">
        <v>14503590.524335099</v>
      </c>
      <c r="Z47">
        <v>14476568.6327172</v>
      </c>
      <c r="AA47">
        <v>14790956.0171324</v>
      </c>
      <c r="AB47">
        <v>13554003.430600099</v>
      </c>
      <c r="AC47">
        <v>12942999.525323199</v>
      </c>
      <c r="AD47">
        <v>13137283.648464199</v>
      </c>
      <c r="AE47">
        <v>14339510</v>
      </c>
      <c r="AF47">
        <v>14839560</v>
      </c>
    </row>
    <row r="48" spans="1:32" x14ac:dyDescent="0.3">
      <c r="A48" t="s">
        <v>38</v>
      </c>
      <c r="B48" t="s">
        <v>178</v>
      </c>
      <c r="C48" t="s">
        <v>86</v>
      </c>
      <c r="D48" t="s">
        <v>179</v>
      </c>
      <c r="E48" t="s">
        <v>87</v>
      </c>
      <c r="F48">
        <v>36117249.171267703</v>
      </c>
      <c r="G48">
        <v>36133278.805555902</v>
      </c>
      <c r="H48">
        <v>35514353.778296798</v>
      </c>
      <c r="I48">
        <v>35575880.308719702</v>
      </c>
      <c r="J48">
        <v>37000245.419332199</v>
      </c>
      <c r="K48">
        <v>36003311.091787301</v>
      </c>
      <c r="L48">
        <v>36951791.715924501</v>
      </c>
      <c r="M48">
        <v>37822084.399433799</v>
      </c>
      <c r="N48">
        <v>38080758.976411797</v>
      </c>
      <c r="O48">
        <v>37916261.8796845</v>
      </c>
      <c r="P48">
        <v>37605821.919232003</v>
      </c>
      <c r="Q48">
        <v>36530144.713661999</v>
      </c>
      <c r="R48">
        <v>35500031.625551902</v>
      </c>
      <c r="S48">
        <v>35012664.1947852</v>
      </c>
      <c r="T48">
        <v>36273478.947901599</v>
      </c>
      <c r="U48">
        <v>37791496.199692301</v>
      </c>
      <c r="V48">
        <v>38840578.2881658</v>
      </c>
      <c r="W48">
        <v>38859462.4329779</v>
      </c>
      <c r="X48">
        <v>38860034.669336997</v>
      </c>
      <c r="Y48">
        <v>38434675.876446702</v>
      </c>
      <c r="Z48">
        <v>38178470.429303102</v>
      </c>
      <c r="AA48">
        <v>38931286.2947537</v>
      </c>
      <c r="AB48">
        <v>38676511.634223603</v>
      </c>
      <c r="AC48">
        <v>38225843.3027431</v>
      </c>
      <c r="AD48">
        <v>38992823.516340099</v>
      </c>
      <c r="AE48">
        <v>40612210</v>
      </c>
      <c r="AF48">
        <v>42485453</v>
      </c>
    </row>
    <row r="49" spans="1:32" x14ac:dyDescent="0.3">
      <c r="A49" t="s">
        <v>38</v>
      </c>
      <c r="B49" t="s">
        <v>180</v>
      </c>
      <c r="C49" t="s">
        <v>86</v>
      </c>
      <c r="D49" t="s">
        <v>181</v>
      </c>
      <c r="E49" t="s">
        <v>87</v>
      </c>
      <c r="F49">
        <v>6633260.5737949498</v>
      </c>
      <c r="G49">
        <v>6600516.3739928398</v>
      </c>
      <c r="H49">
        <v>6361436.4740137998</v>
      </c>
      <c r="I49">
        <v>6157098.6146825999</v>
      </c>
      <c r="J49">
        <v>6106714.0830015196</v>
      </c>
      <c r="K49">
        <v>5980608.5254150499</v>
      </c>
      <c r="L49">
        <v>6090633.4536270099</v>
      </c>
      <c r="M49">
        <v>6147048.67078193</v>
      </c>
      <c r="N49">
        <v>6225692.90136573</v>
      </c>
      <c r="O49">
        <v>6165944.3707902096</v>
      </c>
      <c r="P49">
        <v>6095190.6534658903</v>
      </c>
      <c r="Q49">
        <v>5780931.8539505601</v>
      </c>
      <c r="R49">
        <v>5562103.6000699904</v>
      </c>
      <c r="S49">
        <v>5318839.4404248996</v>
      </c>
      <c r="T49">
        <v>5442524.1836528797</v>
      </c>
      <c r="U49">
        <v>5281467.1722768396</v>
      </c>
      <c r="V49">
        <v>5133944.2703334801</v>
      </c>
      <c r="W49">
        <v>5071274.7039149497</v>
      </c>
      <c r="X49">
        <v>4869084.1594704697</v>
      </c>
      <c r="Y49">
        <v>4688425.5616311301</v>
      </c>
      <c r="Z49">
        <v>4670779.4339776197</v>
      </c>
      <c r="AA49">
        <v>4662786.2525802599</v>
      </c>
      <c r="AB49">
        <v>4492230.2658653697</v>
      </c>
      <c r="AC49">
        <v>4320684.7092717104</v>
      </c>
      <c r="AD49">
        <v>4165477.67542517</v>
      </c>
      <c r="AE49">
        <v>4256710</v>
      </c>
      <c r="AF49">
        <v>4008861</v>
      </c>
    </row>
    <row r="50" spans="1:32" x14ac:dyDescent="0.3">
      <c r="A50" t="s">
        <v>38</v>
      </c>
      <c r="B50" t="s">
        <v>182</v>
      </c>
      <c r="C50" t="s">
        <v>86</v>
      </c>
      <c r="D50" t="s">
        <v>183</v>
      </c>
      <c r="E50" t="s">
        <v>87</v>
      </c>
      <c r="F50">
        <v>14056685.8463594</v>
      </c>
      <c r="G50">
        <v>14518120.1671612</v>
      </c>
      <c r="H50">
        <v>14456795.536627701</v>
      </c>
      <c r="I50">
        <v>14575195.3413211</v>
      </c>
      <c r="J50">
        <v>15278582.358407499</v>
      </c>
      <c r="K50">
        <v>14539069.135663301</v>
      </c>
      <c r="L50">
        <v>14743783.622837501</v>
      </c>
      <c r="M50">
        <v>15205819.6953729</v>
      </c>
      <c r="N50">
        <v>15141180.104878301</v>
      </c>
      <c r="O50">
        <v>15307255.685621001</v>
      </c>
      <c r="P50">
        <v>15685454.447742</v>
      </c>
      <c r="Q50">
        <v>15851169.726395899</v>
      </c>
      <c r="R50">
        <v>15435638.5031518</v>
      </c>
      <c r="S50">
        <v>16017881.9832094</v>
      </c>
      <c r="T50">
        <v>16413945.0086994</v>
      </c>
      <c r="U50">
        <v>17174296.835464898</v>
      </c>
      <c r="V50">
        <v>18601562.486390602</v>
      </c>
      <c r="W50">
        <v>19055581.8072013</v>
      </c>
      <c r="X50">
        <v>19066133.367391001</v>
      </c>
      <c r="Y50">
        <v>19496325.6237984</v>
      </c>
      <c r="Z50">
        <v>19297534.062063701</v>
      </c>
      <c r="AA50">
        <v>19734749.111689199</v>
      </c>
      <c r="AB50">
        <v>20703667.087974802</v>
      </c>
      <c r="AC50">
        <v>20970948.249131199</v>
      </c>
      <c r="AD50">
        <v>21676166.185880799</v>
      </c>
      <c r="AE50">
        <v>22015990</v>
      </c>
      <c r="AF50">
        <v>23637032</v>
      </c>
    </row>
    <row r="51" spans="1:32" x14ac:dyDescent="0.3">
      <c r="A51" t="s">
        <v>38</v>
      </c>
      <c r="B51" t="s">
        <v>184</v>
      </c>
      <c r="C51" t="s">
        <v>86</v>
      </c>
      <c r="D51" t="s">
        <v>185</v>
      </c>
      <c r="E51" t="s">
        <v>87</v>
      </c>
    </row>
    <row r="52" spans="1:32" x14ac:dyDescent="0.3">
      <c r="A52" t="s">
        <v>38</v>
      </c>
      <c r="B52" t="s">
        <v>186</v>
      </c>
      <c r="C52" t="s">
        <v>86</v>
      </c>
      <c r="D52" t="s">
        <v>187</v>
      </c>
      <c r="E52" t="s">
        <v>87</v>
      </c>
    </row>
    <row r="53" spans="1:32" x14ac:dyDescent="0.3">
      <c r="A53" t="s">
        <v>38</v>
      </c>
      <c r="B53" t="s">
        <v>188</v>
      </c>
      <c r="C53" t="s">
        <v>86</v>
      </c>
      <c r="D53" t="s">
        <v>189</v>
      </c>
      <c r="E53" t="s">
        <v>87</v>
      </c>
      <c r="F53">
        <v>4486641.9814133402</v>
      </c>
      <c r="G53">
        <v>4656178.05135806</v>
      </c>
      <c r="H53">
        <v>4466973.51302025</v>
      </c>
      <c r="I53">
        <v>4156894.3150468599</v>
      </c>
      <c r="J53">
        <v>4195971.1994117899</v>
      </c>
      <c r="K53">
        <v>4416091.0152862696</v>
      </c>
      <c r="L53">
        <v>4707178.4985929802</v>
      </c>
      <c r="M53">
        <v>4487887.2552205101</v>
      </c>
      <c r="N53">
        <v>4349254.1568657802</v>
      </c>
      <c r="O53">
        <v>4369007.8111376204</v>
      </c>
      <c r="P53">
        <v>3995834.5160798798</v>
      </c>
      <c r="Q53">
        <v>3930930.7666608202</v>
      </c>
      <c r="R53">
        <v>3731120.99273373</v>
      </c>
      <c r="S53">
        <v>3496476.16068258</v>
      </c>
      <c r="T53">
        <v>3581533.2461046199</v>
      </c>
      <c r="U53">
        <v>3450020.3816104499</v>
      </c>
      <c r="V53">
        <v>3289282.9146762099</v>
      </c>
      <c r="W53">
        <v>3480572.7822577301</v>
      </c>
      <c r="X53">
        <v>3507234.6483833599</v>
      </c>
      <c r="Y53">
        <v>3422399.3760621198</v>
      </c>
      <c r="Z53">
        <v>3436158.05202233</v>
      </c>
      <c r="AA53">
        <v>3367256.1936014402</v>
      </c>
      <c r="AB53">
        <v>3273825.4800199</v>
      </c>
      <c r="AC53">
        <v>3172331.1186180799</v>
      </c>
      <c r="AD53">
        <v>3062864.2830478698</v>
      </c>
      <c r="AE53">
        <v>2227963</v>
      </c>
      <c r="AF53">
        <v>2264854</v>
      </c>
    </row>
    <row r="54" spans="1:32" x14ac:dyDescent="0.3">
      <c r="A54" t="s">
        <v>38</v>
      </c>
      <c r="B54" t="s">
        <v>190</v>
      </c>
      <c r="C54" t="s">
        <v>86</v>
      </c>
      <c r="D54" t="s">
        <v>191</v>
      </c>
      <c r="E54" t="s">
        <v>87</v>
      </c>
      <c r="F54">
        <v>9913629.9248286709</v>
      </c>
      <c r="G54">
        <v>10400466.8331958</v>
      </c>
      <c r="H54">
        <v>10119812.8369966</v>
      </c>
      <c r="I54">
        <v>9893069.9298700001</v>
      </c>
      <c r="J54">
        <v>10078231.7214889</v>
      </c>
      <c r="K54">
        <v>10687487.233925501</v>
      </c>
      <c r="L54">
        <v>10664634.3996186</v>
      </c>
      <c r="M54">
        <v>10693135.3283755</v>
      </c>
      <c r="N54">
        <v>10643353.6686175</v>
      </c>
      <c r="O54">
        <v>11262743.457257699</v>
      </c>
      <c r="P54">
        <v>10412588.6835109</v>
      </c>
      <c r="Q54">
        <v>10266511.110793499</v>
      </c>
      <c r="R54">
        <v>10129495.5852655</v>
      </c>
      <c r="S54">
        <v>10048682.1419289</v>
      </c>
      <c r="T54">
        <v>10211098.5274873</v>
      </c>
      <c r="U54">
        <v>10230513.6229422</v>
      </c>
      <c r="V54">
        <v>10338111.966259999</v>
      </c>
      <c r="W54">
        <v>10739172.3097033</v>
      </c>
      <c r="X54">
        <v>10703664.305655601</v>
      </c>
      <c r="Y54">
        <v>10050065.133788601</v>
      </c>
      <c r="Z54">
        <v>9719494.7258992791</v>
      </c>
      <c r="AA54">
        <v>9587909.7473403402</v>
      </c>
      <c r="AB54">
        <v>9393769.1971055996</v>
      </c>
      <c r="AC54">
        <v>9286645.9697506204</v>
      </c>
      <c r="AD54">
        <v>9264196.5088007394</v>
      </c>
      <c r="AE54">
        <v>7702089</v>
      </c>
      <c r="AF54">
        <v>7486245</v>
      </c>
    </row>
    <row r="55" spans="1:32" x14ac:dyDescent="0.3">
      <c r="A55" t="s">
        <v>38</v>
      </c>
      <c r="B55" t="s">
        <v>192</v>
      </c>
      <c r="C55" t="s">
        <v>86</v>
      </c>
      <c r="D55" t="s">
        <v>193</v>
      </c>
      <c r="E55" t="s">
        <v>87</v>
      </c>
      <c r="F55">
        <v>5419193.4304545904</v>
      </c>
      <c r="G55">
        <v>5736338.8951707603</v>
      </c>
      <c r="H55">
        <v>5645537.3268800499</v>
      </c>
      <c r="I55">
        <v>5731084.34936947</v>
      </c>
      <c r="J55">
        <v>5877395.3902402502</v>
      </c>
      <c r="K55">
        <v>6266471.7343021296</v>
      </c>
      <c r="L55">
        <v>5949403.1905744998</v>
      </c>
      <c r="M55">
        <v>6200088.5291897096</v>
      </c>
      <c r="N55">
        <v>6290265.9463953096</v>
      </c>
      <c r="O55">
        <v>6891764.0434656097</v>
      </c>
      <c r="P55">
        <v>6415270.3387786504</v>
      </c>
      <c r="Q55">
        <v>6334171.1228648499</v>
      </c>
      <c r="R55">
        <v>6397653.7754541999</v>
      </c>
      <c r="S55">
        <v>6552224.9795521898</v>
      </c>
      <c r="T55">
        <v>6629570.4473653603</v>
      </c>
      <c r="U55">
        <v>6779998.8317605397</v>
      </c>
      <c r="V55">
        <v>7047718.8374617798</v>
      </c>
      <c r="W55">
        <v>7257431.5839050002</v>
      </c>
      <c r="X55">
        <v>7195171.9227794204</v>
      </c>
      <c r="Y55">
        <v>6625370.0155802704</v>
      </c>
      <c r="Z55">
        <v>6279678.7081443798</v>
      </c>
      <c r="AA55">
        <v>6217156.2996124402</v>
      </c>
      <c r="AB55">
        <v>6116518.2749282504</v>
      </c>
      <c r="AC55">
        <v>6111155.9680723799</v>
      </c>
      <c r="AD55">
        <v>6198904.4581061397</v>
      </c>
      <c r="AE55">
        <v>5474126</v>
      </c>
      <c r="AF55">
        <v>5221391</v>
      </c>
    </row>
    <row r="56" spans="1:32" x14ac:dyDescent="0.3">
      <c r="A56" t="s">
        <v>38</v>
      </c>
      <c r="B56" t="s">
        <v>194</v>
      </c>
      <c r="C56" t="s">
        <v>86</v>
      </c>
      <c r="D56" t="s">
        <v>195</v>
      </c>
      <c r="E56" t="s">
        <v>87</v>
      </c>
      <c r="F56">
        <v>1602393.5969185301</v>
      </c>
      <c r="G56">
        <v>1748479.1152025601</v>
      </c>
      <c r="H56">
        <v>1851328.3815266499</v>
      </c>
      <c r="I56">
        <v>1871602.7369087699</v>
      </c>
      <c r="J56">
        <v>1898982.00825106</v>
      </c>
      <c r="K56">
        <v>1948769.2028719699</v>
      </c>
      <c r="L56">
        <v>2026827.4021320101</v>
      </c>
      <c r="M56">
        <v>2090329.7532555801</v>
      </c>
      <c r="N56">
        <v>2197693.9476462998</v>
      </c>
      <c r="O56">
        <v>2214993.7736781901</v>
      </c>
      <c r="P56">
        <v>2429016.2690306599</v>
      </c>
      <c r="Q56">
        <v>2570058.0821615998</v>
      </c>
      <c r="R56">
        <v>2733551.03433721</v>
      </c>
      <c r="S56">
        <v>2802240.6832922399</v>
      </c>
      <c r="T56">
        <v>2702294.33555004</v>
      </c>
      <c r="U56">
        <v>2938583.41692957</v>
      </c>
      <c r="V56">
        <v>3001421.5895314198</v>
      </c>
      <c r="W56">
        <v>2978720.8067629999</v>
      </c>
      <c r="X56">
        <v>2957081.3429878801</v>
      </c>
      <c r="Y56">
        <v>2881614.2245773398</v>
      </c>
      <c r="Z56">
        <v>2854855.5326472102</v>
      </c>
      <c r="AA56">
        <v>2856858.8531968398</v>
      </c>
      <c r="AB56">
        <v>2893045.5502132098</v>
      </c>
      <c r="AC56">
        <v>2890601.4747246299</v>
      </c>
      <c r="AD56">
        <v>2862364.7179150302</v>
      </c>
      <c r="AE56">
        <v>2564446</v>
      </c>
      <c r="AF56">
        <v>2507753</v>
      </c>
    </row>
    <row r="57" spans="1:32" x14ac:dyDescent="0.3">
      <c r="A57" t="s">
        <v>38</v>
      </c>
      <c r="B57" t="s">
        <v>196</v>
      </c>
      <c r="C57" t="s">
        <v>86</v>
      </c>
      <c r="D57" t="s">
        <v>197</v>
      </c>
      <c r="E57" t="s">
        <v>87</v>
      </c>
      <c r="F57">
        <v>451173078.102943</v>
      </c>
      <c r="G57">
        <v>463753189.70214599</v>
      </c>
      <c r="H57">
        <v>468624972.42541099</v>
      </c>
      <c r="I57">
        <v>456976185.27460903</v>
      </c>
      <c r="J57">
        <v>455595361.18950498</v>
      </c>
      <c r="K57">
        <v>467117012.42121798</v>
      </c>
      <c r="L57">
        <v>466858959.131998</v>
      </c>
      <c r="M57">
        <v>461302638.20672899</v>
      </c>
      <c r="N57">
        <v>463875070.05707502</v>
      </c>
      <c r="O57">
        <v>469096665.15612</v>
      </c>
      <c r="P57">
        <v>476790725.02543199</v>
      </c>
      <c r="Q57">
        <v>482981859.09881198</v>
      </c>
      <c r="R57">
        <v>491807831.06487203</v>
      </c>
      <c r="S57">
        <v>483860839.38387299</v>
      </c>
      <c r="T57">
        <v>438024025.48311001</v>
      </c>
      <c r="U57">
        <v>457886132.129942</v>
      </c>
      <c r="V57">
        <v>456309989.74007797</v>
      </c>
      <c r="W57">
        <v>465659154.29304701</v>
      </c>
      <c r="X57">
        <v>466063950.69866502</v>
      </c>
      <c r="Y57">
        <v>465031197.46617401</v>
      </c>
      <c r="Z57">
        <v>472228155.01338702</v>
      </c>
      <c r="AA57">
        <v>475625100.44131899</v>
      </c>
      <c r="AB57">
        <v>480013810.59549803</v>
      </c>
      <c r="AC57">
        <v>482491881.60128897</v>
      </c>
      <c r="AD57">
        <v>479221134.61706901</v>
      </c>
      <c r="AE57">
        <v>450530652</v>
      </c>
      <c r="AF57">
        <v>454249288</v>
      </c>
    </row>
    <row r="58" spans="1:32" x14ac:dyDescent="0.3">
      <c r="A58" t="s">
        <v>38</v>
      </c>
      <c r="B58" t="s">
        <v>198</v>
      </c>
      <c r="C58" t="s">
        <v>86</v>
      </c>
      <c r="D58" t="s">
        <v>199</v>
      </c>
      <c r="E58" t="s">
        <v>87</v>
      </c>
      <c r="F58">
        <v>449691385.84856999</v>
      </c>
      <c r="G58">
        <v>462113901.45372999</v>
      </c>
      <c r="H58">
        <v>466872790.36318803</v>
      </c>
      <c r="I58">
        <v>455192674.568564</v>
      </c>
      <c r="J58">
        <v>453779552.05279303</v>
      </c>
      <c r="K58">
        <v>465253257.74517101</v>
      </c>
      <c r="L58">
        <v>464906267.33190602</v>
      </c>
      <c r="M58">
        <v>459273985.42245901</v>
      </c>
      <c r="N58">
        <v>461726695.150446</v>
      </c>
      <c r="O58">
        <v>466932420.12376398</v>
      </c>
      <c r="P58">
        <v>474395740.76616502</v>
      </c>
      <c r="Q58">
        <v>480437591.87088501</v>
      </c>
      <c r="R58">
        <v>489093477.13697797</v>
      </c>
      <c r="S58">
        <v>481072534.938941</v>
      </c>
      <c r="T58">
        <v>435332519.63753802</v>
      </c>
      <c r="U58">
        <v>454954811.74198997</v>
      </c>
      <c r="V58">
        <v>453314675.09223402</v>
      </c>
      <c r="W58">
        <v>462686567.75579</v>
      </c>
      <c r="X58">
        <v>463112915.97984898</v>
      </c>
      <c r="Y58">
        <v>462153946.77879602</v>
      </c>
      <c r="Z58">
        <v>469375517.21082199</v>
      </c>
      <c r="AA58">
        <v>472770205.35674399</v>
      </c>
      <c r="AB58">
        <v>477122607.30714399</v>
      </c>
      <c r="AC58">
        <v>479603013.82374501</v>
      </c>
      <c r="AD58">
        <v>476360357.39500999</v>
      </c>
      <c r="AE58">
        <v>447966206</v>
      </c>
      <c r="AF58">
        <v>451741535</v>
      </c>
    </row>
    <row r="59" spans="1:32" x14ac:dyDescent="0.3">
      <c r="A59" t="s">
        <v>38</v>
      </c>
      <c r="B59" t="s">
        <v>200</v>
      </c>
      <c r="C59" t="s">
        <v>86</v>
      </c>
      <c r="D59" t="s">
        <v>201</v>
      </c>
      <c r="E59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Legend</vt:lpstr>
      <vt:lpstr>VA_CP</vt:lpstr>
      <vt:lpstr>GO_CP</vt:lpstr>
      <vt:lpstr>II_CP</vt:lpstr>
      <vt:lpstr>VA_PYP</vt:lpstr>
      <vt:lpstr>GO_PYP</vt:lpstr>
      <vt:lpstr>II_PYP</vt:lpstr>
      <vt:lpstr>COMP</vt:lpstr>
      <vt:lpstr>EMP</vt:lpstr>
      <vt:lpstr>EMPE</vt:lpstr>
      <vt:lpstr>H_EMP</vt:lpstr>
      <vt:lpstr>H_EMPE</vt:lpstr>
      <vt:lpstr>VA_PI</vt:lpstr>
      <vt:lpstr>GO_PI</vt:lpstr>
      <vt:lpstr>II_PI</vt:lpstr>
      <vt:lpstr>VA_Q</vt:lpstr>
      <vt:lpstr>Sheet1</vt:lpstr>
      <vt:lpstr>GO_Q</vt:lpstr>
      <vt:lpstr>II_Q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legend</dc:creator>
  <cp:lastModifiedBy>Orhun Özel</cp:lastModifiedBy>
  <dcterms:created xsi:type="dcterms:W3CDTF">2025-01-07T18:46:43Z</dcterms:created>
  <dcterms:modified xsi:type="dcterms:W3CDTF">2026-02-23T22:32:56Z</dcterms:modified>
</cp:coreProperties>
</file>