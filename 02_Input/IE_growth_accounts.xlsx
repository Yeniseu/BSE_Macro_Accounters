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VA_CP" sheetId="596" state="visible" r:id="rId2"/>
    <sheet name="VA_PYP" sheetId="597" state="visible" r:id="rId3"/>
    <sheet name="VA_Q" sheetId="598" state="visible" r:id="rId4"/>
    <sheet name="LAB" sheetId="599" state="visible" r:id="rId5"/>
    <sheet name="CAP" sheetId="600" state="visible" r:id="rId6"/>
    <sheet name="LAB_QI" sheetId="601" state="visible" r:id="rId7"/>
    <sheet name="CAP_QI" sheetId="602" state="visible" r:id="rId8"/>
    <sheet name="CAPICT_QI" sheetId="603" state="visible" r:id="rId9"/>
    <sheet name="CAPNICT_QI" sheetId="604" state="visible" r:id="rId10"/>
    <sheet name="CAPTang_QI" sheetId="605" state="visible" r:id="rId11"/>
    <sheet name="CAPIntang_QI" sheetId="606" state="visible" r:id="rId12"/>
    <sheet name="VA_G" sheetId="607" state="visible" r:id="rId13"/>
    <sheet name="VAConH" sheetId="608" state="visible" r:id="rId14"/>
    <sheet name="VAConLC" sheetId="609" state="visible" r:id="rId15"/>
    <sheet name="VAConTangNICT" sheetId="610" state="visible" r:id="rId16"/>
    <sheet name="VAConTangICT" sheetId="611" state="visible" r:id="rId17"/>
    <sheet name="VAConIntang" sheetId="612" state="visible" r:id="rId18"/>
    <sheet name="VAConTFP" sheetId="613" state="visible" r:id="rId19"/>
    <sheet name="VATFP_I" sheetId="614" state="visible" r:id="rId20"/>
    <sheet name="LP1_G" sheetId="615" state="visible" r:id="rId21"/>
    <sheet name="LP1ConLC" sheetId="616" state="visible" r:id="rId22"/>
    <sheet name="LP1ConTangNICT" sheetId="617" state="visible" r:id="rId23"/>
    <sheet name="LP1ConTangICT" sheetId="618" state="visible" r:id="rId24"/>
    <sheet name="LP1ConIntang" sheetId="619" state="visible" r:id="rId25"/>
    <sheet name="LP1ConTFP" sheetId="620" state="visible" r:id="rId26"/>
    <sheet name="LP1TFP_I" sheetId="621" state="visible" r:id="rId27"/>
    <sheet name="LP2_G" sheetId="622" state="visible" r:id="rId28"/>
    <sheet name="LP2ConLC" sheetId="623" state="visible" r:id="rId29"/>
    <sheet name="LP2ConTangNICT" sheetId="624" state="visible" r:id="rId30"/>
    <sheet name="LP2ConTangICT" sheetId="625" state="visible" r:id="rId31"/>
    <sheet name="LP2ConIntang" sheetId="626" state="visible" r:id="rId32"/>
    <sheet name="LP2ConTFP" sheetId="627" state="visible" r:id="rId33"/>
    <sheet name="LP2TFP_I" sheetId="628" state="visible" r:id="rId34"/>
  </sheets>
</workbook>
</file>

<file path=xl/sharedStrings.xml><?xml version="1.0" encoding="utf-8"?>
<sst xmlns="http://schemas.openxmlformats.org/spreadsheetml/2006/main" count="291" uniqueCount="291">
  <si>
    <t xml:space="preserve">Variable</t>
  </si>
  <si>
    <t xml:space="preserve">Label</t>
  </si>
  <si>
    <t xml:space="preserve">Value added, labour and capital services</t>
  </si>
  <si>
    <t xml:space="preserve"/>
  </si>
  <si>
    <t xml:space="preserve">VA_CP</t>
  </si>
  <si>
    <t xml:space="preserve">GVA, current prices, millions of national currency</t>
  </si>
  <si>
    <t xml:space="preserve">VA_PYP</t>
  </si>
  <si>
    <t xml:space="preserve">GVA, prev.year prices, millions of national currency</t>
  </si>
  <si>
    <t xml:space="preserve">VA_Q</t>
  </si>
  <si>
    <t xml:space="preserve">GVA, volume 2015 ref.prices, millions of national currency</t>
  </si>
  <si>
    <t xml:space="preserve">LAB</t>
  </si>
  <si>
    <t xml:space="preserve">Labour compensation, millions of national currency</t>
  </si>
  <si>
    <t xml:space="preserve">CAP</t>
  </si>
  <si>
    <t xml:space="preserve">Capital compensation, millions of national currency</t>
  </si>
  <si>
    <t xml:space="preserve">LAB_QI</t>
  </si>
  <si>
    <t xml:space="preserve">Labour services, volume indices, 2015=100</t>
  </si>
  <si>
    <t xml:space="preserve">CAP_QI</t>
  </si>
  <si>
    <t xml:space="preserve">Capital services, volume indices, 2015=100</t>
  </si>
  <si>
    <t xml:space="preserve">CAPICT_QI</t>
  </si>
  <si>
    <t xml:space="preserve">ICT capital services, volume indices, 2015=100</t>
  </si>
  <si>
    <t xml:space="preserve">CAPNICT_QI</t>
  </si>
  <si>
    <t xml:space="preserve">Non-ICT capital services, volume indices, 2015=100</t>
  </si>
  <si>
    <t xml:space="preserve">CAPTang_QI</t>
  </si>
  <si>
    <t xml:space="preserve">Tangible capital services, volume indices, 2015=100</t>
  </si>
  <si>
    <t xml:space="preserve">CAPIntang_QI</t>
  </si>
  <si>
    <t xml:space="preserve">Intangible capital services, volume indices, 2015=100</t>
  </si>
  <si>
    <t xml:space="preserve">Contributions to value added growth</t>
  </si>
  <si>
    <t xml:space="preserve">VAConH</t>
  </si>
  <si>
    <t xml:space="preserve">Hours worked, p.p.</t>
  </si>
  <si>
    <t xml:space="preserve">VAConLC</t>
  </si>
  <si>
    <t xml:space="preserve">Labour composition, p.p.</t>
  </si>
  <si>
    <t xml:space="preserve">VAConTangNICT</t>
  </si>
  <si>
    <t xml:space="preserve">Tangible non-ICT capital services, p.p.</t>
  </si>
  <si>
    <t xml:space="preserve">VAConTangICT</t>
  </si>
  <si>
    <t xml:space="preserve">Tangible ICT capital services, p.p.</t>
  </si>
  <si>
    <t xml:space="preserve">VAConIntang</t>
  </si>
  <si>
    <t xml:space="preserve">Intangible capital services p.p.</t>
  </si>
  <si>
    <t xml:space="preserve">VAConTFP</t>
  </si>
  <si>
    <t xml:space="preserve">TFP, p.p.</t>
  </si>
  <si>
    <t xml:space="preserve">VA_G</t>
  </si>
  <si>
    <t xml:space="preserve">Growth rate of value added volume, delta log</t>
  </si>
  <si>
    <t xml:space="preserve">VATFP_I</t>
  </si>
  <si>
    <t xml:space="preserve">TFP index, 2015=100</t>
  </si>
  <si>
    <t xml:space="preserve">Contributions to value added growth per hour worked</t>
  </si>
  <si>
    <t xml:space="preserve">LP1_G</t>
  </si>
  <si>
    <t xml:space="preserve">Growth rate of value added per hour worked, delta log</t>
  </si>
  <si>
    <t xml:space="preserve">LP1ConLC</t>
  </si>
  <si>
    <t xml:space="preserve">LP1ConTangNICT</t>
  </si>
  <si>
    <t xml:space="preserve">LP1ConTangICT</t>
  </si>
  <si>
    <t xml:space="preserve">LP1ConIntang</t>
  </si>
  <si>
    <t xml:space="preserve">Intangible capital services, p.p.</t>
  </si>
  <si>
    <t xml:space="preserve">LP1ConTFP</t>
  </si>
  <si>
    <t xml:space="preserve">LP1TFP_I</t>
  </si>
  <si>
    <t xml:space="preserve">Contributions to value added growth per person employed</t>
  </si>
  <si>
    <t xml:space="preserve">LP2_G</t>
  </si>
  <si>
    <t xml:space="preserve">Growth rate of value added per person employed, delta log</t>
  </si>
  <si>
    <t xml:space="preserve">LP2ConLC</t>
  </si>
  <si>
    <t xml:space="preserve">LP2ConTangNICT</t>
  </si>
  <si>
    <t xml:space="preserve">LP2ConTangICT</t>
  </si>
  <si>
    <t xml:space="preserve">LP2ConIntang</t>
  </si>
  <si>
    <t xml:space="preserve">LP2ConTFP</t>
  </si>
  <si>
    <t xml:space="preserve">LP2TFP_I</t>
  </si>
  <si>
    <t xml:space="preserve">Growth accounts - Statistical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</si>
  <si>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</si>
  <si>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</si>
  <si>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</si>
  <si>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</si>
  <si>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</si>
  <si>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</si>
  <si>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</si>
  <si>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</si>
  <si>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</si>
  <si>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</si>
  <si>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</si>
  <si>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</si>
  <si>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</si>
  <si>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</si>
  <si>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</si>
  <si>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var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</si>
  <si>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</si>
  <si>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</si>
  <si>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</si>
  <si>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</si>
  <si>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</si>
  <si>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</si>
  <si>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</si>
  <si>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</si>
  <si>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</si>
  <si>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</si>
  <si>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</si>
  <si>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</si>
  <si>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</si>
  <si>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</si>
  <si>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</si>
  <si>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</si>
  <si>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</si>
  <si>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</si>
  <si>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</si>
  <si>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</si>
  <si>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</si>
  <si>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</si>
  <si>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</si>
  <si>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</si>
  <si>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</si>
  <si>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</si>
  <si>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</si>
  <si>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</si>
  <si>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</si>
  <si>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</si>
  <si>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</si>
  <si>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</si>
  <si>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</si>
  <si>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</si>
  <si>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</si>
  <si>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</si>
  <si>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</si>
  <si>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</si>
  <si>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</si>
  <si>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</si>
  <si>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</si>
  <si>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</si>
  <si>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</si>
  <si>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</si>
  <si>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</si>
  <si>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</si>
  <si>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</si>
  <si>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</si>
  <si>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</si>
  <si>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</si>
  <si>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</si>
  <si>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</si>
  <si>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</si>
  <si>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</si>
  <si>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</si>
  <si>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</si>
  <si>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</si>
  <si>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</si>
  <si>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</si>
  <si>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</si>
  <si>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</si>
  <si>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</si>
  <si>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</si>
  <si>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</si>
  <si>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</si>
  <si>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</si>
  <si>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</si>
  <si>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</si>
  <si>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</si>
  <si>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</si>
  <si>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</si>
  <si>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</si>
  <si>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</si>
  <si>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</si>
  <si>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</si>
  <si>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</si>
  <si>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</si>
  <si>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</si>
  <si>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</si>
  <si>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</si>
  <si>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</si>
  <si>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</si>
  <si>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</si>
  <si>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</si>
  <si>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</si>
  <si>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</si>
  <si>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</si>
  <si>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</si>
  <si>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</si>
  <si>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</si>
  <si>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</si>
  <si>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</si>
  <si>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</si>
  <si>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</si>
  <si>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</si>
  <si>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</si>
  <si>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</si>
  <si>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</si>
  <si>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</si>
  <si>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</si>
  <si>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</si>
  <si>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</si>
  <si>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</si>
  <si>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</si>
  <si>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</si>
  <si>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</si>
  <si>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</si>
  <si>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</si>
  <si>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</si>
  <si>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</si>
  <si>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</si>
  <si>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</si>
  <si>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</si>
  <si>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</si>
  <si>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</si>
  <si>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</si>
  <si>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</si>
  <si>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</si>
  <si>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</si>
  <si>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</si>
  <si>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</si>
  <si>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</si>
  <si>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</si>
  <si>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</si>
  <si>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</si>
  <si>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</si>
  <si>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</si>
  <si>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</si>
  <si>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</si>
  <si>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</si>
  <si>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</si>
  <si>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</si>
  <si>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</si>
  <si>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</si>
  <si>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</si>
  <si>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</si>
  <si>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</si>
  <si>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</si>
  <si>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</si>
  <si>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</si>
  <si>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</si>
  <si>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</si>
  <si>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</si>
  <si>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</si>
  <si>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</si>
  <si>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</si>
  <si>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</si>
  <si>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</si>
  <si>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</si>
  <si>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</si>
  <si>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</si>
  <si>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</si>
  <si>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</si>
  <si>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</si>
  <si>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</si>
  <si>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</si>
  <si>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</si>
  <si>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</si>
  <si>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</si>
  <si>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</si>
  <si>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</si>
  <si>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</si>
  <si>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</si>
  <si>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</si>
  <si>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</si>
  <si>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EU27</t>
  </si>
  <si>
    <t xml:space="preserve">European Union - 27 countries (from 2020)</t>
  </si>
  <si>
    <t xml:space="preserve">EU27_2020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</si>
  <si>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</si>
  <si>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</si>
  <si>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</si>
  <si>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</si>
  <si>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</si>
  <si>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</si>
  <si>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</si>
  <si>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</si>
  <si>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</si>
  <si>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</si>
  <si>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</si>
  <si>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</si>
  <si>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</si>
  <si>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</si>
  <si>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</si>
  <si>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</si>
  <si>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</si>
  <si>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</si>
  <si>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</si>
  <si>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</si>
  <si>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</si>
  <si>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</si>
  <si>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</si>
  <si>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</si>
  <si>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</si>
  <si>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</si>
  <si>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</si>
  <si>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</si>
  <si>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</si>
  <si>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</si>
  <si>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</si>
  <si>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</si>
  <si>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</si>
  <si>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</si>
  <si>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</si>
  <si>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</si>
  <si>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JP</t>
  </si>
  <si>
    <t xml:space="preserve">Japan</t>
  </si>
  <si>
    <t xml:space="preserve">BE</t>
  </si>
  <si>
    <t xml:space="preserve">Belgium</t>
  </si>
  <si>
    <t xml:space="preserve">US</t>
  </si>
  <si>
    <t xml:space="preserve">United States</t>
  </si>
  <si>
    <t xml:space="preserve">C0-C21</t>
  </si>
  <si>
    <t xml:space="preserve">C6-C27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</si>
</sst>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t="s">
        <v>62</v>
      </c>
    </row>
    <row r="3">
      <c r="A3" t="s">
        <v>63</v>
      </c>
    </row>
    <row r="4">
      <c r="A4" t="s">
        <v>64</v>
      </c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2</v>
      </c>
      <c r="B7" t="s">
        <v>3</v>
      </c>
    </row>
    <row r="8">
      <c r="A8" s="4" t="str">
        <f>=HYPERLINK("#'VA_CP'!A1", "VA_CP")</f>
      </c>
      <c r="B8" t="s">
        <v>5</v>
      </c>
    </row>
    <row r="9">
      <c r="A9" s="4" t="str">
        <f>=HYPERLINK("#'VA_PYP'!A1", "VA_PYP")</f>
      </c>
      <c r="B9" t="s">
        <v>7</v>
      </c>
    </row>
    <row r="10">
      <c r="A10" s="4" t="str">
        <f>=HYPERLINK("#'VA_Q'!A1", "VA_Q")</f>
      </c>
      <c r="B10" t="s">
        <v>9</v>
      </c>
    </row>
    <row r="11">
      <c r="A11" s="4" t="str">
        <f>=HYPERLINK("#'LAB'!A1", "LAB")</f>
      </c>
      <c r="B11" t="s">
        <v>11</v>
      </c>
    </row>
    <row r="12">
      <c r="A12" s="4" t="str">
        <f>=HYPERLINK("#'CAP'!A1", "CAP")</f>
      </c>
      <c r="B12" t="s">
        <v>13</v>
      </c>
    </row>
    <row r="13">
      <c r="A13" s="4" t="str">
        <f>=HYPERLINK("#'LAB_QI'!A1", "LAB_QI")</f>
      </c>
      <c r="B13" t="s">
        <v>15</v>
      </c>
    </row>
    <row r="14">
      <c r="A14" s="4" t="str">
        <f>=HYPERLINK("#'CAP_QI'!A1", "CAP_QI")</f>
      </c>
      <c r="B14" t="s">
        <v>17</v>
      </c>
    </row>
    <row r="15">
      <c r="A15" s="4" t="str">
        <f>=HYPERLINK("#'CAPICT_QI'!A1", "CAPICT_QI")</f>
      </c>
      <c r="B15" t="s">
        <v>19</v>
      </c>
    </row>
    <row r="16">
      <c r="A16" s="4" t="str">
        <f>=HYPERLINK("#'CAPNICT_QI'!A1", "CAPNICT_QI")</f>
      </c>
      <c r="B16" t="s">
        <v>21</v>
      </c>
    </row>
    <row r="17">
      <c r="A17" s="4" t="str">
        <f>=HYPERLINK("#'CAPTang_QI'!A1", "CAPTang_QI")</f>
      </c>
      <c r="B17" t="s">
        <v>23</v>
      </c>
    </row>
    <row r="18">
      <c r="A18" s="4" t="str">
        <f>=HYPERLINK("#'CAPIntang_QI'!A1", "CAPIntang_QI")</f>
      </c>
      <c r="B18" t="s">
        <v>25</v>
      </c>
    </row>
    <row r="19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=HYPERLINK("#'VAConH'!A1", "VAConH")</f>
      </c>
      <c r="B20" t="s">
        <v>28</v>
      </c>
    </row>
    <row r="21">
      <c r="A21" s="4" t="str">
        <f>=HYPERLINK("#'VAConLC'!A1", "VAConLC")</f>
      </c>
      <c r="B21" t="s">
        <v>30</v>
      </c>
    </row>
    <row r="22">
      <c r="A22" s="4" t="str">
        <f>=HYPERLINK("#'VAConTangNICT'!A1", "VAConTangNICT")</f>
      </c>
      <c r="B22" t="s">
        <v>32</v>
      </c>
    </row>
    <row r="23">
      <c r="A23" s="4" t="str">
        <f>=HYPERLINK("#'VAConTangICT'!A1", "VAConTangICT")</f>
      </c>
      <c r="B23" t="s">
        <v>34</v>
      </c>
    </row>
    <row r="24">
      <c r="A24" s="4" t="str">
        <f>=HYPERLINK("#'VAConIntang'!A1", "VAConIntang")</f>
      </c>
      <c r="B24" t="s">
        <v>36</v>
      </c>
    </row>
    <row r="25">
      <c r="A25" s="4" t="str">
        <f>=HYPERLINK("#'VAConTFP'!A1", "VAConTFP")</f>
      </c>
      <c r="B25" t="s">
        <v>38</v>
      </c>
    </row>
    <row r="26">
      <c r="A26" s="4" t="str">
        <f>=HYPERLINK("#'VA_G'!A1", "VA_G")</f>
      </c>
      <c r="B26" t="s">
        <v>40</v>
      </c>
    </row>
    <row r="27">
      <c r="A27" s="4" t="str">
        <f>=HYPERLINK("#'VATFP_I'!A1", "VATFP_I")</f>
      </c>
      <c r="B27" t="s">
        <v>42</v>
      </c>
    </row>
    <row r="28">
      <c r="A28" s="2" t="s">
        <v>43</v>
      </c>
      <c r="B28" s="2" t="s">
        <v>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 t="str">
        <f>=HYPERLINK("#'LP1_G'!A1", "LP1_G")</f>
      </c>
      <c r="B29" t="s">
        <v>45</v>
      </c>
    </row>
    <row r="30">
      <c r="A30" s="4" t="str">
        <f>=HYPERLINK("#'LP1ConLC'!A1", "LP1ConLC")</f>
      </c>
      <c r="B30" t="s">
        <v>30</v>
      </c>
    </row>
    <row r="31">
      <c r="A31" s="4" t="str">
        <f>=HYPERLINK("#'LP1ConTangNICT'!A1", "LP1ConTangNICT")</f>
      </c>
      <c r="B31" t="s">
        <v>32</v>
      </c>
    </row>
    <row r="32">
      <c r="A32" s="4" t="str">
        <f>=HYPERLINK("#'LP1ConTangICT'!A1", "LP1ConTangICT")</f>
      </c>
      <c r="B32" t="s">
        <v>34</v>
      </c>
    </row>
    <row r="33">
      <c r="A33" s="4" t="str">
        <f>=HYPERLINK("#'LP1ConIntang'!A1", "LP1ConIntang")</f>
      </c>
      <c r="B33" t="s">
        <v>50</v>
      </c>
    </row>
    <row r="34">
      <c r="A34" s="4" t="str">
        <f>=HYPERLINK("#'LP1ConTFP'!A1", "LP1ConTFP")</f>
      </c>
      <c r="B34" t="s">
        <v>38</v>
      </c>
    </row>
    <row r="35">
      <c r="A35" s="4" t="str">
        <f>=HYPERLINK("#'LP1TFP_I'!A1", "LP1TFP_I")</f>
      </c>
      <c r="B35" t="s">
        <v>42</v>
      </c>
    </row>
    <row r="36">
      <c r="A36" s="2" t="s">
        <v>53</v>
      </c>
      <c r="B36" s="2" t="s">
        <v>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 t="str">
        <f>=HYPERLINK("#'LP2_G'!A1", "LP2_G")</f>
      </c>
      <c r="B37" t="s">
        <v>55</v>
      </c>
    </row>
    <row r="38">
      <c r="A38" s="4" t="str">
        <f>=HYPERLINK("#'LP2ConLC'!A1", "LP2ConLC")</f>
      </c>
      <c r="B38" t="s">
        <v>30</v>
      </c>
    </row>
    <row r="39">
      <c r="A39" s="4" t="str">
        <f>=HYPERLINK("#'LP2ConTangNICT'!A1", "LP2ConTangNICT")</f>
      </c>
      <c r="B39" t="s">
        <v>32</v>
      </c>
    </row>
    <row r="40">
      <c r="A40" s="4" t="str">
        <f>=HYPERLINK("#'LP2ConTangICT'!A1", "LP2ConTangICT")</f>
      </c>
      <c r="B40" t="s">
        <v>34</v>
      </c>
    </row>
    <row r="41">
      <c r="A41" s="4" t="str">
        <f>=HYPERLINK("#'LP2ConIntang'!A1", "LP2ConIntang")</f>
      </c>
      <c r="B41" t="s">
        <v>50</v>
      </c>
    </row>
    <row r="42">
      <c r="A42" s="4" t="str">
        <f>=HYPERLINK("#'LP2ConTFP'!A1", "LP2ConTFP")</f>
      </c>
      <c r="B42" t="s">
        <v>38</v>
      </c>
    </row>
    <row r="43">
      <c r="A43" s="4" t="str">
        <f>=HYPERLINK("#'LP2TFP_I'!A1", "LP2TFP_I")</f>
      </c>
      <c r="B43" t="s">
        <v>42</v>
      </c>
    </row>
    <row r="44">
      <c r="A44" t="s">
        <v>3</v>
      </c>
    </row>
    <row r="45">
      <c r="A45" t="s">
        <v>3</v>
      </c>
    </row>
    <row r="46">
      <c r="A46" s="1" t="s">
        <v>65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3" t="s">
        <v>66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 t="s">
        <v>67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 t="s">
        <v>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" t="s">
        <v>68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t="s">
        <v>3</v>
      </c>
    </row>
    <row r="52">
      <c r="A52" s="1" t="s">
        <v>69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3" t="s">
        <v>70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 t="s">
        <v>71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 t="s">
        <v>72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 t="s">
        <v>73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</v>
      </c>
      <c r="F57" t="n">
        <v>49450.8</v>
      </c>
      <c r="G57" t="n">
        <v>53516.3</v>
      </c>
      <c r="H57" t="n">
        <v>61844.9</v>
      </c>
      <c r="I57" t="n">
        <v>72754.1</v>
      </c>
      <c r="J57" t="n">
        <v>82670.9</v>
      </c>
      <c r="K57" t="n">
        <v>96721.6</v>
      </c>
      <c r="L57" t="n">
        <v>108813.6</v>
      </c>
      <c r="M57" t="n">
        <v>120604.8</v>
      </c>
      <c r="N57" t="n">
        <v>128986.8</v>
      </c>
      <c r="O57" t="n">
        <v>137429.2</v>
      </c>
      <c r="P57" t="n">
        <v>149522.5</v>
      </c>
      <c r="Q57" t="n">
        <v>162578.2</v>
      </c>
      <c r="R57" t="n">
        <v>175066</v>
      </c>
      <c r="S57" t="n">
        <v>167334.6</v>
      </c>
      <c r="T57" t="n">
        <v>152335.8</v>
      </c>
      <c r="U57" t="n">
        <v>152323.7</v>
      </c>
      <c r="V57" t="n">
        <v>158278.6</v>
      </c>
      <c r="W57" t="n">
        <v>161459.3</v>
      </c>
      <c r="X57" t="n">
        <v>169094.9</v>
      </c>
      <c r="Y57" t="n">
        <v>186168</v>
      </c>
      <c r="Z57" t="n">
        <v>254663.8</v>
      </c>
      <c r="AA57" t="n">
        <v>257066.1</v>
      </c>
      <c r="AB57" t="n">
        <v>286712.8</v>
      </c>
      <c r="AC57" t="n">
        <v>314738.8</v>
      </c>
      <c r="AD57" t="n">
        <v>342949.7</v>
      </c>
      <c r="AE57" t="n">
        <v>360059.2</v>
      </c>
      <c r="AF57" t="n">
        <v>424242.4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6</v>
      </c>
      <c r="F57"/>
      <c r="G57" t="n">
        <v>52420.8</v>
      </c>
      <c r="H57" t="n">
        <v>59114.5</v>
      </c>
      <c r="I57" t="n">
        <v>67356</v>
      </c>
      <c r="J57" t="n">
        <v>78847.2</v>
      </c>
      <c r="K57" t="n">
        <v>89418.6</v>
      </c>
      <c r="L57" t="n">
        <v>100406.8</v>
      </c>
      <c r="M57" t="n">
        <v>115443.1</v>
      </c>
      <c r="N57" t="n">
        <v>122169.1</v>
      </c>
      <c r="O57" t="n">
        <v>135692.9</v>
      </c>
      <c r="P57" t="n">
        <v>145800.7</v>
      </c>
      <c r="Q57" t="n">
        <v>156386.4</v>
      </c>
      <c r="R57" t="n">
        <v>175290.1</v>
      </c>
      <c r="S57" t="n">
        <v>171136</v>
      </c>
      <c r="T57" t="n">
        <v>156669.2</v>
      </c>
      <c r="U57" t="n">
        <v>155075.3</v>
      </c>
      <c r="V57" t="n">
        <v>155985.8</v>
      </c>
      <c r="W57" t="n">
        <v>153864.6</v>
      </c>
      <c r="X57" t="n">
        <v>164983.3</v>
      </c>
      <c r="Y57" t="n">
        <v>183690.8</v>
      </c>
      <c r="Z57" t="n">
        <v>228056.6</v>
      </c>
      <c r="AA57" t="n">
        <v>257164</v>
      </c>
      <c r="AB57" t="n">
        <v>276910.4</v>
      </c>
      <c r="AC57" t="n">
        <v>313186</v>
      </c>
      <c r="AD57" t="n">
        <v>331588.5</v>
      </c>
      <c r="AE57" t="n">
        <v>369922.5</v>
      </c>
      <c r="AF57" t="n">
        <v>418842.3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8</v>
      </c>
      <c r="F57" t="n">
        <v>100728.476199647</v>
      </c>
      <c r="G57" t="n">
        <v>106778.197828275</v>
      </c>
      <c r="H57" t="n">
        <v>117947.985483293</v>
      </c>
      <c r="I57" t="n">
        <v>128458.523018271</v>
      </c>
      <c r="J57" t="n">
        <v>139216.825665168</v>
      </c>
      <c r="K57" t="n">
        <v>150579.873297901</v>
      </c>
      <c r="L57" t="n">
        <v>156317.133114503</v>
      </c>
      <c r="M57" t="n">
        <v>165840.799586181</v>
      </c>
      <c r="N57" t="n">
        <v>167991.831409066</v>
      </c>
      <c r="O57" t="n">
        <v>176725.826055125</v>
      </c>
      <c r="P57" t="n">
        <v>187491.080111908</v>
      </c>
      <c r="Q57" t="n">
        <v>196097.94546515</v>
      </c>
      <c r="R57" t="n">
        <v>211430.735918965</v>
      </c>
      <c r="S57" t="n">
        <v>206684.395726343</v>
      </c>
      <c r="T57" t="n">
        <v>193510.959066025</v>
      </c>
      <c r="U57" t="n">
        <v>196990.924198065</v>
      </c>
      <c r="V57" t="n">
        <v>201726.894132525</v>
      </c>
      <c r="W57" t="n">
        <v>196101.228308459</v>
      </c>
      <c r="X57" t="n">
        <v>200381.320743884</v>
      </c>
      <c r="Y57" t="n">
        <v>217677.79579692</v>
      </c>
      <c r="Z57" t="n">
        <v>266656.235254931</v>
      </c>
      <c r="AA57" t="n">
        <v>269274.172784271</v>
      </c>
      <c r="AB57" t="n">
        <v>290060.878876528</v>
      </c>
      <c r="AC57" t="n">
        <v>316843.218760461</v>
      </c>
      <c r="AD57" t="n">
        <v>333805.579877515</v>
      </c>
      <c r="AE57" t="n">
        <v>360059.2</v>
      </c>
      <c r="AF57" t="n">
        <v>418842.3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10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10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10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10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10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10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10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10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10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10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10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10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10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10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10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10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10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10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10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10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10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10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10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10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10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10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10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10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10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10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10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10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10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10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10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10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10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10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10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10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10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10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10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10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10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10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10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10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10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10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10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10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10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10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10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10</v>
      </c>
      <c r="F57" t="n">
        <v>32314.33203125</v>
      </c>
      <c r="G57" t="n">
        <v>34943.515625</v>
      </c>
      <c r="H57" t="n">
        <v>38549.75390625</v>
      </c>
      <c r="I57" t="n">
        <v>43056.25</v>
      </c>
      <c r="J57" t="n">
        <v>47928.09765625</v>
      </c>
      <c r="K57" t="n">
        <v>53864.0234375</v>
      </c>
      <c r="L57" t="n">
        <v>59784.27734375</v>
      </c>
      <c r="M57" t="n">
        <v>63755.69140625</v>
      </c>
      <c r="N57" t="n">
        <v>69001.859375</v>
      </c>
      <c r="O57" t="n">
        <v>75296.1328125</v>
      </c>
      <c r="P57" t="n">
        <v>83096.2265625</v>
      </c>
      <c r="Q57" t="n">
        <v>90528.7578125</v>
      </c>
      <c r="R57" t="n">
        <v>99554.46875</v>
      </c>
      <c r="S57" t="n">
        <v>102131.828125</v>
      </c>
      <c r="T57" t="n">
        <v>93881.9609375</v>
      </c>
      <c r="U57" t="n">
        <v>87544.7890625</v>
      </c>
      <c r="V57" t="n">
        <v>89597.4765625</v>
      </c>
      <c r="W57" t="n">
        <v>90070.8984375</v>
      </c>
      <c r="X57" t="n">
        <v>91709.9296875</v>
      </c>
      <c r="Y57" t="n">
        <v>95188.015625</v>
      </c>
      <c r="Z57" t="n">
        <v>100860.953125</v>
      </c>
      <c r="AA57" t="n">
        <v>106933.8046875</v>
      </c>
      <c r="AB57" t="n">
        <v>113541.171875</v>
      </c>
      <c r="AC57" t="n">
        <v>119965.0625</v>
      </c>
      <c r="AD57" t="n">
        <v>128532.828125</v>
      </c>
      <c r="AE57" t="n">
        <v>126097.421875</v>
      </c>
      <c r="AF57" t="n">
        <v>139094.21875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10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10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12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12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12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12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12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12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12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12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12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12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12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12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12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12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12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12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12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12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12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12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12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12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12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12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12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12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12</v>
      </c>
      <c r="F57" t="n">
        <v>17136.46875</v>
      </c>
      <c r="G57" t="n">
        <v>18572.78515625</v>
      </c>
      <c r="H57" t="n">
        <v>23295.146484375</v>
      </c>
      <c r="I57" t="n">
        <v>29697.849609375</v>
      </c>
      <c r="J57" t="n">
        <v>34742.80078125</v>
      </c>
      <c r="K57" t="n">
        <v>42857.578125</v>
      </c>
      <c r="L57" t="n">
        <v>49029.32421875</v>
      </c>
      <c r="M57" t="n">
        <v>56849.109375</v>
      </c>
      <c r="N57" t="n">
        <v>59984.94140625</v>
      </c>
      <c r="O57" t="n">
        <v>62133.06640625</v>
      </c>
      <c r="P57" t="n">
        <v>66426.2734375</v>
      </c>
      <c r="Q57" t="n">
        <v>72049.4453125</v>
      </c>
      <c r="R57" t="n">
        <v>75511.53125</v>
      </c>
      <c r="S57" t="n">
        <v>65202.7734375</v>
      </c>
      <c r="T57" t="n">
        <v>58453.83984375</v>
      </c>
      <c r="U57" t="n">
        <v>64778.91015625</v>
      </c>
      <c r="V57" t="n">
        <v>68681.125</v>
      </c>
      <c r="W57" t="n">
        <v>71388.3984375</v>
      </c>
      <c r="X57" t="n">
        <v>77384.96875</v>
      </c>
      <c r="Y57" t="n">
        <v>90979.984375</v>
      </c>
      <c r="Z57" t="n">
        <v>153802.84375</v>
      </c>
      <c r="AA57" t="n">
        <v>150132.296875</v>
      </c>
      <c r="AB57" t="n">
        <v>173171.625</v>
      </c>
      <c r="AC57" t="n">
        <v>194773.734375</v>
      </c>
      <c r="AD57" t="n">
        <v>214416.875</v>
      </c>
      <c r="AE57" t="n">
        <v>233961.78125</v>
      </c>
      <c r="AF57" t="n">
        <v>285148.1875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14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14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14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14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14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14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14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14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14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14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14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14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14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14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14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14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14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14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14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14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14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14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14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14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14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14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14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14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14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14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14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14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14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14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14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14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14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14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14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14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14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14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14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14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14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14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14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14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14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14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14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14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14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14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14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14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97.1805801391602</v>
      </c>
      <c r="T57" t="n">
        <v>89.3827667236328</v>
      </c>
      <c r="U57" t="n">
        <v>88.0746688842773</v>
      </c>
      <c r="V57" t="n">
        <v>87.792121887207</v>
      </c>
      <c r="W57" t="n">
        <v>88.2126541137695</v>
      </c>
      <c r="X57" t="n">
        <v>92.3949508666992</v>
      </c>
      <c r="Y57" t="n">
        <v>96.2159881591797</v>
      </c>
      <c r="Z57" t="n">
        <v>100</v>
      </c>
      <c r="AA57" t="n">
        <v>104.967216491699</v>
      </c>
      <c r="AB57" t="n">
        <v>110.663627624512</v>
      </c>
      <c r="AC57" t="n">
        <v>114.968521118164</v>
      </c>
      <c r="AD57" t="n">
        <v>118.673820495605</v>
      </c>
      <c r="AE57" t="n">
        <v>109.28067779541</v>
      </c>
      <c r="AF57" t="n">
        <v>118.120315551758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14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14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16</v>
      </c>
      <c r="F57" t="n">
        <v>14.3965625762939</v>
      </c>
      <c r="G57" t="n">
        <v>15.0900783538818</v>
      </c>
      <c r="H57" t="n">
        <v>15.9500207901001</v>
      </c>
      <c r="I57" t="n">
        <v>17.0578136444092</v>
      </c>
      <c r="J57" t="n">
        <v>18.4074630737305</v>
      </c>
      <c r="K57" t="n">
        <v>19.9408321380615</v>
      </c>
      <c r="L57" t="n">
        <v>21.4341506958008</v>
      </c>
      <c r="M57" t="n">
        <v>23.3651752471924</v>
      </c>
      <c r="N57" t="n">
        <v>24.9961242675781</v>
      </c>
      <c r="O57" t="n">
        <v>26.9932727813721</v>
      </c>
      <c r="P57" t="n">
        <v>30.9639148712158</v>
      </c>
      <c r="Q57" t="n">
        <v>33.1782073974609</v>
      </c>
      <c r="R57" t="n">
        <v>35.3065757751465</v>
      </c>
      <c r="S57" t="n">
        <v>36.685791015625</v>
      </c>
      <c r="T57" t="n">
        <v>37.9727020263672</v>
      </c>
      <c r="U57" t="n">
        <v>38.9850692749023</v>
      </c>
      <c r="V57" t="n">
        <v>39.6941032409668</v>
      </c>
      <c r="W57" t="n">
        <v>41.0773086547852</v>
      </c>
      <c r="X57" t="n">
        <v>42.2103157043457</v>
      </c>
      <c r="Y57" t="n">
        <v>46.2625045776367</v>
      </c>
      <c r="Z57" t="n">
        <v>100</v>
      </c>
      <c r="AA57" t="n">
        <v>105.346229553223</v>
      </c>
      <c r="AB57" t="n">
        <v>108.711723327637</v>
      </c>
      <c r="AC57" t="n">
        <v>115.438087463379</v>
      </c>
      <c r="AD57" t="n">
        <v>136.491027832031</v>
      </c>
      <c r="AE57" t="n">
        <v>147.97526550293</v>
      </c>
      <c r="AF57" t="n">
        <v>142.604202270508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18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18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18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18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18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18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18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18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18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18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18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18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18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18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18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18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18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18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18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18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18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18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18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18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18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18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18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18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18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18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18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18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18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18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18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18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18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18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18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18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18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18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18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18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18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18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18</v>
      </c>
      <c r="F57" t="n">
        <v>13.9054002761841</v>
      </c>
      <c r="G57" t="n">
        <v>15.8663206100464</v>
      </c>
      <c r="H57" t="n">
        <v>17.4228477478027</v>
      </c>
      <c r="I57" t="n">
        <v>20.9094944000244</v>
      </c>
      <c r="J57" t="n">
        <v>24.7592964172363</v>
      </c>
      <c r="K57" t="n">
        <v>28.1194438934326</v>
      </c>
      <c r="L57" t="n">
        <v>30.9653778076172</v>
      </c>
      <c r="M57" t="n">
        <v>31.9255237579346</v>
      </c>
      <c r="N57" t="n">
        <v>32.9334106445312</v>
      </c>
      <c r="O57" t="n">
        <v>35.2518310546875</v>
      </c>
      <c r="P57" t="n">
        <v>36.4963340759277</v>
      </c>
      <c r="Q57" t="n">
        <v>41.3379211425781</v>
      </c>
      <c r="R57" t="n">
        <v>49.1264991760254</v>
      </c>
      <c r="S57" t="n">
        <v>53.6490020751953</v>
      </c>
      <c r="T57" t="n">
        <v>56.8461456298828</v>
      </c>
      <c r="U57" t="n">
        <v>60.7509727478027</v>
      </c>
      <c r="V57" t="n">
        <v>71.6293487548828</v>
      </c>
      <c r="W57" t="n">
        <v>77.4588241577148</v>
      </c>
      <c r="X57" t="n">
        <v>83.3603057861328</v>
      </c>
      <c r="Y57" t="n">
        <v>85.8143539428711</v>
      </c>
      <c r="Z57" t="n">
        <v>100</v>
      </c>
      <c r="AA57" t="n">
        <v>108.009223937988</v>
      </c>
      <c r="AB57" t="n">
        <v>109.509567260742</v>
      </c>
      <c r="AC57" t="n">
        <v>123.695220947266</v>
      </c>
      <c r="AD57" t="n">
        <v>129.7255859375</v>
      </c>
      <c r="AE57" t="n">
        <v>133.800384521484</v>
      </c>
      <c r="AF57" t="n">
        <v>143.790390014648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18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18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20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20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20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20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20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20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20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20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20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20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20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20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20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20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20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20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20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20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20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20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20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20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20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20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20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20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20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20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20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20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20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20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20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20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20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20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20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20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20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20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20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20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20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20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20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20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20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20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20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20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20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20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20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20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20</v>
      </c>
      <c r="F57" t="n">
        <v>14.5139808654785</v>
      </c>
      <c r="G57" t="n">
        <v>15.1473226547241</v>
      </c>
      <c r="H57" t="n">
        <v>15.9806423187256</v>
      </c>
      <c r="I57" t="n">
        <v>16.9982795715332</v>
      </c>
      <c r="J57" t="n">
        <v>18.263298034668</v>
      </c>
      <c r="K57" t="n">
        <v>19.741527557373</v>
      </c>
      <c r="L57" t="n">
        <v>21.1967487335205</v>
      </c>
      <c r="M57" t="n">
        <v>23.1610927581787</v>
      </c>
      <c r="N57" t="n">
        <v>24.8121490478516</v>
      </c>
      <c r="O57" t="n">
        <v>26.8027973175049</v>
      </c>
      <c r="P57" t="n">
        <v>30.8460121154785</v>
      </c>
      <c r="Q57" t="n">
        <v>32.9977264404297</v>
      </c>
      <c r="R57" t="n">
        <v>35.009449005127</v>
      </c>
      <c r="S57" t="n">
        <v>36.3330764770508</v>
      </c>
      <c r="T57" t="n">
        <v>37.5867347717285</v>
      </c>
      <c r="U57" t="n">
        <v>38.548469543457</v>
      </c>
      <c r="V57" t="n">
        <v>39.076847076416</v>
      </c>
      <c r="W57" t="n">
        <v>40.3765449523926</v>
      </c>
      <c r="X57" t="n">
        <v>41.414379119873</v>
      </c>
      <c r="Y57" t="n">
        <v>45.5046730041504</v>
      </c>
      <c r="Z57" t="n">
        <v>100</v>
      </c>
      <c r="AA57" t="n">
        <v>105.27906036377</v>
      </c>
      <c r="AB57" t="n">
        <v>108.691184997559</v>
      </c>
      <c r="AC57" t="n">
        <v>115.235275268555</v>
      </c>
      <c r="AD57" t="n">
        <v>136.661514282227</v>
      </c>
      <c r="AE57" t="n">
        <v>148.328720092773</v>
      </c>
      <c r="AF57" t="n">
        <v>142.605407714844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20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20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22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22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22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22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22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22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22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22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22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22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22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22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22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22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22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22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22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22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22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22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22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22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22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22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22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22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22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22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22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22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22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22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22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22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22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22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22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22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22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22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22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22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22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22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22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22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22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22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22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22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22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22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22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22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22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22</v>
      </c>
      <c r="F57" t="n">
        <v>32.6204032897949</v>
      </c>
      <c r="G57" t="n">
        <v>33.9962043762207</v>
      </c>
      <c r="H57" t="n">
        <v>35.7598648071289</v>
      </c>
      <c r="I57" t="n">
        <v>38.102840423584</v>
      </c>
      <c r="J57" t="n">
        <v>40.9133186340332</v>
      </c>
      <c r="K57" t="n">
        <v>44.3008766174316</v>
      </c>
      <c r="L57" t="n">
        <v>47.0569915771484</v>
      </c>
      <c r="M57" t="n">
        <v>50.7138824462891</v>
      </c>
      <c r="N57" t="n">
        <v>53.9004783630371</v>
      </c>
      <c r="O57" t="n">
        <v>57.8832015991211</v>
      </c>
      <c r="P57" t="n">
        <v>66.3236923217773</v>
      </c>
      <c r="Q57" t="n">
        <v>70.7686080932617</v>
      </c>
      <c r="R57" t="n">
        <v>75.2447891235352</v>
      </c>
      <c r="S57" t="n">
        <v>78.1952590942383</v>
      </c>
      <c r="T57" t="n">
        <v>80.6314697265625</v>
      </c>
      <c r="U57" t="n">
        <v>82.4005737304688</v>
      </c>
      <c r="V57" t="n">
        <v>83.6398620605469</v>
      </c>
      <c r="W57" t="n">
        <v>85.6240158081055</v>
      </c>
      <c r="X57" t="n">
        <v>87.8611831665039</v>
      </c>
      <c r="Y57" t="n">
        <v>96.4418258666992</v>
      </c>
      <c r="Z57" t="n">
        <v>100</v>
      </c>
      <c r="AA57" t="n">
        <v>103.903129577637</v>
      </c>
      <c r="AB57" t="n">
        <v>108.562690734863</v>
      </c>
      <c r="AC57" t="n">
        <v>123.36792755127</v>
      </c>
      <c r="AD57" t="n">
        <v>136.854415893555</v>
      </c>
      <c r="AE57" t="n">
        <v>141.333831787109</v>
      </c>
      <c r="AF57" t="n">
        <v>141.266357421875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22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22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24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24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24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24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24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24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24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24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24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24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24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24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24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24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24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24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24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24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24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24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24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24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24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24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24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24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24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24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24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24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24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24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24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24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24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24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24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24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24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24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24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24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24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24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24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24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24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24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24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24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24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24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24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24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24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24</v>
      </c>
      <c r="F57" t="n">
        <v>1.47438824176788</v>
      </c>
      <c r="G57" t="n">
        <v>1.70163667201996</v>
      </c>
      <c r="H57" t="n">
        <v>1.94784092903137</v>
      </c>
      <c r="I57" t="n">
        <v>2.21157836914062</v>
      </c>
      <c r="J57" t="n">
        <v>2.58801865577698</v>
      </c>
      <c r="K57" t="n">
        <v>2.82579636573792</v>
      </c>
      <c r="L57" t="n">
        <v>3.65615200996399</v>
      </c>
      <c r="M57" t="n">
        <v>4.6344518661499</v>
      </c>
      <c r="N57" t="n">
        <v>5.35858583450317</v>
      </c>
      <c r="O57" t="n">
        <v>6.15516376495361</v>
      </c>
      <c r="P57" t="n">
        <v>7.14536714553833</v>
      </c>
      <c r="Q57" t="n">
        <v>7.98649501800537</v>
      </c>
      <c r="R57" t="n">
        <v>8.58126354217529</v>
      </c>
      <c r="S57" t="n">
        <v>8.90043640136719</v>
      </c>
      <c r="T57" t="n">
        <v>9.59062957763672</v>
      </c>
      <c r="U57" t="n">
        <v>10.2109489440918</v>
      </c>
      <c r="V57" t="n">
        <v>10.6227655410767</v>
      </c>
      <c r="W57" t="n">
        <v>11.7897682189941</v>
      </c>
      <c r="X57" t="n">
        <v>12.2131834030151</v>
      </c>
      <c r="Y57" t="n">
        <v>13.270583152771</v>
      </c>
      <c r="Z57" t="n">
        <v>100</v>
      </c>
      <c r="AA57" t="n">
        <v>106.367248535156</v>
      </c>
      <c r="AB57" t="n">
        <v>108.810241699219</v>
      </c>
      <c r="AC57" t="n">
        <v>109.325569152832</v>
      </c>
      <c r="AD57" t="n">
        <v>136.443405151367</v>
      </c>
      <c r="AE57" t="n">
        <v>153.485076904297</v>
      </c>
      <c r="AF57" t="n">
        <v>143.661026000977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24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24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39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39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39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39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39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39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39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39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39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39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39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39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39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39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39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39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39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39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39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39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39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39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39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39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39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39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39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39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39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39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39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39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39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39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39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39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39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39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39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39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39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39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39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39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39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39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39</v>
      </c>
      <c r="F57"/>
      <c r="G57" t="n">
        <v>5.83252239227295</v>
      </c>
      <c r="H57" t="n">
        <v>9.94899559020996</v>
      </c>
      <c r="I57" t="n">
        <v>8.53623485565186</v>
      </c>
      <c r="J57" t="n">
        <v>8.04265403747559</v>
      </c>
      <c r="K57" t="n">
        <v>7.84610509872437</v>
      </c>
      <c r="L57" t="n">
        <v>3.73931860923767</v>
      </c>
      <c r="M57" t="n">
        <v>5.91414403915405</v>
      </c>
      <c r="N57" t="n">
        <v>1.28870666027069</v>
      </c>
      <c r="O57" t="n">
        <v>5.06841707229614</v>
      </c>
      <c r="P57" t="n">
        <v>5.91317462921143</v>
      </c>
      <c r="Q57" t="n">
        <v>4.4882984161377</v>
      </c>
      <c r="R57" t="n">
        <v>7.52831983566284</v>
      </c>
      <c r="S57" t="n">
        <v>-2.2704484462738</v>
      </c>
      <c r="T57" t="n">
        <v>-6.58588266372681</v>
      </c>
      <c r="U57" t="n">
        <v>1.78235101699829</v>
      </c>
      <c r="V57" t="n">
        <v>2.37571144104004</v>
      </c>
      <c r="W57" t="n">
        <v>-2.82837772369385</v>
      </c>
      <c r="X57" t="n">
        <v>2.1591157913208</v>
      </c>
      <c r="Y57" t="n">
        <v>8.27938175201416</v>
      </c>
      <c r="Z57" t="n">
        <v>20.2944355010986</v>
      </c>
      <c r="AA57" t="n">
        <v>0.976976931095123</v>
      </c>
      <c r="AB57" t="n">
        <v>7.43607378005981</v>
      </c>
      <c r="AC57" t="n">
        <v>8.83162498474121</v>
      </c>
      <c r="AD57" t="n">
        <v>5.21516561508179</v>
      </c>
      <c r="AE57" t="n">
        <v>7.57097387313843</v>
      </c>
      <c r="AF57" t="n">
        <v>15.1226015090942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39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39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27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27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27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27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27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27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27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27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27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27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27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27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27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27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27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27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27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27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27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27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27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27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27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27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27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27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27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27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27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27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27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27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27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27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27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27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27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27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27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27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27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27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27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27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27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27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27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27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27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27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27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27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27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27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27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27</v>
      </c>
      <c r="F57"/>
      <c r="G57" t="n">
        <v>0.518937945365906</v>
      </c>
      <c r="H57" t="n">
        <v>0.458201944828033</v>
      </c>
      <c r="I57" t="n">
        <v>1.34115695953369</v>
      </c>
      <c r="J57" t="n">
        <v>2.97363948822021</v>
      </c>
      <c r="K57" t="n">
        <v>2.05052828788757</v>
      </c>
      <c r="L57" t="n">
        <v>0.864602267742157</v>
      </c>
      <c r="M57" t="n">
        <v>0.358148276805878</v>
      </c>
      <c r="N57" t="n">
        <v>0.114754937589169</v>
      </c>
      <c r="O57" t="n">
        <v>1.26365542411804</v>
      </c>
      <c r="P57" t="n">
        <v>2.5326247215271</v>
      </c>
      <c r="Q57" t="n">
        <v>1.77416038513184</v>
      </c>
      <c r="R57" t="n">
        <v>1.46950650215149</v>
      </c>
      <c r="S57" t="n">
        <v>-1.7642205953598</v>
      </c>
      <c r="T57" t="n">
        <v>-7.15061855316162</v>
      </c>
      <c r="U57" t="n">
        <v>-2.56816339492798</v>
      </c>
      <c r="V57" t="n">
        <v>-1.02036619186401</v>
      </c>
      <c r="W57" t="n">
        <v>-0.422663152217865</v>
      </c>
      <c r="X57" t="n">
        <v>2.07338190078735</v>
      </c>
      <c r="Y57" t="n">
        <v>1.71998763084412</v>
      </c>
      <c r="Z57" t="n">
        <v>1.38235998153687</v>
      </c>
      <c r="AA57" t="n">
        <v>2.05903959274292</v>
      </c>
      <c r="AB57" t="n">
        <v>1.78092086315155</v>
      </c>
      <c r="AC57" t="n">
        <v>1.46876811981201</v>
      </c>
      <c r="AD57" t="n">
        <v>1.1844744682312</v>
      </c>
      <c r="AE57" t="n">
        <v>-3.5520601272583</v>
      </c>
      <c r="AF57" t="n">
        <v>2.40992403030396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27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27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29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29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29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29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29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29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29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29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29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29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29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29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29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29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29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29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29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29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29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29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29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29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29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29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29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29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29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29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29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29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29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29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29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29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29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29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29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29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29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29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29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29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29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29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29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29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29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29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29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29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29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29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29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29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29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29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n">
        <v>2.02067613601685</v>
      </c>
      <c r="U57" t="n">
        <v>1.69021558761597</v>
      </c>
      <c r="V57" t="n">
        <v>1.05254364013672</v>
      </c>
      <c r="W57" t="n">
        <v>0.691205859184265</v>
      </c>
      <c r="X57" t="n">
        <v>0.474814593791962</v>
      </c>
      <c r="Y57" t="n">
        <v>0.414894670248032</v>
      </c>
      <c r="Z57" t="n">
        <v>0.367689102888107</v>
      </c>
      <c r="AA57" t="n">
        <v>-0.0907567664980888</v>
      </c>
      <c r="AB57" t="n">
        <v>0.36464062333107</v>
      </c>
      <c r="AC57" t="n">
        <v>0.0141896875575185</v>
      </c>
      <c r="AD57" t="n">
        <v>0.0144662158563733</v>
      </c>
      <c r="AE57" t="n">
        <v>0.562919676303864</v>
      </c>
      <c r="AF57" t="n">
        <v>0.227261006832123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29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29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31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31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31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31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31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31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31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31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31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31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31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31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31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31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31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31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31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31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31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31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31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31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31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31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31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31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31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31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31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31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31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31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31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31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31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31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31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31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31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31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31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31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31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31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31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31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31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31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31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31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31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31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31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31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31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31</v>
      </c>
      <c r="F57"/>
      <c r="G57" t="n">
        <v>1.21118664741516</v>
      </c>
      <c r="H57" t="n">
        <v>1.60003805160522</v>
      </c>
      <c r="I57" t="n">
        <v>2.06854462623596</v>
      </c>
      <c r="J57" t="n">
        <v>2.55107092857361</v>
      </c>
      <c r="K57" t="n">
        <v>3.05075764656067</v>
      </c>
      <c r="L57" t="n">
        <v>2.42340421676636</v>
      </c>
      <c r="M57" t="n">
        <v>3.16138219833374</v>
      </c>
      <c r="N57" t="n">
        <v>2.58567118644714</v>
      </c>
      <c r="O57" t="n">
        <v>2.9079909324646</v>
      </c>
      <c r="P57" t="n">
        <v>5.51865482330322</v>
      </c>
      <c r="Q57" t="n">
        <v>2.47828531265259</v>
      </c>
      <c r="R57" t="n">
        <v>2.29582285881042</v>
      </c>
      <c r="S57" t="n">
        <v>1.39065992832184</v>
      </c>
      <c r="T57" t="n">
        <v>1.0437422990799</v>
      </c>
      <c r="U57" t="n">
        <v>0.731608033180237</v>
      </c>
      <c r="V57" t="n">
        <v>0.375296086072922</v>
      </c>
      <c r="W57" t="n">
        <v>0.817923784255981</v>
      </c>
      <c r="X57" t="n">
        <v>0.898805975914001</v>
      </c>
      <c r="Y57" t="n">
        <v>3.73935437202454</v>
      </c>
      <c r="Z57" t="n">
        <v>1.11891102790833</v>
      </c>
      <c r="AA57" t="n">
        <v>0.86714893579483</v>
      </c>
      <c r="AB57" t="n">
        <v>1.08040678501129</v>
      </c>
      <c r="AC57" t="n">
        <v>3.35042953491211</v>
      </c>
      <c r="AD57" t="n">
        <v>2.9097363948822</v>
      </c>
      <c r="AE57" t="n">
        <v>0.891889154911041</v>
      </c>
      <c r="AF57" t="n">
        <v>-0.0915950238704681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31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31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33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33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33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33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33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33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33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33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33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33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33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33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33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33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33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33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33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33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33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33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33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33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33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33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33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33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33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33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33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33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33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33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33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33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33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33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33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33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33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33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33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33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33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33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33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33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33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33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33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33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33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33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33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33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33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33</v>
      </c>
      <c r="F57"/>
      <c r="G57" t="n">
        <v>0.141893908381462</v>
      </c>
      <c r="H57" t="n">
        <v>0.125190109014511</v>
      </c>
      <c r="I57" t="n">
        <v>0.277498871088028</v>
      </c>
      <c r="J57" t="n">
        <v>0.226099133491516</v>
      </c>
      <c r="K57" t="n">
        <v>0.191024526953697</v>
      </c>
      <c r="L57" t="n">
        <v>0.11139665544033</v>
      </c>
      <c r="M57" t="n">
        <v>0.0453368723392487</v>
      </c>
      <c r="N57" t="n">
        <v>0.0461847744882107</v>
      </c>
      <c r="O57" t="n">
        <v>0.090267963707447</v>
      </c>
      <c r="P57" t="n">
        <v>0.0391976200044155</v>
      </c>
      <c r="Q57" t="n">
        <v>0.139508426189423</v>
      </c>
      <c r="R57" t="n">
        <v>0.169639512896538</v>
      </c>
      <c r="S57" t="n">
        <v>0.0733042731881142</v>
      </c>
      <c r="T57" t="n">
        <v>0.0400685146450996</v>
      </c>
      <c r="U57" t="n">
        <v>0.0468211099505424</v>
      </c>
      <c r="V57" t="n">
        <v>0.185523241758347</v>
      </c>
      <c r="W57" t="n">
        <v>0.0715614035725594</v>
      </c>
      <c r="X57" t="n">
        <v>0.0878256037831306</v>
      </c>
      <c r="Y57" t="n">
        <v>-0.0000384520062652882</v>
      </c>
      <c r="Z57" t="n">
        <v>0.0983122065663338</v>
      </c>
      <c r="AA57" t="n">
        <v>0.0681116953492165</v>
      </c>
      <c r="AB57" t="n">
        <v>-0.00190908543299884</v>
      </c>
      <c r="AC57" t="n">
        <v>0.15507698059082</v>
      </c>
      <c r="AD57" t="n">
        <v>0.0487829372286797</v>
      </c>
      <c r="AE57" t="n">
        <v>-0.00638218689709902</v>
      </c>
      <c r="AF57" t="n">
        <v>0.076971709728241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33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33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35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35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35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35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35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35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35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35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35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35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35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35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35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35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35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35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35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35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35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35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35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35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35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35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35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35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35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35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35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35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35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35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35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35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35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35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35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35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35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35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35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35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35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35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35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35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35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35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35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35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35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35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35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35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35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35</v>
      </c>
      <c r="F57"/>
      <c r="G57" t="n">
        <v>0.279715329408646</v>
      </c>
      <c r="H57" t="n">
        <v>0.280124694108963</v>
      </c>
      <c r="I57" t="n">
        <v>0.289076715707779</v>
      </c>
      <c r="J57" t="n">
        <v>0.377041220664978</v>
      </c>
      <c r="K57" t="n">
        <v>0.212335750460625</v>
      </c>
      <c r="L57" t="n">
        <v>0.692041218280792</v>
      </c>
      <c r="M57" t="n">
        <v>0.770094454288483</v>
      </c>
      <c r="N57" t="n">
        <v>0.527126431465149</v>
      </c>
      <c r="O57" t="n">
        <v>0.526494741439819</v>
      </c>
      <c r="P57" t="n">
        <v>0.593831777572632</v>
      </c>
      <c r="Q57" t="n">
        <v>0.447027027606964</v>
      </c>
      <c r="R57" t="n">
        <v>0.253311693668365</v>
      </c>
      <c r="S57" t="n">
        <v>0.109291411936283</v>
      </c>
      <c r="T57" t="n">
        <v>0.249635100364685</v>
      </c>
      <c r="U57" t="n">
        <v>0.287834852933884</v>
      </c>
      <c r="V57" t="n">
        <v>0.21367746591568</v>
      </c>
      <c r="W57" t="n">
        <v>0.611758351325989</v>
      </c>
      <c r="X57" t="n">
        <v>0.237800091505051</v>
      </c>
      <c r="Y57" t="n">
        <v>0.596847295761108</v>
      </c>
      <c r="Z57" t="n">
        <v>42.3855667114258</v>
      </c>
      <c r="AA57" t="n">
        <v>2.1586537361145</v>
      </c>
      <c r="AB57" t="n">
        <v>0.790742874145508</v>
      </c>
      <c r="AC57" t="n">
        <v>0.15933133661747</v>
      </c>
      <c r="AD57" t="n">
        <v>7.46401166915894</v>
      </c>
      <c r="AE57" t="n">
        <v>4.26702928543091</v>
      </c>
      <c r="AF57" t="n">
        <v>-2.42955923080444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35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35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37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37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37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37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37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37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37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37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37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37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37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37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37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37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37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37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37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37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37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37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37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37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37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37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37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37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37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37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37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37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37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37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37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37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37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37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37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37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37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37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37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37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37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37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37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37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37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37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37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37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37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37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37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37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37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37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n">
        <v>-2.78938603401184</v>
      </c>
      <c r="U57" t="n">
        <v>1.59403479099274</v>
      </c>
      <c r="V57" t="n">
        <v>1.56903731822968</v>
      </c>
      <c r="W57" t="n">
        <v>-4.59816360473633</v>
      </c>
      <c r="X57" t="n">
        <v>-1.61351227760315</v>
      </c>
      <c r="Y57" t="n">
        <v>1.80833613872528</v>
      </c>
      <c r="Z57" t="n">
        <v>-25.0584030151367</v>
      </c>
      <c r="AA57" t="n">
        <v>-4.08522033691406</v>
      </c>
      <c r="AB57" t="n">
        <v>3.42127156257629</v>
      </c>
      <c r="AC57" t="n">
        <v>3.68382883071899</v>
      </c>
      <c r="AD57" t="n">
        <v>-6.40630626678467</v>
      </c>
      <c r="AE57" t="n">
        <v>5.40757751464844</v>
      </c>
      <c r="AF57" t="n">
        <v>14.9295988082886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37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41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133.760482788086</v>
      </c>
      <c r="T57" t="n">
        <v>130.080947875977</v>
      </c>
      <c r="U57" t="n">
        <v>132.171096801758</v>
      </c>
      <c r="V57" t="n">
        <v>134.261260986328</v>
      </c>
      <c r="W57" t="n">
        <v>128.227493286133</v>
      </c>
      <c r="X57" t="n">
        <v>126.17512512207</v>
      </c>
      <c r="Y57" t="n">
        <v>128.477554321289</v>
      </c>
      <c r="Z57" t="n">
        <v>100</v>
      </c>
      <c r="AA57" t="n">
        <v>95.9971008300781</v>
      </c>
      <c r="AB57" t="n">
        <v>99.338249206543</v>
      </c>
      <c r="AC57" t="n">
        <v>103.065940856934</v>
      </c>
      <c r="AD57" t="n">
        <v>96.6702728271484</v>
      </c>
      <c r="AE57" t="n">
        <v>102.041717529297</v>
      </c>
      <c r="AF57" t="n">
        <v>118.472129821777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44</v>
      </c>
      <c r="F57"/>
      <c r="G57" t="n">
        <v>5.03807640075684</v>
      </c>
      <c r="H57" t="n">
        <v>9.2309684753418</v>
      </c>
      <c r="I57" t="n">
        <v>6.32881355285645</v>
      </c>
      <c r="J57" t="n">
        <v>2.9662389755249</v>
      </c>
      <c r="K57" t="n">
        <v>4.23806285858154</v>
      </c>
      <c r="L57" t="n">
        <v>2.17629027366638</v>
      </c>
      <c r="M57" t="n">
        <v>5.24970865249634</v>
      </c>
      <c r="N57" t="n">
        <v>1.07291793823242</v>
      </c>
      <c r="O57" t="n">
        <v>2.73445892333984</v>
      </c>
      <c r="P57" t="n">
        <v>1.32356584072113</v>
      </c>
      <c r="Q57" t="n">
        <v>1.29901432991028</v>
      </c>
      <c r="R57" t="n">
        <v>4.91702461242676</v>
      </c>
      <c r="S57" t="n">
        <v>0.722258925437927</v>
      </c>
      <c r="T57" t="n">
        <v>5.07310342788696</v>
      </c>
      <c r="U57" t="n">
        <v>6.09492540359497</v>
      </c>
      <c r="V57" t="n">
        <v>4.16456747055054</v>
      </c>
      <c r="W57" t="n">
        <v>-2.07626104354858</v>
      </c>
      <c r="X57" t="n">
        <v>-1.60994029045105</v>
      </c>
      <c r="Y57" t="n">
        <v>5.01459312438965</v>
      </c>
      <c r="Z57" t="n">
        <v>17.2474327087402</v>
      </c>
      <c r="AA57" t="n">
        <v>-4.09434223175049</v>
      </c>
      <c r="AB57" t="n">
        <v>3.04950404167175</v>
      </c>
      <c r="AC57" t="n">
        <v>5.0518274307251</v>
      </c>
      <c r="AD57" t="n">
        <v>2.08140206336975</v>
      </c>
      <c r="AE57" t="n">
        <v>17.3697700500488</v>
      </c>
      <c r="AF57" t="n">
        <v>8.01449871063232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n">
        <v>2.02067613601685</v>
      </c>
      <c r="U57" t="n">
        <v>1.69021558761597</v>
      </c>
      <c r="V57" t="n">
        <v>1.05254364013672</v>
      </c>
      <c r="W57" t="n">
        <v>0.691205859184265</v>
      </c>
      <c r="X57" t="n">
        <v>0.474814593791962</v>
      </c>
      <c r="Y57" t="n">
        <v>0.414894670248032</v>
      </c>
      <c r="Z57" t="n">
        <v>0.367689102888107</v>
      </c>
      <c r="AA57" t="n">
        <v>-0.0907567664980888</v>
      </c>
      <c r="AB57" t="n">
        <v>0.36464062333107</v>
      </c>
      <c r="AC57" t="n">
        <v>0.0141896875575185</v>
      </c>
      <c r="AD57" t="n">
        <v>0.0144662158563733</v>
      </c>
      <c r="AE57" t="n">
        <v>0.562919676303864</v>
      </c>
      <c r="AF57" t="n">
        <v>0.227261006832123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47</v>
      </c>
      <c r="F57"/>
      <c r="G57" t="n">
        <v>0.962038040161133</v>
      </c>
      <c r="H57" t="n">
        <v>1.36500334739685</v>
      </c>
      <c r="I57" t="n">
        <v>1.28411388397217</v>
      </c>
      <c r="J57" t="n">
        <v>0.645986020565033</v>
      </c>
      <c r="K57" t="n">
        <v>1.6353907585144</v>
      </c>
      <c r="L57" t="n">
        <v>1.79082608222961</v>
      </c>
      <c r="M57" t="n">
        <v>2.886305809021</v>
      </c>
      <c r="N57" t="n">
        <v>2.49526071548462</v>
      </c>
      <c r="O57" t="n">
        <v>1.9524792432785</v>
      </c>
      <c r="P57" t="n">
        <v>3.68942832946777</v>
      </c>
      <c r="Q57" t="n">
        <v>1.2195611000061</v>
      </c>
      <c r="R57" t="n">
        <v>1.26709234714508</v>
      </c>
      <c r="S57" t="n">
        <v>2.5103132724762</v>
      </c>
      <c r="T57" t="n">
        <v>5.0972752571106</v>
      </c>
      <c r="U57" t="n">
        <v>2.25013971328735</v>
      </c>
      <c r="V57" t="n">
        <v>1.03276312351227</v>
      </c>
      <c r="W57" t="n">
        <v>1.0959997177124</v>
      </c>
      <c r="X57" t="n">
        <v>-0.500531196594238</v>
      </c>
      <c r="Y57" t="n">
        <v>2.46844077110291</v>
      </c>
      <c r="Z57" t="n">
        <v>0.125364243984222</v>
      </c>
      <c r="AA57" t="n">
        <v>-0.327036917209625</v>
      </c>
      <c r="AB57" t="n">
        <v>0.0397587530314922</v>
      </c>
      <c r="AC57" t="n">
        <v>2.34826850891113</v>
      </c>
      <c r="AD57" t="n">
        <v>2.04532384872437</v>
      </c>
      <c r="AE57" t="n">
        <v>3.50457835197449</v>
      </c>
      <c r="AF57" t="n">
        <v>-2.12347388267517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48</v>
      </c>
      <c r="F57"/>
      <c r="G57" t="n">
        <v>0.130832806229591</v>
      </c>
      <c r="H57" t="n">
        <v>0.115284234285355</v>
      </c>
      <c r="I57" t="n">
        <v>0.245916709303856</v>
      </c>
      <c r="J57" t="n">
        <v>0.150175735354424</v>
      </c>
      <c r="K57" t="n">
        <v>0.136037886142731</v>
      </c>
      <c r="L57" t="n">
        <v>0.0875360071659088</v>
      </c>
      <c r="M57" t="n">
        <v>0.0357057824730873</v>
      </c>
      <c r="N57" t="n">
        <v>0.043396282941103</v>
      </c>
      <c r="O57" t="n">
        <v>0.0641417726874352</v>
      </c>
      <c r="P57" t="n">
        <v>-0.00585553608834743</v>
      </c>
      <c r="Q57" t="n">
        <v>0.111218065023422</v>
      </c>
      <c r="R57" t="n">
        <v>0.148671418428421</v>
      </c>
      <c r="S57" t="n">
        <v>0.0925739109516144</v>
      </c>
      <c r="T57" t="n">
        <v>0.105206422507763</v>
      </c>
      <c r="U57" t="n">
        <v>0.074643038213253</v>
      </c>
      <c r="V57" t="n">
        <v>0.199871808290482</v>
      </c>
      <c r="W57" t="n">
        <v>0.0787961110472679</v>
      </c>
      <c r="X57" t="n">
        <v>0.0455088876187801</v>
      </c>
      <c r="Y57" t="n">
        <v>-0.0392526984214783</v>
      </c>
      <c r="Z57" t="n">
        <v>0.0666869431734085</v>
      </c>
      <c r="AA57" t="n">
        <v>0.02349385432899</v>
      </c>
      <c r="AB57" t="n">
        <v>-0.039391566067934</v>
      </c>
      <c r="AC57" t="n">
        <v>0.12083075940609</v>
      </c>
      <c r="AD57" t="n">
        <v>0.0195295549929142</v>
      </c>
      <c r="AE57" t="n">
        <v>0.0750656649470329</v>
      </c>
      <c r="AF57" t="n">
        <v>0.0214636139571667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49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49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49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49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49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49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49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49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49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49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49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49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49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49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49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49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49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49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49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49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49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49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49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49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49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49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49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49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49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49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49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49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49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49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49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49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49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49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49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49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49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49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49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49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49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49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49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49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49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49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49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49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49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49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49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49</v>
      </c>
      <c r="F57"/>
      <c r="G57" t="n">
        <v>0.264213234186172</v>
      </c>
      <c r="H57" t="n">
        <v>0.265240073204041</v>
      </c>
      <c r="I57" t="n">
        <v>0.238825559616089</v>
      </c>
      <c r="J57" t="n">
        <v>0.255273640155792</v>
      </c>
      <c r="K57" t="n">
        <v>0.125175714492798</v>
      </c>
      <c r="L57" t="n">
        <v>0.650053977966309</v>
      </c>
      <c r="M57" t="n">
        <v>0.748514413833618</v>
      </c>
      <c r="N57" t="n">
        <v>0.519291639328003</v>
      </c>
      <c r="O57" t="n">
        <v>0.437829971313477</v>
      </c>
      <c r="P57" t="n">
        <v>0.411127239465714</v>
      </c>
      <c r="Q57" t="n">
        <v>0.318918019533157</v>
      </c>
      <c r="R57" t="n">
        <v>0.161222159862518</v>
      </c>
      <c r="S57" t="n">
        <v>0.198854759335518</v>
      </c>
      <c r="T57" t="n">
        <v>0.639331042766571</v>
      </c>
      <c r="U57" t="n">
        <v>0.485892832279205</v>
      </c>
      <c r="V57" t="n">
        <v>0.310351580381393</v>
      </c>
      <c r="W57" t="n">
        <v>0.655901253223419</v>
      </c>
      <c r="X57" t="n">
        <v>-0.0162199512124062</v>
      </c>
      <c r="Y57" t="n">
        <v>0.362174183130264</v>
      </c>
      <c r="Z57" t="n">
        <v>41.74609375</v>
      </c>
      <c r="AA57" t="n">
        <v>0.385177820920944</v>
      </c>
      <c r="AB57" t="n">
        <v>-0.736775279045105</v>
      </c>
      <c r="AC57" t="n">
        <v>-1.11529040336609</v>
      </c>
      <c r="AD57" t="n">
        <v>6.40838956832886</v>
      </c>
      <c r="AE57" t="n">
        <v>7.81962871551514</v>
      </c>
      <c r="AF57" t="n">
        <v>-5.04035091400146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49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49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51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n">
        <v>-2.78938555717468</v>
      </c>
      <c r="U57" t="n">
        <v>1.59403443336487</v>
      </c>
      <c r="V57" t="n">
        <v>1.56903755664825</v>
      </c>
      <c r="W57" t="n">
        <v>-4.59816360473633</v>
      </c>
      <c r="X57" t="n">
        <v>-1.61351263523102</v>
      </c>
      <c r="Y57" t="n">
        <v>1.80833613872528</v>
      </c>
      <c r="Z57" t="n">
        <v>-25.0584030151367</v>
      </c>
      <c r="AA57" t="n">
        <v>-4.0852198600769</v>
      </c>
      <c r="AB57" t="n">
        <v>3.42127156257629</v>
      </c>
      <c r="AC57" t="n">
        <v>3.68382883071899</v>
      </c>
      <c r="AD57" t="n">
        <v>-6.40630722045898</v>
      </c>
      <c r="AE57" t="n">
        <v>5.40757846832275</v>
      </c>
      <c r="AF57" t="n">
        <v>14.9295988082886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133.760482788086</v>
      </c>
      <c r="T57" t="n">
        <v>130.080947875977</v>
      </c>
      <c r="U57" t="n">
        <v>132.171096801758</v>
      </c>
      <c r="V57" t="n">
        <v>134.261260986328</v>
      </c>
      <c r="W57" t="n">
        <v>128.227493286133</v>
      </c>
      <c r="X57" t="n">
        <v>126.17512512207</v>
      </c>
      <c r="Y57" t="n">
        <v>128.477554321289</v>
      </c>
      <c r="Z57" t="n">
        <v>100</v>
      </c>
      <c r="AA57" t="n">
        <v>95.9971008300781</v>
      </c>
      <c r="AB57" t="n">
        <v>99.338249206543</v>
      </c>
      <c r="AC57" t="n">
        <v>103.065940856934</v>
      </c>
      <c r="AD57" t="n">
        <v>96.6702728271484</v>
      </c>
      <c r="AE57" t="n">
        <v>102.041717529297</v>
      </c>
      <c r="AF57" t="n">
        <v>118.472129821777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54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54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54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54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54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54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54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54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54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54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54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54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54</v>
      </c>
      <c r="F57"/>
      <c r="G57" t="n">
        <v>4.11262655258179</v>
      </c>
      <c r="H57" t="n">
        <v>7.98141384124756</v>
      </c>
      <c r="I57" t="n">
        <v>4.99560070037842</v>
      </c>
      <c r="J57" t="n">
        <v>1.68233370780945</v>
      </c>
      <c r="K57" t="n">
        <v>3.56221842765808</v>
      </c>
      <c r="L57" t="n">
        <v>0.963403105735779</v>
      </c>
      <c r="M57" t="n">
        <v>4.42739725112915</v>
      </c>
      <c r="N57" t="n">
        <v>-0.612286686897278</v>
      </c>
      <c r="O57" t="n">
        <v>1.86103773117065</v>
      </c>
      <c r="P57" t="n">
        <v>1.35017597675323</v>
      </c>
      <c r="Q57" t="n">
        <v>0.1075379550457</v>
      </c>
      <c r="R57" t="n">
        <v>3.37064981460571</v>
      </c>
      <c r="S57" t="n">
        <v>-1.27706050872803</v>
      </c>
      <c r="T57" t="n">
        <v>2.12349152565002</v>
      </c>
      <c r="U57" t="n">
        <v>6.37663745880127</v>
      </c>
      <c r="V57" t="n">
        <v>4.32488203048706</v>
      </c>
      <c r="W57" t="n">
        <v>-2.40646982192993</v>
      </c>
      <c r="X57" t="n">
        <v>-0.74201112985611</v>
      </c>
      <c r="Y57" t="n">
        <v>5.68862390518188</v>
      </c>
      <c r="Z57" t="n">
        <v>16.8479270935059</v>
      </c>
      <c r="AA57" t="n">
        <v>-2.7443962097168</v>
      </c>
      <c r="AB57" t="n">
        <v>4.36239099502563</v>
      </c>
      <c r="AC57" t="n">
        <v>5.86373901367188</v>
      </c>
      <c r="AD57" t="n">
        <v>2.12021398544312</v>
      </c>
      <c r="AE57" t="n">
        <v>10.0951566696167</v>
      </c>
      <c r="AF57" t="n">
        <v>8.76667308807373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n">
        <v>2.02067613601685</v>
      </c>
      <c r="U57" t="n">
        <v>1.69021558761597</v>
      </c>
      <c r="V57" t="n">
        <v>1.05254364013672</v>
      </c>
      <c r="W57" t="n">
        <v>0.691205859184265</v>
      </c>
      <c r="X57" t="n">
        <v>0.474814593791962</v>
      </c>
      <c r="Y57" t="n">
        <v>0.414894670248032</v>
      </c>
      <c r="Z57" t="n">
        <v>0.367689102888107</v>
      </c>
      <c r="AA57" t="n">
        <v>-0.0907567664980888</v>
      </c>
      <c r="AB57" t="n">
        <v>0.36464062333107</v>
      </c>
      <c r="AC57" t="n">
        <v>0.0141896875575185</v>
      </c>
      <c r="AD57" t="n">
        <v>0.0144662158563733</v>
      </c>
      <c r="AE57" t="n">
        <v>0.562919676303864</v>
      </c>
      <c r="AF57" t="n">
        <v>0.227261006832123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57</v>
      </c>
      <c r="F57"/>
      <c r="G57" t="n">
        <v>0.671805024147034</v>
      </c>
      <c r="H57" t="n">
        <v>0.955981492996216</v>
      </c>
      <c r="I57" t="n">
        <v>0.810342371463776</v>
      </c>
      <c r="J57" t="n">
        <v>0.164160072803497</v>
      </c>
      <c r="K57" t="n">
        <v>1.37026953697205</v>
      </c>
      <c r="L57" t="n">
        <v>1.29995453357697</v>
      </c>
      <c r="M57" t="n">
        <v>2.54586911201477</v>
      </c>
      <c r="N57" t="n">
        <v>1.78919923305511</v>
      </c>
      <c r="O57" t="n">
        <v>1.59490466117859</v>
      </c>
      <c r="P57" t="n">
        <v>3.70003390312195</v>
      </c>
      <c r="Q57" t="n">
        <v>0.749317586421967</v>
      </c>
      <c r="R57" t="n">
        <v>0.65789121389389</v>
      </c>
      <c r="S57" t="n">
        <v>1.76231336593628</v>
      </c>
      <c r="T57" t="n">
        <v>4.07177019119263</v>
      </c>
      <c r="U57" t="n">
        <v>2.34933543205261</v>
      </c>
      <c r="V57" t="n">
        <v>1.09168434143066</v>
      </c>
      <c r="W57" t="n">
        <v>0.973913550376892</v>
      </c>
      <c r="X57" t="n">
        <v>-0.178295224905014</v>
      </c>
      <c r="Y57" t="n">
        <v>2.73082709312439</v>
      </c>
      <c r="Z57" t="n">
        <v>-0.00490333093330264</v>
      </c>
      <c r="AA57" t="n">
        <v>-0.00915384478867054</v>
      </c>
      <c r="AB57" t="n">
        <v>0.351221531629562</v>
      </c>
      <c r="AC57" t="n">
        <v>2.56353569030762</v>
      </c>
      <c r="AD57" t="n">
        <v>2.05602955818176</v>
      </c>
      <c r="AE57" t="n">
        <v>1.56492125988007</v>
      </c>
      <c r="AF57" t="n">
        <v>-1.90846180915833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58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58</v>
      </c>
      <c r="F57"/>
      <c r="G57" t="n">
        <v>0.117947734892368</v>
      </c>
      <c r="H57" t="n">
        <v>0.0980454161763191</v>
      </c>
      <c r="I57" t="n">
        <v>0.226842045783997</v>
      </c>
      <c r="J57" t="n">
        <v>0.130973532795906</v>
      </c>
      <c r="K57" t="n">
        <v>0.125737994909286</v>
      </c>
      <c r="L57" t="n">
        <v>0.0690204873681068</v>
      </c>
      <c r="M57" t="n">
        <v>0.0237862691283226</v>
      </c>
      <c r="N57" t="n">
        <v>0.0216194912791252</v>
      </c>
      <c r="O57" t="n">
        <v>0.0543647520244122</v>
      </c>
      <c r="P57" t="n">
        <v>-0.0055943219922483</v>
      </c>
      <c r="Q57" t="n">
        <v>0.100649133324623</v>
      </c>
      <c r="R57" t="n">
        <v>0.136254385113716</v>
      </c>
      <c r="S57" t="n">
        <v>0.0797005668282509</v>
      </c>
      <c r="T57" t="n">
        <v>0.088727168738842</v>
      </c>
      <c r="U57" t="n">
        <v>0.0764604583382607</v>
      </c>
      <c r="V57" t="n">
        <v>0.201157718896866</v>
      </c>
      <c r="W57" t="n">
        <v>0.075619786977768</v>
      </c>
      <c r="X57" t="n">
        <v>0.0552534759044647</v>
      </c>
      <c r="Y57" t="n">
        <v>-0.0311567299067974</v>
      </c>
      <c r="Z57" t="n">
        <v>0.0625404343008995</v>
      </c>
      <c r="AA57" t="n">
        <v>0.0353707782924175</v>
      </c>
      <c r="AB57" t="n">
        <v>-0.0281731709837914</v>
      </c>
      <c r="AC57" t="n">
        <v>0.128186941146851</v>
      </c>
      <c r="AD57" t="n">
        <v>0.0198918599635363</v>
      </c>
      <c r="AE57" t="n">
        <v>0.0145988874137402</v>
      </c>
      <c r="AF57" t="n">
        <v>0.0273374430835247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59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59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59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59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59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59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59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59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59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59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59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59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59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59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59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59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59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59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59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59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59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59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59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59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59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59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59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59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59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59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59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59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59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59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59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59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59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59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59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59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59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59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59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59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59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59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59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59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59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59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59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59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59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59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59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59</v>
      </c>
      <c r="F57"/>
      <c r="G57" t="n">
        <v>0.246154814958572</v>
      </c>
      <c r="H57" t="n">
        <v>0.239336997270584</v>
      </c>
      <c r="I57" t="n">
        <v>0.208475440740585</v>
      </c>
      <c r="J57" t="n">
        <v>0.224476709961891</v>
      </c>
      <c r="K57" t="n">
        <v>0.108849234879017</v>
      </c>
      <c r="L57" t="n">
        <v>0.617472469806671</v>
      </c>
      <c r="M57" t="n">
        <v>0.721806704998016</v>
      </c>
      <c r="N57" t="n">
        <v>0.458105325698853</v>
      </c>
      <c r="O57" t="n">
        <v>0.404649496078491</v>
      </c>
      <c r="P57" t="n">
        <v>0.412186503410339</v>
      </c>
      <c r="Q57" t="n">
        <v>0.271058142185211</v>
      </c>
      <c r="R57" t="n">
        <v>0.106687910854816</v>
      </c>
      <c r="S57" t="n">
        <v>0.139020726084709</v>
      </c>
      <c r="T57" t="n">
        <v>0.540741741657257</v>
      </c>
      <c r="U57" t="n">
        <v>0.498830676078796</v>
      </c>
      <c r="V57" t="n">
        <v>0.319015383720398</v>
      </c>
      <c r="W57" t="n">
        <v>0.636520743370056</v>
      </c>
      <c r="X57" t="n">
        <v>0.0422751680016518</v>
      </c>
      <c r="Y57" t="n">
        <v>0.410623580217361</v>
      </c>
      <c r="Z57" t="n">
        <v>41.6622505187988</v>
      </c>
      <c r="AA57" t="n">
        <v>0.857263445854187</v>
      </c>
      <c r="AB57" t="n">
        <v>-0.279593765735626</v>
      </c>
      <c r="AC57" t="n">
        <v>-0.841497838497162</v>
      </c>
      <c r="AD57" t="n">
        <v>6.42146301269531</v>
      </c>
      <c r="AE57" t="n">
        <v>5.18218421936035</v>
      </c>
      <c r="AF57" t="n">
        <v>-4.76407861709595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59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59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60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60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60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60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60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60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60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60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60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60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60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60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60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60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60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60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60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60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60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60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60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60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60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60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60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60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60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60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60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60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60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60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60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60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60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60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60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60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60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60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60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60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60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60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60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60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60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60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60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60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60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60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60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60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 t="n">
        <v>-4.59842395782471</v>
      </c>
      <c r="U57" t="n">
        <v>1.76179540157318</v>
      </c>
      <c r="V57" t="n">
        <v>1.66048109531403</v>
      </c>
      <c r="W57" t="n">
        <v>-4.78373003005981</v>
      </c>
      <c r="X57" t="n">
        <v>-1.13605916500092</v>
      </c>
      <c r="Y57" t="n">
        <v>2.16343545913696</v>
      </c>
      <c r="Z57" t="n">
        <v>-25.2396469116211</v>
      </c>
      <c r="AA57" t="n">
        <v>-3.53711986541748</v>
      </c>
      <c r="AB57" t="n">
        <v>3.95429587364197</v>
      </c>
      <c r="AC57" t="n">
        <v>3.99932479858398</v>
      </c>
      <c r="AD57" t="n">
        <v>-6.39163684844971</v>
      </c>
      <c r="AE57" t="n">
        <v>2.77053260803223</v>
      </c>
      <c r="AF57" t="n">
        <v>15.1846151351929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60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60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255</v>
      </c>
      <c r="C2" t="s">
        <v>108</v>
      </c>
      <c r="D2" t="s">
        <v>256</v>
      </c>
      <c r="E2" t="s">
        <v>61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110</v>
      </c>
      <c r="B3" t="s">
        <v>255</v>
      </c>
      <c r="C3" t="s">
        <v>111</v>
      </c>
      <c r="D3" t="s">
        <v>256</v>
      </c>
      <c r="E3" t="s">
        <v>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112</v>
      </c>
      <c r="B4" t="s">
        <v>255</v>
      </c>
      <c r="C4" t="s">
        <v>113</v>
      </c>
      <c r="D4" t="s">
        <v>256</v>
      </c>
      <c r="E4" t="s">
        <v>61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114</v>
      </c>
      <c r="B5" t="s">
        <v>255</v>
      </c>
      <c r="C5" t="s">
        <v>115</v>
      </c>
      <c r="D5" t="s">
        <v>256</v>
      </c>
      <c r="E5" t="s">
        <v>61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116</v>
      </c>
      <c r="B6" t="s">
        <v>255</v>
      </c>
      <c r="C6" t="s">
        <v>117</v>
      </c>
      <c r="D6" t="s">
        <v>256</v>
      </c>
      <c r="E6" t="s">
        <v>61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255</v>
      </c>
      <c r="C7" t="s">
        <v>119</v>
      </c>
      <c r="D7" t="s">
        <v>256</v>
      </c>
      <c r="E7" t="s">
        <v>61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255</v>
      </c>
      <c r="C8" t="s">
        <v>121</v>
      </c>
      <c r="D8" t="s">
        <v>256</v>
      </c>
      <c r="E8" t="s">
        <v>61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255</v>
      </c>
      <c r="C9" t="s">
        <v>123</v>
      </c>
      <c r="D9" t="s">
        <v>256</v>
      </c>
      <c r="E9" t="s">
        <v>61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255</v>
      </c>
      <c r="C10" t="s">
        <v>125</v>
      </c>
      <c r="D10" t="s">
        <v>256</v>
      </c>
      <c r="E10" t="s">
        <v>61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255</v>
      </c>
      <c r="C11" t="s">
        <v>127</v>
      </c>
      <c r="D11" t="s">
        <v>256</v>
      </c>
      <c r="E11" t="s">
        <v>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255</v>
      </c>
      <c r="C12" t="s">
        <v>129</v>
      </c>
      <c r="D12" t="s">
        <v>256</v>
      </c>
      <c r="E12" t="s">
        <v>61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130</v>
      </c>
      <c r="B13" t="s">
        <v>255</v>
      </c>
      <c r="C13" t="s">
        <v>131</v>
      </c>
      <c r="D13" t="s">
        <v>256</v>
      </c>
      <c r="E13" t="s">
        <v>61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132</v>
      </c>
      <c r="B14" t="s">
        <v>255</v>
      </c>
      <c r="C14" t="s">
        <v>133</v>
      </c>
      <c r="D14" t="s">
        <v>256</v>
      </c>
      <c r="E14" t="s">
        <v>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255</v>
      </c>
      <c r="C15" t="s">
        <v>135</v>
      </c>
      <c r="D15" t="s">
        <v>256</v>
      </c>
      <c r="E15" t="s">
        <v>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255</v>
      </c>
      <c r="C16" t="s">
        <v>137</v>
      </c>
      <c r="D16" t="s">
        <v>256</v>
      </c>
      <c r="E16" t="s">
        <v>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255</v>
      </c>
      <c r="C17" t="s">
        <v>139</v>
      </c>
      <c r="D17" t="s">
        <v>256</v>
      </c>
      <c r="E17" t="s">
        <v>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140</v>
      </c>
      <c r="B18" t="s">
        <v>255</v>
      </c>
      <c r="C18" t="s">
        <v>141</v>
      </c>
      <c r="D18" t="s">
        <v>256</v>
      </c>
      <c r="E18" t="s">
        <v>61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255</v>
      </c>
      <c r="C19" t="s">
        <v>143</v>
      </c>
      <c r="D19" t="s">
        <v>256</v>
      </c>
      <c r="E19" t="s">
        <v>61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255</v>
      </c>
      <c r="C20" t="s">
        <v>145</v>
      </c>
      <c r="D20" t="s">
        <v>256</v>
      </c>
      <c r="E20" t="s">
        <v>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255</v>
      </c>
      <c r="C21" t="s">
        <v>147</v>
      </c>
      <c r="D21" t="s">
        <v>256</v>
      </c>
      <c r="E21" t="s">
        <v>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255</v>
      </c>
      <c r="C22" t="s">
        <v>149</v>
      </c>
      <c r="D22" t="s">
        <v>256</v>
      </c>
      <c r="E22" t="s">
        <v>61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150</v>
      </c>
      <c r="B23" t="s">
        <v>255</v>
      </c>
      <c r="C23" t="s">
        <v>151</v>
      </c>
      <c r="D23" t="s">
        <v>256</v>
      </c>
      <c r="E23" t="s">
        <v>61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152</v>
      </c>
      <c r="B24" t="s">
        <v>255</v>
      </c>
      <c r="C24" t="s">
        <v>153</v>
      </c>
      <c r="D24" t="s">
        <v>256</v>
      </c>
      <c r="E24" t="s">
        <v>61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154</v>
      </c>
      <c r="B25" t="s">
        <v>255</v>
      </c>
      <c r="C25" t="s">
        <v>155</v>
      </c>
      <c r="D25" t="s">
        <v>256</v>
      </c>
      <c r="E25" t="s">
        <v>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156</v>
      </c>
      <c r="B26" t="s">
        <v>255</v>
      </c>
      <c r="C26" t="s">
        <v>157</v>
      </c>
      <c r="D26" t="s">
        <v>256</v>
      </c>
      <c r="E26" t="s">
        <v>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158</v>
      </c>
      <c r="B27" t="s">
        <v>255</v>
      </c>
      <c r="C27" t="s">
        <v>159</v>
      </c>
      <c r="D27" t="s">
        <v>256</v>
      </c>
      <c r="E27" t="s">
        <v>61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160</v>
      </c>
      <c r="B28" t="s">
        <v>255</v>
      </c>
      <c r="C28" t="s">
        <v>161</v>
      </c>
      <c r="D28" t="s">
        <v>256</v>
      </c>
      <c r="E28" t="s">
        <v>61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162</v>
      </c>
      <c r="B29" t="s">
        <v>255</v>
      </c>
      <c r="C29" t="s">
        <v>163</v>
      </c>
      <c r="D29" t="s">
        <v>256</v>
      </c>
      <c r="E29" t="s">
        <v>61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164</v>
      </c>
      <c r="B30" t="s">
        <v>255</v>
      </c>
      <c r="C30" t="s">
        <v>165</v>
      </c>
      <c r="D30" t="s">
        <v>256</v>
      </c>
      <c r="E30" t="s">
        <v>61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166</v>
      </c>
      <c r="B31" t="s">
        <v>255</v>
      </c>
      <c r="C31" t="s">
        <v>167</v>
      </c>
      <c r="D31" t="s">
        <v>256</v>
      </c>
      <c r="E31" t="s">
        <v>61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168</v>
      </c>
      <c r="B32" t="s">
        <v>255</v>
      </c>
      <c r="C32" t="s">
        <v>169</v>
      </c>
      <c r="D32" t="s">
        <v>256</v>
      </c>
      <c r="E32" t="s">
        <v>61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170</v>
      </c>
      <c r="B33" t="s">
        <v>255</v>
      </c>
      <c r="C33" t="s">
        <v>171</v>
      </c>
      <c r="D33" t="s">
        <v>256</v>
      </c>
      <c r="E33" t="s">
        <v>61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172</v>
      </c>
      <c r="B34" t="s">
        <v>255</v>
      </c>
      <c r="C34" t="s">
        <v>173</v>
      </c>
      <c r="D34" t="s">
        <v>256</v>
      </c>
      <c r="E34" t="s">
        <v>61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174</v>
      </c>
      <c r="B35" t="s">
        <v>255</v>
      </c>
      <c r="C35" t="s">
        <v>175</v>
      </c>
      <c r="D35" t="s">
        <v>256</v>
      </c>
      <c r="E35" t="s">
        <v>61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176</v>
      </c>
      <c r="B36" t="s">
        <v>255</v>
      </c>
      <c r="C36" t="s">
        <v>177</v>
      </c>
      <c r="D36" t="s">
        <v>256</v>
      </c>
      <c r="E36" t="s">
        <v>61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178</v>
      </c>
      <c r="B37" t="s">
        <v>255</v>
      </c>
      <c r="C37" t="s">
        <v>179</v>
      </c>
      <c r="D37" t="s">
        <v>256</v>
      </c>
      <c r="E37" t="s">
        <v>61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180</v>
      </c>
      <c r="B38" t="s">
        <v>255</v>
      </c>
      <c r="C38" t="s">
        <v>181</v>
      </c>
      <c r="D38" t="s">
        <v>256</v>
      </c>
      <c r="E38" t="s">
        <v>61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182</v>
      </c>
      <c r="B39" t="s">
        <v>255</v>
      </c>
      <c r="C39" t="s">
        <v>183</v>
      </c>
      <c r="D39" t="s">
        <v>256</v>
      </c>
      <c r="E39" t="s">
        <v>61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184</v>
      </c>
      <c r="B40" t="s">
        <v>255</v>
      </c>
      <c r="C40" t="s">
        <v>185</v>
      </c>
      <c r="D40" t="s">
        <v>256</v>
      </c>
      <c r="E40" t="s">
        <v>61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186</v>
      </c>
      <c r="B41" t="s">
        <v>255</v>
      </c>
      <c r="C41" t="s">
        <v>187</v>
      </c>
      <c r="D41" t="s">
        <v>256</v>
      </c>
      <c r="E41" t="s">
        <v>61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255</v>
      </c>
      <c r="C42" t="s">
        <v>189</v>
      </c>
      <c r="D42" t="s">
        <v>256</v>
      </c>
      <c r="E42" t="s">
        <v>61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255</v>
      </c>
      <c r="C43" t="s">
        <v>191</v>
      </c>
      <c r="D43" t="s">
        <v>256</v>
      </c>
      <c r="E43" t="s">
        <v>61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192</v>
      </c>
      <c r="B44" t="s">
        <v>255</v>
      </c>
      <c r="C44" t="s">
        <v>193</v>
      </c>
      <c r="D44" t="s">
        <v>256</v>
      </c>
      <c r="E44" t="s">
        <v>61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194</v>
      </c>
      <c r="B45" t="s">
        <v>255</v>
      </c>
      <c r="C45" t="s">
        <v>195</v>
      </c>
      <c r="D45" t="s">
        <v>256</v>
      </c>
      <c r="E45" t="s">
        <v>61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255</v>
      </c>
      <c r="C46" t="s">
        <v>197</v>
      </c>
      <c r="D46" t="s">
        <v>256</v>
      </c>
      <c r="E46" t="s">
        <v>61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255</v>
      </c>
      <c r="C47" t="s">
        <v>199</v>
      </c>
      <c r="D47" t="s">
        <v>256</v>
      </c>
      <c r="E47" t="s">
        <v>61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200</v>
      </c>
      <c r="B48" t="s">
        <v>255</v>
      </c>
      <c r="C48" t="s">
        <v>201</v>
      </c>
      <c r="D48" t="s">
        <v>256</v>
      </c>
      <c r="E48" t="s">
        <v>61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202</v>
      </c>
      <c r="B49" t="s">
        <v>255</v>
      </c>
      <c r="C49" t="s">
        <v>203</v>
      </c>
      <c r="D49" t="s">
        <v>256</v>
      </c>
      <c r="E49" t="s">
        <v>61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204</v>
      </c>
      <c r="B50" t="s">
        <v>255</v>
      </c>
      <c r="C50" t="s">
        <v>205</v>
      </c>
      <c r="D50" t="s">
        <v>256</v>
      </c>
      <c r="E50" t="s">
        <v>61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206</v>
      </c>
      <c r="B51" t="s">
        <v>255</v>
      </c>
      <c r="C51" t="s">
        <v>207</v>
      </c>
      <c r="D51" t="s">
        <v>256</v>
      </c>
      <c r="E51" t="s">
        <v>61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255</v>
      </c>
      <c r="C52" t="s">
        <v>209</v>
      </c>
      <c r="D52" t="s">
        <v>256</v>
      </c>
      <c r="E52" t="s">
        <v>61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255</v>
      </c>
      <c r="C53" t="s">
        <v>211</v>
      </c>
      <c r="D53" t="s">
        <v>256</v>
      </c>
      <c r="E53" t="s">
        <v>61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212</v>
      </c>
      <c r="B54" t="s">
        <v>255</v>
      </c>
      <c r="C54" t="s">
        <v>213</v>
      </c>
      <c r="D54" t="s">
        <v>256</v>
      </c>
      <c r="E54" t="s">
        <v>61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214</v>
      </c>
      <c r="B55" t="s">
        <v>255</v>
      </c>
      <c r="C55" t="s">
        <v>215</v>
      </c>
      <c r="D55" t="s">
        <v>256</v>
      </c>
      <c r="E55" t="s">
        <v>61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216</v>
      </c>
      <c r="B56" t="s">
        <v>255</v>
      </c>
      <c r="C56" t="s">
        <v>217</v>
      </c>
      <c r="D56" t="s">
        <v>256</v>
      </c>
      <c r="E56" t="s">
        <v>61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255</v>
      </c>
      <c r="C57" t="s">
        <v>219</v>
      </c>
      <c r="D57" t="s">
        <v>256</v>
      </c>
      <c r="E57" t="s">
        <v>61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135.218444824219</v>
      </c>
      <c r="T57" t="n">
        <v>129.141326904297</v>
      </c>
      <c r="U57" t="n">
        <v>131.43669128418</v>
      </c>
      <c r="V57" t="n">
        <v>133.637390136719</v>
      </c>
      <c r="W57" t="n">
        <v>127.395042419434</v>
      </c>
      <c r="X57" t="n">
        <v>125.955947875977</v>
      </c>
      <c r="Y57" t="n">
        <v>128.71061706543</v>
      </c>
      <c r="Z57" t="n">
        <v>100</v>
      </c>
      <c r="AA57" t="n">
        <v>96.5247039794922</v>
      </c>
      <c r="AB57" t="n">
        <v>100.418045043945</v>
      </c>
      <c r="AC57" t="n">
        <v>104.515480041504</v>
      </c>
      <c r="AD57" t="n">
        <v>98.0442428588867</v>
      </c>
      <c r="AE57" t="n">
        <v>100.798568725586</v>
      </c>
      <c r="AF57" t="n">
        <v>117.32763671875</v>
      </c>
    </row>
    <row r="58">
      <c r="A58" t="s">
        <v>220</v>
      </c>
      <c r="B58" t="s">
        <v>255</v>
      </c>
      <c r="C58" t="s">
        <v>221</v>
      </c>
      <c r="D58" t="s">
        <v>256</v>
      </c>
      <c r="E58" t="s">
        <v>61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222</v>
      </c>
      <c r="B59" t="s">
        <v>255</v>
      </c>
      <c r="C59" t="s">
        <v>223</v>
      </c>
      <c r="D59" t="s">
        <v>256</v>
      </c>
      <c r="E59" t="s">
        <v>61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2025-01-08T11:41:37Z</dcterms:created>
</coreProperties>
</file>