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VA_CP" sheetId="53" state="visible" r:id="rId2"/>
    <sheet name="GO_CP" sheetId="54" state="visible" r:id="rId3"/>
    <sheet name="II_CP" sheetId="55" state="visible" r:id="rId4"/>
    <sheet name="VA_PYP" sheetId="56" state="visible" r:id="rId5"/>
    <sheet name="GO_PYP" sheetId="57" state="visible" r:id="rId6"/>
    <sheet name="II_PYP" sheetId="58" state="visible" r:id="rId7"/>
    <sheet name="COMP" sheetId="59" state="visible" r:id="rId8"/>
    <sheet name="EMP" sheetId="60" state="visible" r:id="rId9"/>
    <sheet name="EMPE" sheetId="61" state="visible" r:id="rId10"/>
    <sheet name="H_EMP" sheetId="62" state="visible" r:id="rId11"/>
    <sheet name="H_EMPE" sheetId="63" state="visible" r:id="rId12"/>
    <sheet name="VA_PI" sheetId="64" state="visible" r:id="rId13"/>
    <sheet name="GO_PI" sheetId="65" state="visible" r:id="rId14"/>
    <sheet name="II_PI" sheetId="66" state="visible" r:id="rId15"/>
    <sheet name="VA_Q" sheetId="67" state="visible" r:id="rId16"/>
    <sheet name="GO_Q" sheetId="68" state="visible" r:id="rId17"/>
    <sheet name="II_Q" sheetId="69" state="visible" r:id="rId18"/>
  </sheets>
</workbook>
</file>

<file path=xl/sharedStrings.xml><?xml version="1.0" encoding="utf-8"?>
<sst xmlns="http://schemas.openxmlformats.org/spreadsheetml/2006/main" count="277" uniqueCount="277">
  <si>
    <t xml:space="preserve">Variable</t>
  </si>
  <si>
    <t xml:space="preserve">Description</t>
  </si>
  <si>
    <t xml:space="preserve">Values</t>
  </si>
  <si>
    <t xml:space="preserve"/>
  </si>
  <si>
    <t xml:space="preserve">VA_CP</t>
  </si>
  <si>
    <t xml:space="preserve">GVA, current prices, millions of national currency</t>
  </si>
  <si>
    <t xml:space="preserve">GO_CP</t>
  </si>
  <si>
    <t xml:space="preserve">Gross output, current prices, millions of national currency</t>
  </si>
  <si>
    <t xml:space="preserve">II_CP</t>
  </si>
  <si>
    <t xml:space="preserve">Intermediate inputs, current prices, millions of national currency</t>
  </si>
  <si>
    <t xml:space="preserve">VA_PYP</t>
  </si>
  <si>
    <t xml:space="preserve">GVA, prev.year prices, millions of national currency</t>
  </si>
  <si>
    <t xml:space="preserve">GO_PYP</t>
  </si>
  <si>
    <t xml:space="preserve">Gross output, prev.year prices, millions of national currency</t>
  </si>
  <si>
    <t xml:space="preserve">II_PYP</t>
  </si>
  <si>
    <t xml:space="preserve">Intermediate inputs, prev.year prices, millions of national currency</t>
  </si>
  <si>
    <t xml:space="preserve">COMP</t>
  </si>
  <si>
    <t xml:space="preserve">Compensation of employees, current prices, millions of national currency</t>
  </si>
  <si>
    <t xml:space="preserve">EMP</t>
  </si>
  <si>
    <t xml:space="preserve">Number of persons employed, th.</t>
  </si>
  <si>
    <t xml:space="preserve">EMPE</t>
  </si>
  <si>
    <t xml:space="preserve">Number of employees, th.</t>
  </si>
  <si>
    <t xml:space="preserve">H_EMP</t>
  </si>
  <si>
    <t xml:space="preserve">Total hours worked by persons engaged, th.</t>
  </si>
  <si>
    <t xml:space="preserve">H_EMPE</t>
  </si>
  <si>
    <t xml:space="preserve">Total hours worked by employees, th.</t>
  </si>
  <si>
    <t xml:space="preserve">Prices</t>
  </si>
  <si>
    <t xml:space="preserve">VA_PI</t>
  </si>
  <si>
    <t xml:space="preserve">GVA, price indexes (2020)</t>
  </si>
  <si>
    <t xml:space="preserve">GO_PI</t>
  </si>
  <si>
    <t xml:space="preserve">Gross output, price indexes (2020)</t>
  </si>
  <si>
    <t xml:space="preserve">II_PI</t>
  </si>
  <si>
    <t xml:space="preserve">Intermediate inputs, price indexes (2020)</t>
  </si>
  <si>
    <t xml:space="preserve">Volumes</t>
  </si>
  <si>
    <t xml:space="preserve">VA_Q</t>
  </si>
  <si>
    <t xml:space="preserve">GVA, chained linked volumes (2020), millions of national currency</t>
  </si>
  <si>
    <t xml:space="preserve">GO_Q</t>
  </si>
  <si>
    <t xml:space="preserve">Gross output, chained linked volumes (2020), millions of national currency</t>
  </si>
  <si>
    <t xml:space="preserve">II_Q</t>
  </si>
  <si>
    <t xml:space="preserve">Intermediate inputs, chained linked volumes (2020), millions of national currency</t>
  </si>
  <si>
    <t xml:space="preserve">National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</si>
  <si>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</si>
  <si>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</si>
  <si>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>Notes</t>
  </si>
  <si>
    <t xml:space="preserve">Numbers displayed are in accordance with the industry classification (NACE Rev. 2/ISIC Rev. 4) and the European System of National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</si>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</sst>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41</v>
      </c>
    </row>
    <row r="4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=HYPERLINK("#'VA_CP'!A1", "VA_CP")</f>
      </c>
      <c r="B8" t="s">
        <v>5</v>
      </c>
    </row>
    <row r="9">
      <c r="A9" s="4" t="str">
        <f>=HYPERLINK("#'GO_CP'!A1", "GO_CP")</f>
      </c>
      <c r="B9" t="s">
        <v>7</v>
      </c>
    </row>
    <row r="10">
      <c r="A10" s="4" t="str">
        <f>=HYPERLINK("#'II_CP'!A1", "II_CP")</f>
      </c>
      <c r="B10" t="s">
        <v>9</v>
      </c>
    </row>
    <row r="11">
      <c r="A11" s="4" t="str">
        <f>=HYPERLINK("#'VA_PYP'!A1", "VA_PYP")</f>
      </c>
      <c r="B11" t="s">
        <v>11</v>
      </c>
    </row>
    <row r="12">
      <c r="A12" s="4" t="str">
        <f>=HYPERLINK("#'GO_PYP'!A1", "GO_PYP")</f>
      </c>
      <c r="B12" t="s">
        <v>13</v>
      </c>
    </row>
    <row r="13">
      <c r="A13" s="4" t="str">
        <f>=HYPERLINK("#'II_PYP'!A1", "II_PYP")</f>
      </c>
      <c r="B13" t="s">
        <v>15</v>
      </c>
    </row>
    <row r="14">
      <c r="A14" s="4" t="str">
        <f>=HYPERLINK("#'COMP'!A1", "COMP")</f>
      </c>
      <c r="B14" t="s">
        <v>17</v>
      </c>
    </row>
    <row r="15">
      <c r="A15" s="4" t="str">
        <f>=HYPERLINK("#'EMP'!A1", "EMP")</f>
      </c>
      <c r="B15" t="s">
        <v>19</v>
      </c>
    </row>
    <row r="16">
      <c r="A16" s="4" t="str">
        <f>=HYPERLINK("#'EMPE'!A1", "EMPE")</f>
      </c>
      <c r="B16" t="s">
        <v>21</v>
      </c>
    </row>
    <row r="17">
      <c r="A17" s="4" t="str">
        <f>=HYPERLINK("#'H_EMP'!A1", "H_EMP")</f>
      </c>
      <c r="B17" t="s">
        <v>23</v>
      </c>
    </row>
    <row r="18">
      <c r="A18" s="4" t="str">
        <f>=HYPERLINK("#'H_EMPE'!A1", "H_EMPE")</f>
      </c>
      <c r="B18" t="s">
        <v>25</v>
      </c>
    </row>
    <row r="19">
      <c r="A19" s="2" t="s">
        <v>26</v>
      </c>
      <c r="B19" s="2" t="s">
        <v>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=HYPERLINK("#'VA_PI'!A1", "VA_PI")</f>
      </c>
      <c r="B20" t="s">
        <v>28</v>
      </c>
    </row>
    <row r="21">
      <c r="A21" s="4" t="str">
        <f>=HYPERLINK("#'GO_PI'!A1", "GO_PI")</f>
      </c>
      <c r="B21" t="s">
        <v>30</v>
      </c>
    </row>
    <row r="22">
      <c r="A22" s="4" t="str">
        <f>=HYPERLINK("#'II_PI'!A1", "II_PI")</f>
      </c>
      <c r="B22" t="s">
        <v>32</v>
      </c>
    </row>
    <row r="23">
      <c r="A23" s="2" t="s">
        <v>33</v>
      </c>
      <c r="B23" s="2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4" t="str">
        <f>=HYPERLINK("#'VA_Q'!A1", "VA_Q")</f>
      </c>
      <c r="B24" t="s">
        <v>35</v>
      </c>
    </row>
    <row r="25">
      <c r="A25" s="4" t="str">
        <f>=HYPERLINK("#'GO_Q'!A1", "GO_Q")</f>
      </c>
      <c r="B25" t="s">
        <v>37</v>
      </c>
    </row>
    <row r="26">
      <c r="A26" s="4" t="str">
        <f>=HYPERLINK("#'II_Q'!A1", "II_Q")</f>
      </c>
      <c r="B26" t="s">
        <v>39</v>
      </c>
    </row>
    <row r="27">
      <c r="A27" t="s">
        <v>3</v>
      </c>
    </row>
    <row r="28">
      <c r="A28" t="s">
        <v>3</v>
      </c>
    </row>
    <row r="29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3" t="s">
        <v>44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 t="s">
        <v>45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 t="s">
        <v>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t="s">
        <v>3</v>
      </c>
    </row>
    <row r="35">
      <c r="A35" s="1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3" t="s">
        <v>48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 t="s">
        <v>49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 t="s">
        <v>50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 t="s">
        <v>51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4</v>
      </c>
      <c r="B2" t="s">
        <v>84</v>
      </c>
      <c r="C2" t="s">
        <v>131</v>
      </c>
      <c r="D2" t="s">
        <v>86</v>
      </c>
      <c r="E2" t="s">
        <v>132</v>
      </c>
      <c r="F2" t="n">
        <v>3055.6</v>
      </c>
      <c r="G2" t="n">
        <v>2821</v>
      </c>
      <c r="H2" t="n">
        <v>2711.3</v>
      </c>
      <c r="I2" t="n">
        <v>2795.3</v>
      </c>
      <c r="J2" t="n">
        <v>2386.8</v>
      </c>
      <c r="K2" t="n">
        <v>2717.7</v>
      </c>
      <c r="L2" t="n">
        <v>2434.3</v>
      </c>
      <c r="M2" t="n">
        <v>2360</v>
      </c>
      <c r="N2" t="n">
        <v>2154.5</v>
      </c>
      <c r="O2" t="n">
        <v>2459.7</v>
      </c>
      <c r="P2" t="n">
        <v>1760.2</v>
      </c>
      <c r="Q2" t="n">
        <v>1703.4</v>
      </c>
      <c r="R2" t="n">
        <v>2055.9</v>
      </c>
      <c r="S2" t="n">
        <v>1592</v>
      </c>
      <c r="T2" t="n">
        <v>945.8</v>
      </c>
      <c r="U2" t="n">
        <v>1598</v>
      </c>
      <c r="V2" t="n">
        <v>2085.8</v>
      </c>
      <c r="W2" t="n">
        <v>1742</v>
      </c>
      <c r="X2" t="n">
        <v>1957.1</v>
      </c>
      <c r="Y2" t="n">
        <v>2441.9</v>
      </c>
      <c r="Z2" t="n">
        <v>2365.3</v>
      </c>
      <c r="AA2" t="n">
        <v>2555</v>
      </c>
      <c r="AB2" t="n">
        <v>3453.1</v>
      </c>
      <c r="AC2" t="n">
        <v>2781.2</v>
      </c>
      <c r="AD2" t="n">
        <v>3212.5</v>
      </c>
      <c r="AE2" t="n">
        <v>3591.1</v>
      </c>
      <c r="AF2" t="n">
        <v>4345.3</v>
      </c>
    </row>
    <row r="3">
      <c r="A3" t="s">
        <v>4</v>
      </c>
      <c r="B3" t="s">
        <v>163</v>
      </c>
      <c r="C3" t="s">
        <v>131</v>
      </c>
      <c r="D3" t="s">
        <v>164</v>
      </c>
      <c r="E3" t="s">
        <v>132</v>
      </c>
      <c r="F3" t="n">
        <v>314.6</v>
      </c>
      <c r="G3" t="n">
        <v>311.8</v>
      </c>
      <c r="H3" t="n">
        <v>458</v>
      </c>
      <c r="I3" t="n">
        <v>394.5</v>
      </c>
      <c r="J3" t="n">
        <v>390</v>
      </c>
      <c r="K3" t="n">
        <v>478.7</v>
      </c>
      <c r="L3" t="n">
        <v>608.6</v>
      </c>
      <c r="M3" t="n">
        <v>552.9</v>
      </c>
      <c r="N3" t="n">
        <v>620.1</v>
      </c>
      <c r="O3" t="n">
        <v>456</v>
      </c>
      <c r="P3" t="n">
        <v>575.2</v>
      </c>
      <c r="Q3" t="n">
        <v>932.6</v>
      </c>
      <c r="R3" t="n">
        <v>1208.3</v>
      </c>
      <c r="S3" t="n">
        <v>913.4</v>
      </c>
      <c r="T3" t="n">
        <v>916.5</v>
      </c>
      <c r="U3" t="n">
        <v>687</v>
      </c>
      <c r="V3" t="n">
        <v>726.2</v>
      </c>
      <c r="W3" t="n">
        <v>886.8</v>
      </c>
      <c r="X3" t="n">
        <v>751.7</v>
      </c>
      <c r="Y3" t="n">
        <v>908.8</v>
      </c>
      <c r="Z3" t="n">
        <v>407</v>
      </c>
      <c r="AA3" t="n">
        <v>549.5</v>
      </c>
      <c r="AB3" t="n">
        <v>609.1</v>
      </c>
      <c r="AC3" t="n">
        <v>615.6</v>
      </c>
      <c r="AD3" t="n">
        <v>504.3</v>
      </c>
      <c r="AE3" t="n">
        <v>320.9</v>
      </c>
      <c r="AF3" t="n">
        <v>452.5</v>
      </c>
    </row>
    <row r="4">
      <c r="A4" t="s">
        <v>4</v>
      </c>
      <c r="B4" t="s">
        <v>165</v>
      </c>
      <c r="C4" t="s">
        <v>131</v>
      </c>
      <c r="D4" t="s">
        <v>166</v>
      </c>
      <c r="E4" t="s">
        <v>132</v>
      </c>
      <c r="F4" t="n">
        <v>11328</v>
      </c>
      <c r="G4" t="n">
        <v>12293.9</v>
      </c>
      <c r="H4" t="n">
        <v>15122.5</v>
      </c>
      <c r="I4" t="n">
        <v>18695.8</v>
      </c>
      <c r="J4" t="n">
        <v>21835</v>
      </c>
      <c r="K4" t="n">
        <v>25083.2</v>
      </c>
      <c r="L4" t="n">
        <v>30827.4</v>
      </c>
      <c r="M4" t="n">
        <v>36372.8</v>
      </c>
      <c r="N4" t="n">
        <v>34004.7</v>
      </c>
      <c r="O4" t="n">
        <v>33013.6</v>
      </c>
      <c r="P4" t="n">
        <v>33366.6</v>
      </c>
      <c r="Q4" t="n">
        <v>34344.6</v>
      </c>
      <c r="R4" t="n">
        <v>35418.8</v>
      </c>
      <c r="S4" t="n">
        <v>32885.1</v>
      </c>
      <c r="T4" t="n">
        <v>34562.8</v>
      </c>
      <c r="U4" t="n">
        <v>32629.4</v>
      </c>
      <c r="V4" t="n">
        <v>35658.6</v>
      </c>
      <c r="W4" t="n">
        <v>34627.5</v>
      </c>
      <c r="X4" t="n">
        <v>34891.9</v>
      </c>
      <c r="Y4" t="n">
        <v>39289.2</v>
      </c>
      <c r="Z4" t="n">
        <v>95003.1</v>
      </c>
      <c r="AA4" t="n">
        <v>90028.1</v>
      </c>
      <c r="AB4" t="n">
        <v>99168.5</v>
      </c>
      <c r="AC4" t="n">
        <v>109857.4</v>
      </c>
      <c r="AD4" t="n">
        <v>116147.3</v>
      </c>
      <c r="AE4" t="n">
        <v>129247.8</v>
      </c>
      <c r="AF4" t="n">
        <v>155321.7</v>
      </c>
    </row>
    <row r="5">
      <c r="A5" t="s">
        <v>4</v>
      </c>
      <c r="B5" t="s">
        <v>167</v>
      </c>
      <c r="C5" t="s">
        <v>131</v>
      </c>
      <c r="D5" t="s">
        <v>168</v>
      </c>
      <c r="E5" t="s">
        <v>132</v>
      </c>
      <c r="F5" t="n">
        <v>1886.2</v>
      </c>
      <c r="G5" t="n">
        <v>2139</v>
      </c>
      <c r="H5" t="n">
        <v>2389</v>
      </c>
      <c r="I5" t="n">
        <v>2827</v>
      </c>
      <c r="J5" t="n">
        <v>3109.8</v>
      </c>
      <c r="K5" t="n">
        <v>3602.3</v>
      </c>
      <c r="L5" t="n">
        <v>4543</v>
      </c>
      <c r="M5" t="n">
        <v>5027.3</v>
      </c>
      <c r="N5" t="n">
        <v>5918.2</v>
      </c>
      <c r="O5" t="n">
        <v>5806.5</v>
      </c>
      <c r="P5" t="n">
        <v>5732.3</v>
      </c>
      <c r="Q5" t="n">
        <v>6128.9</v>
      </c>
      <c r="R5" t="n">
        <v>6344.8</v>
      </c>
      <c r="S5" t="n">
        <v>6143</v>
      </c>
      <c r="T5" t="n">
        <v>5934.9</v>
      </c>
      <c r="U5" t="n">
        <v>6499.1</v>
      </c>
      <c r="V5" t="n">
        <v>6433.8</v>
      </c>
      <c r="W5" t="n">
        <v>6669.9</v>
      </c>
      <c r="X5" t="n">
        <v>7592.5</v>
      </c>
      <c r="Y5" t="n">
        <v>8493.1</v>
      </c>
      <c r="Z5" t="n">
        <v>8901.5</v>
      </c>
      <c r="AA5" t="n">
        <v>8993.2</v>
      </c>
      <c r="AB5" t="n">
        <v>8643.4</v>
      </c>
      <c r="AC5" t="n">
        <v>9053.3</v>
      </c>
      <c r="AD5" t="n">
        <v>7739.3</v>
      </c>
      <c r="AE5" t="n">
        <v>7762.7</v>
      </c>
      <c r="AF5" t="n">
        <v>8312.2</v>
      </c>
    </row>
    <row r="6">
      <c r="A6" t="s">
        <v>4</v>
      </c>
      <c r="B6" t="s">
        <v>169</v>
      </c>
      <c r="C6" t="s">
        <v>131</v>
      </c>
      <c r="D6" t="s">
        <v>170</v>
      </c>
      <c r="E6" t="s">
        <v>132</v>
      </c>
      <c r="F6" t="n">
        <v>406.6</v>
      </c>
      <c r="G6" t="n">
        <v>379.6</v>
      </c>
      <c r="H6" t="n">
        <v>376.8</v>
      </c>
      <c r="I6" t="n">
        <v>392.5</v>
      </c>
      <c r="J6" t="n">
        <v>351.6</v>
      </c>
      <c r="K6" t="n">
        <v>343.9</v>
      </c>
      <c r="L6" t="n">
        <v>375.2</v>
      </c>
      <c r="M6" t="n">
        <v>322.9</v>
      </c>
      <c r="N6" t="n">
        <v>303.1</v>
      </c>
      <c r="O6" t="n">
        <v>267.4</v>
      </c>
      <c r="P6" t="n">
        <v>261.4</v>
      </c>
      <c r="Q6" t="n">
        <v>241.4</v>
      </c>
      <c r="R6" t="n">
        <v>262.4</v>
      </c>
      <c r="S6" t="n">
        <v>213.7</v>
      </c>
      <c r="T6" t="n">
        <v>186.4</v>
      </c>
      <c r="U6" t="n">
        <v>152.3</v>
      </c>
      <c r="V6" t="n">
        <v>135.5</v>
      </c>
      <c r="W6" t="n">
        <v>131.4</v>
      </c>
      <c r="X6" t="n">
        <v>140.5</v>
      </c>
      <c r="Y6" t="n">
        <v>151.8</v>
      </c>
      <c r="Z6" t="n">
        <v>163.9</v>
      </c>
      <c r="AA6" t="n">
        <v>159.3</v>
      </c>
      <c r="AB6" t="n">
        <v>155.2</v>
      </c>
      <c r="AC6" t="n">
        <v>157.5</v>
      </c>
      <c r="AD6" t="n">
        <v>160.7</v>
      </c>
      <c r="AE6" t="n">
        <v>151</v>
      </c>
      <c r="AF6" t="n">
        <v>179.2</v>
      </c>
    </row>
    <row r="7">
      <c r="A7" t="s">
        <v>4</v>
      </c>
      <c r="B7" t="s">
        <v>171</v>
      </c>
      <c r="C7" t="s">
        <v>131</v>
      </c>
      <c r="D7" t="s">
        <v>172</v>
      </c>
      <c r="E7" t="s">
        <v>132</v>
      </c>
      <c r="F7" t="n">
        <v>604.3</v>
      </c>
      <c r="G7" t="n">
        <v>658.3</v>
      </c>
      <c r="H7" t="n">
        <v>770.7</v>
      </c>
      <c r="I7" t="n">
        <v>860.5</v>
      </c>
      <c r="J7" t="n">
        <v>952.2</v>
      </c>
      <c r="K7" t="n">
        <v>1038.6</v>
      </c>
      <c r="L7" t="n">
        <v>1253.2</v>
      </c>
      <c r="M7" t="n">
        <v>1269.2</v>
      </c>
      <c r="N7" t="n">
        <v>1365.8</v>
      </c>
      <c r="O7" t="n">
        <v>1425.5</v>
      </c>
      <c r="P7" t="n">
        <v>1535.5</v>
      </c>
      <c r="Q7" t="n">
        <v>1593.3</v>
      </c>
      <c r="R7" t="n">
        <v>1277.6</v>
      </c>
      <c r="S7" t="n">
        <v>962.2</v>
      </c>
      <c r="T7" t="n">
        <v>828.8</v>
      </c>
      <c r="U7" t="n">
        <v>737.5</v>
      </c>
      <c r="V7" t="n">
        <v>651.8</v>
      </c>
      <c r="W7" t="n">
        <v>610.3</v>
      </c>
      <c r="X7" t="n">
        <v>685.8</v>
      </c>
      <c r="Y7" t="n">
        <v>782.9</v>
      </c>
      <c r="Z7" t="n">
        <v>807.8</v>
      </c>
      <c r="AA7" t="n">
        <v>757</v>
      </c>
      <c r="AB7" t="n">
        <v>796</v>
      </c>
      <c r="AC7" t="n">
        <v>854</v>
      </c>
      <c r="AD7" t="n">
        <v>889.1</v>
      </c>
      <c r="AE7" t="n">
        <v>847.2</v>
      </c>
      <c r="AF7" t="n">
        <v>969.1</v>
      </c>
    </row>
    <row r="8">
      <c r="A8" t="s">
        <v>4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</v>
      </c>
      <c r="B10" t="s">
        <v>177</v>
      </c>
      <c r="C10" t="s">
        <v>131</v>
      </c>
      <c r="D10" t="s">
        <v>178</v>
      </c>
      <c r="E10" t="s">
        <v>132</v>
      </c>
      <c r="F10" t="n">
        <v>3097.5</v>
      </c>
      <c r="G10" t="n">
        <v>3235.5</v>
      </c>
      <c r="H10" t="n">
        <v>4490.1</v>
      </c>
      <c r="I10" t="n">
        <v>5746.4</v>
      </c>
      <c r="J10" t="n">
        <v>7240.2</v>
      </c>
      <c r="K10" t="n">
        <v>8632.2</v>
      </c>
      <c r="L10" t="n">
        <v>12508.1</v>
      </c>
      <c r="M10" t="n">
        <v>17409.3</v>
      </c>
      <c r="N10" t="n">
        <v>14178.4</v>
      </c>
      <c r="O10" t="n">
        <v>12509.6</v>
      </c>
      <c r="P10" t="n">
        <v>12338.9</v>
      </c>
      <c r="Q10" t="n">
        <v>11938.7</v>
      </c>
      <c r="R10" t="n">
        <v>12606.2</v>
      </c>
      <c r="S10" t="n">
        <v>12138.7</v>
      </c>
      <c r="T10" t="n">
        <v>15024.6</v>
      </c>
      <c r="U10" t="n">
        <v>14789</v>
      </c>
      <c r="V10" t="n">
        <v>15886.2</v>
      </c>
      <c r="W10" t="n">
        <v>14405.5</v>
      </c>
      <c r="X10" t="n">
        <v>12472.7</v>
      </c>
      <c r="Y10" t="n">
        <v>14337.4</v>
      </c>
      <c r="Z10"/>
      <c r="AA10"/>
      <c r="AB10"/>
      <c r="AC10"/>
      <c r="AD10"/>
      <c r="AE10"/>
      <c r="AF10"/>
    </row>
    <row r="11">
      <c r="A11" t="s">
        <v>4</v>
      </c>
      <c r="B11" t="s">
        <v>179</v>
      </c>
      <c r="C11" t="s">
        <v>131</v>
      </c>
      <c r="D11" t="s">
        <v>180</v>
      </c>
      <c r="E11" t="s">
        <v>132</v>
      </c>
      <c r="F11" t="n">
        <v>3097.5</v>
      </c>
      <c r="G11" t="n">
        <v>3235.5</v>
      </c>
      <c r="H11" t="n">
        <v>4490.1</v>
      </c>
      <c r="I11" t="n">
        <v>5746.4</v>
      </c>
      <c r="J11" t="n">
        <v>7240.2</v>
      </c>
      <c r="K11" t="n">
        <v>8632.2</v>
      </c>
      <c r="L11" t="n">
        <v>12508.1</v>
      </c>
      <c r="M11" t="n">
        <v>17409.3</v>
      </c>
      <c r="N11" t="n">
        <v>14178.4</v>
      </c>
      <c r="O11" t="n">
        <v>12509.6</v>
      </c>
      <c r="P11" t="n">
        <v>12338.9</v>
      </c>
      <c r="Q11" t="n">
        <v>11938.7</v>
      </c>
      <c r="R11" t="n">
        <v>12606.2</v>
      </c>
      <c r="S11" t="n">
        <v>12138.7</v>
      </c>
      <c r="T11" t="n">
        <v>15024.6</v>
      </c>
      <c r="U11" t="n">
        <v>14789</v>
      </c>
      <c r="V11" t="n">
        <v>15886.2</v>
      </c>
      <c r="W11" t="n">
        <v>14405.5</v>
      </c>
      <c r="X11" t="n">
        <v>12472.7</v>
      </c>
      <c r="Y11" t="n">
        <v>14337.4</v>
      </c>
      <c r="Z11"/>
      <c r="AA11"/>
      <c r="AB11"/>
      <c r="AC11"/>
      <c r="AD11"/>
      <c r="AE11"/>
      <c r="AF11"/>
    </row>
    <row r="12">
      <c r="A12" t="s">
        <v>4</v>
      </c>
      <c r="B12" t="s">
        <v>181</v>
      </c>
      <c r="C12" t="s">
        <v>131</v>
      </c>
      <c r="D12" t="s">
        <v>182</v>
      </c>
      <c r="E12" t="s">
        <v>132</v>
      </c>
      <c r="F12" t="n">
        <v>798.6</v>
      </c>
      <c r="G12" t="n">
        <v>828.8</v>
      </c>
      <c r="H12" t="n">
        <v>934.1</v>
      </c>
      <c r="I12" t="n">
        <v>1088.1</v>
      </c>
      <c r="J12" t="n">
        <v>1188.4</v>
      </c>
      <c r="K12" t="n">
        <v>1327</v>
      </c>
      <c r="L12" t="n">
        <v>1417.4</v>
      </c>
      <c r="M12" t="n">
        <v>1394</v>
      </c>
      <c r="N12" t="n">
        <v>1481.2</v>
      </c>
      <c r="O12" t="n">
        <v>1543.8</v>
      </c>
      <c r="P12" t="n">
        <v>1681.8</v>
      </c>
      <c r="Q12" t="n">
        <v>1805</v>
      </c>
      <c r="R12" t="n">
        <v>1865.3</v>
      </c>
      <c r="S12" t="n">
        <v>1419.5</v>
      </c>
      <c r="T12" t="n">
        <v>959.9</v>
      </c>
      <c r="U12" t="n">
        <v>741.9</v>
      </c>
      <c r="V12" t="n">
        <v>815.5</v>
      </c>
      <c r="W12" t="n">
        <v>780.2</v>
      </c>
      <c r="X12" t="n">
        <v>921.1</v>
      </c>
      <c r="Y12" t="n">
        <v>1150.8</v>
      </c>
      <c r="Z12" t="n">
        <v>1170.2</v>
      </c>
      <c r="AA12" t="n">
        <v>1393.5</v>
      </c>
      <c r="AB12" t="n">
        <v>1493.9</v>
      </c>
      <c r="AC12" t="n">
        <v>1526.1</v>
      </c>
      <c r="AD12" t="n">
        <v>1671</v>
      </c>
      <c r="AE12" t="n">
        <v>1761</v>
      </c>
      <c r="AF12" t="n">
        <v>1931.9</v>
      </c>
    </row>
    <row r="13">
      <c r="A13" t="s">
        <v>4</v>
      </c>
      <c r="B13" t="s">
        <v>183</v>
      </c>
      <c r="C13" t="s">
        <v>131</v>
      </c>
      <c r="D13" t="s">
        <v>184</v>
      </c>
      <c r="E13" t="s">
        <v>132</v>
      </c>
      <c r="F13" t="n">
        <v>480.6</v>
      </c>
      <c r="G13" t="n">
        <v>519.7</v>
      </c>
      <c r="H13" t="n">
        <v>573</v>
      </c>
      <c r="I13" t="n">
        <v>660.2</v>
      </c>
      <c r="J13" t="n">
        <v>749</v>
      </c>
      <c r="K13" t="n">
        <v>818.2</v>
      </c>
      <c r="L13" t="n">
        <v>856.1</v>
      </c>
      <c r="M13" t="n">
        <v>845</v>
      </c>
      <c r="N13" t="n">
        <v>883.4</v>
      </c>
      <c r="O13" t="n">
        <v>1001.5</v>
      </c>
      <c r="P13" t="n">
        <v>1096.1</v>
      </c>
      <c r="Q13" t="n">
        <v>1300.6</v>
      </c>
      <c r="R13" t="n">
        <v>1339.5</v>
      </c>
      <c r="S13" t="n">
        <v>1244.1</v>
      </c>
      <c r="T13" t="n">
        <v>842.8</v>
      </c>
      <c r="U13" t="n">
        <v>733.4</v>
      </c>
      <c r="V13" t="n">
        <v>732.2</v>
      </c>
      <c r="W13" t="n">
        <v>752.8</v>
      </c>
      <c r="X13" t="n">
        <v>861.4</v>
      </c>
      <c r="Y13" t="n">
        <v>989.2</v>
      </c>
      <c r="Z13" t="n">
        <v>1093.4</v>
      </c>
      <c r="AA13" t="n">
        <v>1162.1</v>
      </c>
      <c r="AB13" t="n">
        <v>1359</v>
      </c>
      <c r="AC13" t="n">
        <v>1382.7</v>
      </c>
      <c r="AD13" t="n">
        <v>1506.8</v>
      </c>
      <c r="AE13" t="n">
        <v>1355.4</v>
      </c>
      <c r="AF13" t="n">
        <v>1265.3</v>
      </c>
    </row>
    <row r="14">
      <c r="A14" t="s">
        <v>4</v>
      </c>
      <c r="B14" t="s">
        <v>185</v>
      </c>
      <c r="C14" t="s">
        <v>131</v>
      </c>
      <c r="D14" t="s">
        <v>186</v>
      </c>
      <c r="E14" t="s">
        <v>132</v>
      </c>
      <c r="F14" t="n">
        <v>1482.6</v>
      </c>
      <c r="G14" t="n">
        <v>1694.7</v>
      </c>
      <c r="H14" t="n">
        <v>2188.1</v>
      </c>
      <c r="I14" t="n">
        <v>2748.2</v>
      </c>
      <c r="J14" t="n">
        <v>3132.2</v>
      </c>
      <c r="K14" t="n">
        <v>3667.8</v>
      </c>
      <c r="L14" t="n">
        <v>4753.1</v>
      </c>
      <c r="M14" t="n">
        <v>4494.9</v>
      </c>
      <c r="N14" t="n">
        <v>4086</v>
      </c>
      <c r="O14" t="n">
        <v>4540</v>
      </c>
      <c r="P14" t="n">
        <v>4687.1</v>
      </c>
      <c r="Q14" t="n">
        <v>4823.1</v>
      </c>
      <c r="R14" t="n">
        <v>3857.1</v>
      </c>
      <c r="S14" t="n">
        <v>3118.7</v>
      </c>
      <c r="T14" t="n">
        <v>3455.8</v>
      </c>
      <c r="U14" t="n">
        <v>3165.8</v>
      </c>
      <c r="V14" t="n">
        <v>2827.9</v>
      </c>
      <c r="W14" t="n">
        <v>2895.9</v>
      </c>
      <c r="X14" t="n">
        <v>2740.5</v>
      </c>
      <c r="Y14" t="n">
        <v>2766.7</v>
      </c>
      <c r="Z14"/>
      <c r="AA14"/>
      <c r="AB14"/>
      <c r="AC14"/>
      <c r="AD14"/>
      <c r="AE14"/>
      <c r="AF14"/>
    </row>
    <row r="15">
      <c r="A15" t="s">
        <v>4</v>
      </c>
      <c r="B15" t="s">
        <v>187</v>
      </c>
      <c r="C15" t="s">
        <v>131</v>
      </c>
      <c r="D15" t="s">
        <v>188</v>
      </c>
      <c r="E15" t="s">
        <v>132</v>
      </c>
      <c r="F15" t="n">
        <v>1734.6</v>
      </c>
      <c r="G15" t="n">
        <v>2009.7</v>
      </c>
      <c r="H15" t="n">
        <v>2551.4</v>
      </c>
      <c r="I15" t="n">
        <v>3200.7</v>
      </c>
      <c r="J15" t="n">
        <v>3615.6</v>
      </c>
      <c r="K15" t="n">
        <v>4234.6</v>
      </c>
      <c r="L15" t="n">
        <v>5342.9</v>
      </c>
      <c r="M15" t="n">
        <v>5017</v>
      </c>
      <c r="N15" t="n">
        <v>4438.1</v>
      </c>
      <c r="O15" t="n">
        <v>4691</v>
      </c>
      <c r="P15" t="n">
        <v>4937</v>
      </c>
      <c r="Q15" t="n">
        <v>5132.9</v>
      </c>
      <c r="R15" t="n">
        <v>4167.5</v>
      </c>
      <c r="S15" t="n">
        <v>3480.5</v>
      </c>
      <c r="T15" t="n">
        <v>3760.5</v>
      </c>
      <c r="U15" t="n">
        <v>3291.6</v>
      </c>
      <c r="V15" t="n">
        <v>3066.7</v>
      </c>
      <c r="W15" t="n">
        <v>3164.1</v>
      </c>
      <c r="X15" t="n">
        <v>3039.2</v>
      </c>
      <c r="Y15" t="n">
        <v>3112.1</v>
      </c>
      <c r="Z15" t="n">
        <v>365.7</v>
      </c>
      <c r="AA15" t="n">
        <v>369.5</v>
      </c>
      <c r="AB15" t="n">
        <v>400.5</v>
      </c>
      <c r="AC15" t="n">
        <v>445.2</v>
      </c>
      <c r="AD15" t="n">
        <v>428.4</v>
      </c>
      <c r="AE15" t="n">
        <v>466.8</v>
      </c>
      <c r="AF15" t="n">
        <v>461.1</v>
      </c>
    </row>
    <row r="16">
      <c r="A16" t="s">
        <v>4</v>
      </c>
      <c r="B16" t="s">
        <v>189</v>
      </c>
      <c r="C16" t="s">
        <v>131</v>
      </c>
      <c r="D16" t="s">
        <v>190</v>
      </c>
      <c r="E16" t="s">
        <v>132</v>
      </c>
      <c r="F16" t="n">
        <v>252</v>
      </c>
      <c r="G16" t="n">
        <v>315</v>
      </c>
      <c r="H16" t="n">
        <v>363.3</v>
      </c>
      <c r="I16" t="n">
        <v>452.5</v>
      </c>
      <c r="J16" t="n">
        <v>483.4</v>
      </c>
      <c r="K16" t="n">
        <v>566.8</v>
      </c>
      <c r="L16" t="n">
        <v>589.8</v>
      </c>
      <c r="M16" t="n">
        <v>522.1</v>
      </c>
      <c r="N16" t="n">
        <v>352.1</v>
      </c>
      <c r="O16" t="n">
        <v>151</v>
      </c>
      <c r="P16" t="n">
        <v>249.9</v>
      </c>
      <c r="Q16" t="n">
        <v>309.8</v>
      </c>
      <c r="R16" t="n">
        <v>310.4</v>
      </c>
      <c r="S16" t="n">
        <v>361.8</v>
      </c>
      <c r="T16" t="n">
        <v>304.7</v>
      </c>
      <c r="U16" t="n">
        <v>125.8</v>
      </c>
      <c r="V16" t="n">
        <v>238.8</v>
      </c>
      <c r="W16" t="n">
        <v>268.2</v>
      </c>
      <c r="X16" t="n">
        <v>298.7</v>
      </c>
      <c r="Y16" t="n">
        <v>345.4</v>
      </c>
      <c r="Z16" t="n">
        <v>365.7</v>
      </c>
      <c r="AA16" t="n">
        <v>369.5</v>
      </c>
      <c r="AB16" t="n">
        <v>400.5</v>
      </c>
      <c r="AC16" t="n">
        <v>445.2</v>
      </c>
      <c r="AD16" t="n">
        <v>428.4</v>
      </c>
      <c r="AE16" t="n">
        <v>466.8</v>
      </c>
      <c r="AF16" t="n">
        <v>461.1</v>
      </c>
    </row>
    <row r="17">
      <c r="A17" t="s">
        <v>4</v>
      </c>
      <c r="B17" t="s">
        <v>191</v>
      </c>
      <c r="C17" t="s">
        <v>131</v>
      </c>
      <c r="D17" t="s">
        <v>192</v>
      </c>
      <c r="E17" t="s">
        <v>132</v>
      </c>
      <c r="F17" t="n">
        <v>361.8</v>
      </c>
      <c r="G17" t="n">
        <v>389.2</v>
      </c>
      <c r="H17" t="n">
        <v>420</v>
      </c>
      <c r="I17" t="n">
        <v>408.6</v>
      </c>
      <c r="J17" t="n">
        <v>554.6</v>
      </c>
      <c r="K17" t="n">
        <v>540.6</v>
      </c>
      <c r="L17" t="n">
        <v>611.3</v>
      </c>
      <c r="M17" t="n">
        <v>991.7</v>
      </c>
      <c r="N17" t="n">
        <v>1012.9</v>
      </c>
      <c r="O17" t="n">
        <v>1196.8</v>
      </c>
      <c r="P17" t="n">
        <v>1275</v>
      </c>
      <c r="Q17" t="n">
        <v>1299.8</v>
      </c>
      <c r="R17" t="n">
        <v>1521.9</v>
      </c>
      <c r="S17" t="n">
        <v>1401</v>
      </c>
      <c r="T17" t="n">
        <v>962.5</v>
      </c>
      <c r="U17" t="n">
        <v>672.3</v>
      </c>
      <c r="V17" t="n">
        <v>821</v>
      </c>
      <c r="W17" t="n">
        <v>907.1</v>
      </c>
      <c r="X17" t="n">
        <v>963.1</v>
      </c>
      <c r="Y17" t="n">
        <v>1031.3</v>
      </c>
      <c r="Z17" t="n">
        <v>1151</v>
      </c>
      <c r="AA17" t="n">
        <v>1252.2</v>
      </c>
      <c r="AB17" t="n">
        <v>1242.2</v>
      </c>
      <c r="AC17" t="n">
        <v>1274.7</v>
      </c>
      <c r="AD17" t="n">
        <v>1351.6</v>
      </c>
      <c r="AE17" t="n">
        <v>1841.4</v>
      </c>
      <c r="AF17" t="n">
        <v>1478.6</v>
      </c>
    </row>
    <row r="18">
      <c r="A18" t="s">
        <v>4</v>
      </c>
      <c r="B18" t="s">
        <v>193</v>
      </c>
      <c r="C18" t="s">
        <v>131</v>
      </c>
      <c r="D18" t="s">
        <v>194</v>
      </c>
      <c r="E18" t="s">
        <v>132</v>
      </c>
      <c r="F18" t="n">
        <v>269.4</v>
      </c>
      <c r="G18" t="n">
        <v>311.8</v>
      </c>
      <c r="H18" t="n">
        <v>319.5</v>
      </c>
      <c r="I18" t="n">
        <v>446.8</v>
      </c>
      <c r="J18" t="n">
        <v>290.8</v>
      </c>
      <c r="K18" t="n">
        <v>349.8</v>
      </c>
      <c r="L18" t="n">
        <v>360.1</v>
      </c>
      <c r="M18" t="n">
        <v>348.7</v>
      </c>
      <c r="N18" t="n">
        <v>575</v>
      </c>
      <c r="O18" t="n">
        <v>410.4</v>
      </c>
      <c r="P18" t="n">
        <v>469.2</v>
      </c>
      <c r="Q18" t="n">
        <v>428</v>
      </c>
      <c r="R18" t="n">
        <v>454.2</v>
      </c>
      <c r="S18" t="n">
        <v>428.9</v>
      </c>
      <c r="T18" t="n">
        <v>242.3</v>
      </c>
      <c r="U18" t="n">
        <v>209.2</v>
      </c>
      <c r="V18" t="n">
        <v>222.8</v>
      </c>
      <c r="W18" t="n">
        <v>223.6</v>
      </c>
      <c r="X18" t="n">
        <v>251.2</v>
      </c>
      <c r="Y18" t="n">
        <v>280.9</v>
      </c>
      <c r="Z18" t="n">
        <v>336.8</v>
      </c>
      <c r="AA18" t="n">
        <v>354.6</v>
      </c>
      <c r="AB18" t="n">
        <v>364.6</v>
      </c>
      <c r="AC18" t="n">
        <v>406.1</v>
      </c>
      <c r="AD18" t="n">
        <v>384.9</v>
      </c>
      <c r="AE18" t="n">
        <v>328.5</v>
      </c>
      <c r="AF18" t="n">
        <v>393.4</v>
      </c>
    </row>
    <row r="19">
      <c r="A19" t="s">
        <v>4</v>
      </c>
      <c r="B19" t="s">
        <v>195</v>
      </c>
      <c r="C19" t="s">
        <v>131</v>
      </c>
      <c r="D19" t="s">
        <v>196</v>
      </c>
      <c r="E19" t="s">
        <v>132</v>
      </c>
      <c r="F19" t="n">
        <v>918.3</v>
      </c>
      <c r="G19" t="n">
        <v>1005</v>
      </c>
      <c r="H19" t="n">
        <v>1226</v>
      </c>
      <c r="I19" t="n">
        <v>1703</v>
      </c>
      <c r="J19" t="n">
        <v>2163</v>
      </c>
      <c r="K19" t="n">
        <v>2271.2</v>
      </c>
      <c r="L19" t="n">
        <v>2769.2</v>
      </c>
      <c r="M19" t="n">
        <v>2883.6</v>
      </c>
      <c r="N19" t="n">
        <v>3144.1</v>
      </c>
      <c r="O19" t="n">
        <v>3285</v>
      </c>
      <c r="P19" t="n">
        <v>3290.8</v>
      </c>
      <c r="Q19" t="n">
        <v>3757.7</v>
      </c>
      <c r="R19" t="n">
        <v>3742</v>
      </c>
      <c r="S19" t="n">
        <v>3891.6</v>
      </c>
      <c r="T19" t="n">
        <v>4055.4</v>
      </c>
      <c r="U19" t="n">
        <v>3178.5</v>
      </c>
      <c r="V19" t="n">
        <v>4475.8</v>
      </c>
      <c r="W19" t="n">
        <v>3836.4</v>
      </c>
      <c r="X19" t="n">
        <v>4341.7</v>
      </c>
      <c r="Y19" t="n">
        <v>5254.9</v>
      </c>
      <c r="Z19" t="n">
        <v>7416</v>
      </c>
      <c r="AA19" t="n">
        <v>4983</v>
      </c>
      <c r="AB19" t="n">
        <v>7582</v>
      </c>
      <c r="AC19" t="n">
        <v>6192.4</v>
      </c>
      <c r="AD19" t="n">
        <v>9954.8</v>
      </c>
      <c r="AE19" t="n">
        <v>9170.4</v>
      </c>
      <c r="AF19" t="n">
        <v>11352</v>
      </c>
    </row>
    <row r="20">
      <c r="A20" t="s">
        <v>4</v>
      </c>
      <c r="B20" t="s">
        <v>197</v>
      </c>
      <c r="C20" t="s">
        <v>131</v>
      </c>
      <c r="D20" t="s">
        <v>198</v>
      </c>
      <c r="E20" t="s">
        <v>132</v>
      </c>
      <c r="F20" t="n">
        <v>910.2</v>
      </c>
      <c r="G20" t="n">
        <v>811.2</v>
      </c>
      <c r="H20" t="n">
        <v>891.7</v>
      </c>
      <c r="I20" t="n">
        <v>1007.2</v>
      </c>
      <c r="J20" t="n">
        <v>794.2</v>
      </c>
      <c r="K20" t="n">
        <v>1094.5</v>
      </c>
      <c r="L20" t="n">
        <v>1368.3</v>
      </c>
      <c r="M20" t="n">
        <v>1373.2</v>
      </c>
      <c r="N20" t="n">
        <v>1594.8</v>
      </c>
      <c r="O20" t="n">
        <v>1749.8</v>
      </c>
      <c r="P20" t="n">
        <v>1640.1</v>
      </c>
      <c r="Q20" t="n">
        <v>1825.5</v>
      </c>
      <c r="R20" t="n">
        <v>2242.2</v>
      </c>
      <c r="S20" t="n">
        <v>2422.4</v>
      </c>
      <c r="T20" t="n">
        <v>2588.4</v>
      </c>
      <c r="U20" t="n">
        <v>2516.4</v>
      </c>
      <c r="V20" t="n">
        <v>2869.6</v>
      </c>
      <c r="W20" t="n">
        <v>3111.9</v>
      </c>
      <c r="X20" t="n">
        <v>3265.9</v>
      </c>
      <c r="Y20" t="n">
        <v>3059.8</v>
      </c>
      <c r="Z20" t="n">
        <v>2925.4</v>
      </c>
      <c r="AA20" t="n">
        <v>2923.9</v>
      </c>
      <c r="AB20" t="n">
        <v>2813.6</v>
      </c>
      <c r="AC20" t="n">
        <v>3060.7</v>
      </c>
      <c r="AD20" t="n">
        <v>3031.9</v>
      </c>
      <c r="AE20" t="n">
        <v>3158.9</v>
      </c>
      <c r="AF20" t="n">
        <v>3804.7</v>
      </c>
    </row>
    <row r="21">
      <c r="A21" t="s">
        <v>4</v>
      </c>
      <c r="B21" t="s">
        <v>199</v>
      </c>
      <c r="C21" t="s">
        <v>131</v>
      </c>
      <c r="D21" t="s">
        <v>200</v>
      </c>
      <c r="E21" t="s">
        <v>132</v>
      </c>
      <c r="F21" t="n">
        <v>1280.3</v>
      </c>
      <c r="G21" t="n">
        <v>1225.8</v>
      </c>
      <c r="H21" t="n">
        <v>1266.8</v>
      </c>
      <c r="I21" t="n">
        <v>1478.8</v>
      </c>
      <c r="J21" t="n">
        <v>1301.4</v>
      </c>
      <c r="K21" t="n">
        <v>1684.5</v>
      </c>
      <c r="L21" t="n">
        <v>2094.4</v>
      </c>
      <c r="M21" t="n">
        <v>2144.9</v>
      </c>
      <c r="N21" t="n">
        <v>2403.7</v>
      </c>
      <c r="O21" t="n">
        <v>2658.4</v>
      </c>
      <c r="P21" t="n">
        <v>2586.4</v>
      </c>
      <c r="Q21" t="n">
        <v>2981.3</v>
      </c>
      <c r="R21" t="n">
        <v>3528</v>
      </c>
      <c r="S21" t="n">
        <v>3706.3</v>
      </c>
      <c r="T21" t="n">
        <v>3767.1</v>
      </c>
      <c r="U21" t="n">
        <v>3409.6</v>
      </c>
      <c r="V21" t="n">
        <v>3616.8</v>
      </c>
      <c r="W21" t="n">
        <v>3950.4</v>
      </c>
      <c r="X21" t="n">
        <v>4147.6</v>
      </c>
      <c r="Y21" t="n">
        <v>4012.1</v>
      </c>
      <c r="Z21" t="n">
        <v>3945.1</v>
      </c>
      <c r="AA21" t="n">
        <v>4002.5</v>
      </c>
      <c r="AB21" t="n">
        <v>4018.1</v>
      </c>
      <c r="AC21" t="n">
        <v>4374.3</v>
      </c>
      <c r="AD21" t="n">
        <v>4501.2</v>
      </c>
      <c r="AE21" t="n">
        <v>4547.2</v>
      </c>
      <c r="AF21" t="n">
        <v>5546.3</v>
      </c>
    </row>
    <row r="22">
      <c r="A22" t="s">
        <v>4</v>
      </c>
      <c r="B22" t="s">
        <v>201</v>
      </c>
      <c r="C22" t="s">
        <v>131</v>
      </c>
      <c r="D22" t="s">
        <v>202</v>
      </c>
      <c r="E22" t="s">
        <v>132</v>
      </c>
      <c r="F22" t="n">
        <v>370.1</v>
      </c>
      <c r="G22" t="n">
        <v>414.6</v>
      </c>
      <c r="H22" t="n">
        <v>375.1</v>
      </c>
      <c r="I22" t="n">
        <v>471.6</v>
      </c>
      <c r="J22" t="n">
        <v>507.2</v>
      </c>
      <c r="K22" t="n">
        <v>590</v>
      </c>
      <c r="L22" t="n">
        <v>726.1</v>
      </c>
      <c r="M22" t="n">
        <v>771.7</v>
      </c>
      <c r="N22" t="n">
        <v>808.9</v>
      </c>
      <c r="O22" t="n">
        <v>908.6</v>
      </c>
      <c r="P22" t="n">
        <v>946.3</v>
      </c>
      <c r="Q22" t="n">
        <v>1155.8</v>
      </c>
      <c r="R22" t="n">
        <v>1285.8</v>
      </c>
      <c r="S22" t="n">
        <v>1283.9</v>
      </c>
      <c r="T22" t="n">
        <v>1178.7</v>
      </c>
      <c r="U22" t="n">
        <v>893.2</v>
      </c>
      <c r="V22" t="n">
        <v>747.2</v>
      </c>
      <c r="W22" t="n">
        <v>838.5</v>
      </c>
      <c r="X22" t="n">
        <v>881.7</v>
      </c>
      <c r="Y22" t="n">
        <v>952.3</v>
      </c>
      <c r="Z22" t="n">
        <v>1019.7</v>
      </c>
      <c r="AA22" t="n">
        <v>1078.6</v>
      </c>
      <c r="AB22" t="n">
        <v>1204.5</v>
      </c>
      <c r="AC22" t="n">
        <v>1313.6</v>
      </c>
      <c r="AD22" t="n">
        <v>1469.3</v>
      </c>
      <c r="AE22" t="n">
        <v>1388.3</v>
      </c>
      <c r="AF22" t="n">
        <v>1741.6</v>
      </c>
    </row>
    <row r="23">
      <c r="A23" t="s">
        <v>4</v>
      </c>
      <c r="B23" t="s">
        <v>203</v>
      </c>
      <c r="C23" t="s">
        <v>131</v>
      </c>
      <c r="D23" t="s">
        <v>204</v>
      </c>
      <c r="E23" t="s">
        <v>132</v>
      </c>
      <c r="F23" t="n">
        <v>2923.2</v>
      </c>
      <c r="G23" t="n">
        <v>3186</v>
      </c>
      <c r="H23" t="n">
        <v>3761.5</v>
      </c>
      <c r="I23" t="n">
        <v>4596.8</v>
      </c>
      <c r="J23" t="n">
        <v>5582.9</v>
      </c>
      <c r="K23" t="n">
        <v>6931</v>
      </c>
      <c r="L23" t="n">
        <v>8081.4</v>
      </c>
      <c r="M23" t="n">
        <v>8671.8</v>
      </c>
      <c r="N23" t="n">
        <v>9933.1</v>
      </c>
      <c r="O23" t="n">
        <v>11947.1</v>
      </c>
      <c r="P23" t="n">
        <v>14622</v>
      </c>
      <c r="Q23" t="n">
        <v>17365</v>
      </c>
      <c r="R23" t="n">
        <v>16062.1</v>
      </c>
      <c r="S23" t="n">
        <v>11049.2</v>
      </c>
      <c r="T23" t="n">
        <v>4170.5</v>
      </c>
      <c r="U23" t="n">
        <v>2342.3</v>
      </c>
      <c r="V23" t="n">
        <v>2069.9</v>
      </c>
      <c r="W23" t="n">
        <v>3037.4</v>
      </c>
      <c r="X23" t="n">
        <v>3813.6</v>
      </c>
      <c r="Y23" t="n">
        <v>4792.8</v>
      </c>
      <c r="Z23" t="n">
        <v>5310.8</v>
      </c>
      <c r="AA23" t="n">
        <v>6188.5</v>
      </c>
      <c r="AB23" t="n">
        <v>8000.3</v>
      </c>
      <c r="AC23" t="n">
        <v>8645.3</v>
      </c>
      <c r="AD23" t="n">
        <v>9461</v>
      </c>
      <c r="AE23" t="n">
        <v>8725.5</v>
      </c>
      <c r="AF23" t="n">
        <v>10207.9</v>
      </c>
    </row>
    <row r="24">
      <c r="A24" t="s">
        <v>4</v>
      </c>
      <c r="B24" t="s">
        <v>205</v>
      </c>
      <c r="C24" t="s">
        <v>131</v>
      </c>
      <c r="D24" t="s">
        <v>206</v>
      </c>
      <c r="E24" t="s">
        <v>132</v>
      </c>
      <c r="F24" t="n">
        <v>5362.6</v>
      </c>
      <c r="G24" t="n">
        <v>6448.2</v>
      </c>
      <c r="H24" t="n">
        <v>7444.9</v>
      </c>
      <c r="I24" t="n">
        <v>8141.8</v>
      </c>
      <c r="J24" t="n">
        <v>9099</v>
      </c>
      <c r="K24" t="n">
        <v>10526.1</v>
      </c>
      <c r="L24" t="n">
        <v>9867.3</v>
      </c>
      <c r="M24" t="n">
        <v>11088.8</v>
      </c>
      <c r="N24" t="n">
        <v>12543</v>
      </c>
      <c r="O24" t="n">
        <v>13171.4</v>
      </c>
      <c r="P24" t="n">
        <v>14900.7</v>
      </c>
      <c r="Q24" t="n">
        <v>16466.4</v>
      </c>
      <c r="R24" t="n">
        <v>18162.5</v>
      </c>
      <c r="S24" t="n">
        <v>17450.5</v>
      </c>
      <c r="T24" t="n">
        <v>14802.3</v>
      </c>
      <c r="U24" t="n">
        <v>15871</v>
      </c>
      <c r="V24" t="n">
        <v>17624.3</v>
      </c>
      <c r="W24" t="n">
        <v>18342.3</v>
      </c>
      <c r="X24" t="n">
        <v>20067</v>
      </c>
      <c r="Y24" t="n">
        <v>20090.5</v>
      </c>
      <c r="Z24" t="n">
        <v>20375.1</v>
      </c>
      <c r="AA24" t="n">
        <v>21949.1</v>
      </c>
      <c r="AB24" t="n">
        <v>23280.9</v>
      </c>
      <c r="AC24" t="n">
        <v>24531.6</v>
      </c>
      <c r="AD24" t="n">
        <v>24734.1</v>
      </c>
      <c r="AE24" t="n">
        <v>26217.1</v>
      </c>
      <c r="AF24" t="n">
        <v>28647.9</v>
      </c>
    </row>
    <row r="25">
      <c r="A25" t="s">
        <v>4</v>
      </c>
      <c r="B25" t="s">
        <v>207</v>
      </c>
      <c r="C25" t="s">
        <v>131</v>
      </c>
      <c r="D25" t="s">
        <v>208</v>
      </c>
      <c r="E25" t="s">
        <v>132</v>
      </c>
      <c r="F25" t="n">
        <v>645.1</v>
      </c>
      <c r="G25" t="n">
        <v>717.5</v>
      </c>
      <c r="H25" t="n">
        <v>826.7</v>
      </c>
      <c r="I25" t="n">
        <v>906.4</v>
      </c>
      <c r="J25" t="n">
        <v>1037.3</v>
      </c>
      <c r="K25" t="n">
        <v>1261.5</v>
      </c>
      <c r="L25" t="n">
        <v>1207.8</v>
      </c>
      <c r="M25" t="n">
        <v>1205.3</v>
      </c>
      <c r="N25" t="n">
        <v>1214.6</v>
      </c>
      <c r="O25" t="n">
        <v>1400.9</v>
      </c>
      <c r="P25" t="n">
        <v>1606.1</v>
      </c>
      <c r="Q25" t="n">
        <v>1750.1</v>
      </c>
      <c r="R25" t="n">
        <v>1902.6</v>
      </c>
      <c r="S25" t="n">
        <v>1501.1</v>
      </c>
      <c r="T25" t="n">
        <v>1112.1</v>
      </c>
      <c r="U25" t="n">
        <v>1149.4</v>
      </c>
      <c r="V25" t="n">
        <v>1082</v>
      </c>
      <c r="W25" t="n">
        <v>1065.1</v>
      </c>
      <c r="X25" t="n">
        <v>1230.5</v>
      </c>
      <c r="Y25" t="n">
        <v>1386.4</v>
      </c>
      <c r="Z25" t="n">
        <v>1441.3</v>
      </c>
      <c r="AA25" t="n">
        <v>1645.1</v>
      </c>
      <c r="AB25" t="n">
        <v>1691.5</v>
      </c>
      <c r="AC25" t="n">
        <v>1707.2</v>
      </c>
      <c r="AD25" t="n">
        <v>1787.9</v>
      </c>
      <c r="AE25" t="n">
        <v>1756.8</v>
      </c>
      <c r="AF25" t="n">
        <v>1880.3</v>
      </c>
    </row>
    <row r="26">
      <c r="A26" t="s">
        <v>4</v>
      </c>
      <c r="B26" t="s">
        <v>209</v>
      </c>
      <c r="C26" t="s">
        <v>131</v>
      </c>
      <c r="D26" t="s">
        <v>210</v>
      </c>
      <c r="E26" t="s">
        <v>132</v>
      </c>
      <c r="F26" t="n">
        <v>1944.9</v>
      </c>
      <c r="G26" t="n">
        <v>2627.9</v>
      </c>
      <c r="H26" t="n">
        <v>3081.9</v>
      </c>
      <c r="I26" t="n">
        <v>3601.3</v>
      </c>
      <c r="J26" t="n">
        <v>3880</v>
      </c>
      <c r="K26" t="n">
        <v>4740.9</v>
      </c>
      <c r="L26" t="n">
        <v>3851.1</v>
      </c>
      <c r="M26" t="n">
        <v>4909.9</v>
      </c>
      <c r="N26" t="n">
        <v>5614.6</v>
      </c>
      <c r="O26" t="n">
        <v>5679</v>
      </c>
      <c r="P26" t="n">
        <v>6634.7</v>
      </c>
      <c r="Q26" t="n">
        <v>7300.1</v>
      </c>
      <c r="R26" t="n">
        <v>7215.2</v>
      </c>
      <c r="S26" t="n">
        <v>7262.1</v>
      </c>
      <c r="T26" t="n">
        <v>5374.1</v>
      </c>
      <c r="U26" t="n">
        <v>7137.2</v>
      </c>
      <c r="V26" t="n">
        <v>8867.7</v>
      </c>
      <c r="W26" t="n">
        <v>9227.8</v>
      </c>
      <c r="X26" t="n">
        <v>10361</v>
      </c>
      <c r="Y26" t="n">
        <v>10200</v>
      </c>
      <c r="Z26" t="n">
        <v>10476.9</v>
      </c>
      <c r="AA26" t="n">
        <v>11240.9</v>
      </c>
      <c r="AB26" t="n">
        <v>12176.3</v>
      </c>
      <c r="AC26" t="n">
        <v>12702.1</v>
      </c>
      <c r="AD26" t="n">
        <v>13308.4</v>
      </c>
      <c r="AE26" t="n">
        <v>14848.4</v>
      </c>
      <c r="AF26" t="n">
        <v>16382.2</v>
      </c>
    </row>
    <row r="27">
      <c r="A27" t="s">
        <v>4</v>
      </c>
      <c r="B27" t="s">
        <v>211</v>
      </c>
      <c r="C27" t="s">
        <v>131</v>
      </c>
      <c r="D27" t="s">
        <v>212</v>
      </c>
      <c r="E27" t="s">
        <v>132</v>
      </c>
      <c r="F27" t="n">
        <v>2772.6</v>
      </c>
      <c r="G27" t="n">
        <v>3102.8</v>
      </c>
      <c r="H27" t="n">
        <v>3536.3</v>
      </c>
      <c r="I27" t="n">
        <v>3634.1</v>
      </c>
      <c r="J27" t="n">
        <v>4181.7</v>
      </c>
      <c r="K27" t="n">
        <v>4523.7</v>
      </c>
      <c r="L27" t="n">
        <v>4808.4</v>
      </c>
      <c r="M27" t="n">
        <v>4973.6</v>
      </c>
      <c r="N27" t="n">
        <v>5713.8</v>
      </c>
      <c r="O27" t="n">
        <v>6091.5</v>
      </c>
      <c r="P27" t="n">
        <v>6659.9</v>
      </c>
      <c r="Q27" t="n">
        <v>7416.2</v>
      </c>
      <c r="R27" t="n">
        <v>9044.7</v>
      </c>
      <c r="S27" t="n">
        <v>8687.3</v>
      </c>
      <c r="T27" t="n">
        <v>8316.1</v>
      </c>
      <c r="U27" t="n">
        <v>7584.4</v>
      </c>
      <c r="V27" t="n">
        <v>7674.6</v>
      </c>
      <c r="W27" t="n">
        <v>8049.4</v>
      </c>
      <c r="X27" t="n">
        <v>8475.5</v>
      </c>
      <c r="Y27" t="n">
        <v>8504.1</v>
      </c>
      <c r="Z27" t="n">
        <v>8456.9</v>
      </c>
      <c r="AA27" t="n">
        <v>9063.1</v>
      </c>
      <c r="AB27" t="n">
        <v>9413.1</v>
      </c>
      <c r="AC27" t="n">
        <v>10122.3</v>
      </c>
      <c r="AD27" t="n">
        <v>9637.8</v>
      </c>
      <c r="AE27" t="n">
        <v>9611.9</v>
      </c>
      <c r="AF27" t="n">
        <v>10385.4</v>
      </c>
    </row>
    <row r="28">
      <c r="A28" t="s">
        <v>4</v>
      </c>
      <c r="B28" t="s">
        <v>213</v>
      </c>
      <c r="C28" t="s">
        <v>131</v>
      </c>
      <c r="D28" t="s">
        <v>214</v>
      </c>
      <c r="E28" t="s">
        <v>132</v>
      </c>
      <c r="F28" t="n">
        <v>1725.1</v>
      </c>
      <c r="G28" t="n">
        <v>1926.2</v>
      </c>
      <c r="H28" t="n">
        <v>2251.1</v>
      </c>
      <c r="I28" t="n">
        <v>2703.6</v>
      </c>
      <c r="J28" t="n">
        <v>3056.6</v>
      </c>
      <c r="K28" t="n">
        <v>3636.4</v>
      </c>
      <c r="L28" t="n">
        <v>3914.3</v>
      </c>
      <c r="M28" t="n">
        <v>4144.1</v>
      </c>
      <c r="N28" t="n">
        <v>4596.6</v>
      </c>
      <c r="O28" t="n">
        <v>4964.8</v>
      </c>
      <c r="P28" t="n">
        <v>5294.3</v>
      </c>
      <c r="Q28" t="n">
        <v>5864.4</v>
      </c>
      <c r="R28" t="n">
        <v>6371.6</v>
      </c>
      <c r="S28" t="n">
        <v>5869.2</v>
      </c>
      <c r="T28" t="n">
        <v>6151.5</v>
      </c>
      <c r="U28" t="n">
        <v>5684.4</v>
      </c>
      <c r="V28" t="n">
        <v>5709.5</v>
      </c>
      <c r="W28" t="n">
        <v>5668.1</v>
      </c>
      <c r="X28" t="n">
        <v>5896.7</v>
      </c>
      <c r="Y28" t="n">
        <v>6280.8</v>
      </c>
      <c r="Z28" t="n">
        <v>6655.2</v>
      </c>
      <c r="AA28" t="n">
        <v>6796.9</v>
      </c>
      <c r="AB28" t="n">
        <v>6998.1</v>
      </c>
      <c r="AC28" t="n">
        <v>6372.7</v>
      </c>
      <c r="AD28" t="n">
        <v>7125.2</v>
      </c>
      <c r="AE28" t="n">
        <v>3737.3</v>
      </c>
      <c r="AF28" t="n">
        <v>4912.3</v>
      </c>
    </row>
    <row r="29">
      <c r="A29" t="s">
        <v>4</v>
      </c>
      <c r="B29" t="s">
        <v>215</v>
      </c>
      <c r="C29" t="s">
        <v>131</v>
      </c>
      <c r="D29" t="s">
        <v>216</v>
      </c>
      <c r="E29" t="s">
        <v>132</v>
      </c>
      <c r="F29" t="n">
        <v>628.5</v>
      </c>
      <c r="G29" t="n">
        <v>714.3</v>
      </c>
      <c r="H29" t="n">
        <v>853.7</v>
      </c>
      <c r="I29" t="n">
        <v>1069.2</v>
      </c>
      <c r="J29" t="n">
        <v>1183.9</v>
      </c>
      <c r="K29" t="n">
        <v>1457.5</v>
      </c>
      <c r="L29" t="n">
        <v>1654.6</v>
      </c>
      <c r="M29" t="n">
        <v>1680.5</v>
      </c>
      <c r="N29" t="n">
        <v>1847.8</v>
      </c>
      <c r="O29" t="n">
        <v>2254.5</v>
      </c>
      <c r="P29" t="n">
        <v>2341.2</v>
      </c>
      <c r="Q29" t="n">
        <v>2400.3</v>
      </c>
      <c r="R29" t="n">
        <v>2628.5</v>
      </c>
      <c r="S29" t="n">
        <v>2630.6</v>
      </c>
      <c r="T29" t="n">
        <v>2398.9</v>
      </c>
      <c r="U29" t="n">
        <v>2146.8</v>
      </c>
      <c r="V29" t="n">
        <v>2138.8</v>
      </c>
      <c r="W29" t="n">
        <v>2098.7</v>
      </c>
      <c r="X29" t="n">
        <v>2076.7</v>
      </c>
      <c r="Y29" t="n">
        <v>2179.9</v>
      </c>
      <c r="Z29" t="n">
        <v>2343.6</v>
      </c>
      <c r="AA29" t="n">
        <v>2378.1</v>
      </c>
      <c r="AB29" t="n">
        <v>2473.9</v>
      </c>
      <c r="AC29" t="n">
        <v>2595.2</v>
      </c>
      <c r="AD29" t="n">
        <v>2897.7</v>
      </c>
      <c r="AE29" t="n">
        <v>2607</v>
      </c>
      <c r="AF29" t="n">
        <v>2909.2</v>
      </c>
    </row>
    <row r="30">
      <c r="A30" t="s">
        <v>4</v>
      </c>
      <c r="B30" t="s">
        <v>217</v>
      </c>
      <c r="C30" t="s">
        <v>131</v>
      </c>
      <c r="D30" t="s">
        <v>218</v>
      </c>
      <c r="E30" t="s">
        <v>132</v>
      </c>
      <c r="F30" t="n">
        <v>62.2</v>
      </c>
      <c r="G30" t="n">
        <v>72.9</v>
      </c>
      <c r="H30" t="n">
        <v>87.7</v>
      </c>
      <c r="I30" t="n">
        <v>120.6</v>
      </c>
      <c r="J30" t="n">
        <v>138.4</v>
      </c>
      <c r="K30" t="n">
        <v>153.1</v>
      </c>
      <c r="L30" t="n">
        <v>162</v>
      </c>
      <c r="M30" t="n">
        <v>197.5</v>
      </c>
      <c r="N30" t="n">
        <v>208.7</v>
      </c>
      <c r="O30" t="n">
        <v>252.4</v>
      </c>
      <c r="P30" t="n">
        <v>157.1</v>
      </c>
      <c r="Q30" t="n">
        <v>153.6</v>
      </c>
      <c r="R30" t="n">
        <v>186.8</v>
      </c>
      <c r="S30" t="n">
        <v>90.5</v>
      </c>
      <c r="T30" t="n">
        <v>159.9</v>
      </c>
      <c r="U30" t="n">
        <v>103</v>
      </c>
      <c r="V30" t="n">
        <v>76.1</v>
      </c>
      <c r="W30" t="n">
        <v>74.3</v>
      </c>
      <c r="X30" t="n">
        <v>86.5</v>
      </c>
      <c r="Y30" t="n">
        <v>85.3</v>
      </c>
      <c r="Z30" t="n">
        <v>80.5</v>
      </c>
      <c r="AA30" t="n">
        <v>74</v>
      </c>
      <c r="AB30" t="n">
        <v>72.1</v>
      </c>
      <c r="AC30" t="n">
        <v>64.7</v>
      </c>
      <c r="AD30" t="n">
        <v>72.2</v>
      </c>
      <c r="AE30" t="n">
        <v>57.6</v>
      </c>
      <c r="AF30" t="n">
        <v>64.7</v>
      </c>
    </row>
    <row r="31">
      <c r="A31" t="s">
        <v>4</v>
      </c>
      <c r="B31" t="s">
        <v>219</v>
      </c>
      <c r="C31" t="s">
        <v>131</v>
      </c>
      <c r="D31" t="s">
        <v>220</v>
      </c>
      <c r="E31" t="s">
        <v>132</v>
      </c>
      <c r="F31" t="n">
        <v>314</v>
      </c>
      <c r="G31" t="n">
        <v>325.8</v>
      </c>
      <c r="H31" t="n">
        <v>381.2</v>
      </c>
      <c r="I31" t="n">
        <v>508</v>
      </c>
      <c r="J31" t="n">
        <v>643.1</v>
      </c>
      <c r="K31" t="n">
        <v>713.3</v>
      </c>
      <c r="L31" t="n">
        <v>540.6</v>
      </c>
      <c r="M31" t="n">
        <v>774.6</v>
      </c>
      <c r="N31" t="n">
        <v>794</v>
      </c>
      <c r="O31" t="n">
        <v>842.9</v>
      </c>
      <c r="P31" t="n">
        <v>840.2</v>
      </c>
      <c r="Q31" t="n">
        <v>1085.5</v>
      </c>
      <c r="R31" t="n">
        <v>1349.3</v>
      </c>
      <c r="S31" t="n">
        <v>847.8</v>
      </c>
      <c r="T31" t="n">
        <v>1386.2</v>
      </c>
      <c r="U31" t="n">
        <v>1443.3</v>
      </c>
      <c r="V31" t="n">
        <v>1353.2</v>
      </c>
      <c r="W31" t="n">
        <v>1403.5</v>
      </c>
      <c r="X31" t="n">
        <v>1448.1</v>
      </c>
      <c r="Y31" t="n">
        <v>1799.5</v>
      </c>
      <c r="Z31"/>
      <c r="AA31"/>
      <c r="AB31"/>
      <c r="AC31"/>
      <c r="AD31"/>
      <c r="AE31"/>
      <c r="AF31"/>
    </row>
    <row r="32">
      <c r="A32" t="s">
        <v>4</v>
      </c>
      <c r="B32" t="s">
        <v>221</v>
      </c>
      <c r="C32" t="s">
        <v>131</v>
      </c>
      <c r="D32" t="s">
        <v>222</v>
      </c>
      <c r="E32" t="s">
        <v>132</v>
      </c>
      <c r="F32" t="n">
        <v>245</v>
      </c>
      <c r="G32" t="n">
        <v>278.2</v>
      </c>
      <c r="H32" t="n">
        <v>323.7</v>
      </c>
      <c r="I32" t="n">
        <v>401.5</v>
      </c>
      <c r="J32" t="n">
        <v>465.4</v>
      </c>
      <c r="K32" t="n">
        <v>632.5</v>
      </c>
      <c r="L32" t="n">
        <v>778.7</v>
      </c>
      <c r="M32" t="n">
        <v>688.7</v>
      </c>
      <c r="N32" t="n">
        <v>959.4</v>
      </c>
      <c r="O32" t="n">
        <v>934.4</v>
      </c>
      <c r="P32" t="n">
        <v>1148.3</v>
      </c>
      <c r="Q32" t="n">
        <v>1240.8</v>
      </c>
      <c r="R32" t="n">
        <v>1226</v>
      </c>
      <c r="S32" t="n">
        <v>1405.3</v>
      </c>
      <c r="T32" t="n">
        <v>1354.3</v>
      </c>
      <c r="U32" t="n">
        <v>1136.2</v>
      </c>
      <c r="V32" t="n">
        <v>1357</v>
      </c>
      <c r="W32" t="n">
        <v>1359.7</v>
      </c>
      <c r="X32" t="n">
        <v>1526.1</v>
      </c>
      <c r="Y32" t="n">
        <v>1423.2</v>
      </c>
      <c r="Z32"/>
      <c r="AA32"/>
      <c r="AB32"/>
      <c r="AC32"/>
      <c r="AD32"/>
      <c r="AE32"/>
      <c r="AF32"/>
    </row>
    <row r="33">
      <c r="A33" t="s">
        <v>4</v>
      </c>
      <c r="B33" t="s">
        <v>223</v>
      </c>
      <c r="C33" t="s">
        <v>131</v>
      </c>
      <c r="D33" t="s">
        <v>224</v>
      </c>
      <c r="E33" t="s">
        <v>132</v>
      </c>
      <c r="F33" t="n">
        <v>475.4</v>
      </c>
      <c r="G33" t="n">
        <v>535</v>
      </c>
      <c r="H33" t="n">
        <v>604.8</v>
      </c>
      <c r="I33" t="n">
        <v>604.3</v>
      </c>
      <c r="J33" t="n">
        <v>625.8</v>
      </c>
      <c r="K33" t="n">
        <v>680</v>
      </c>
      <c r="L33" t="n">
        <v>778.4</v>
      </c>
      <c r="M33" t="n">
        <v>802.8</v>
      </c>
      <c r="N33" t="n">
        <v>786.7</v>
      </c>
      <c r="O33" t="n">
        <v>680.6</v>
      </c>
      <c r="P33" t="n">
        <v>807.5</v>
      </c>
      <c r="Q33" t="n">
        <v>984.2</v>
      </c>
      <c r="R33" t="n">
        <v>981</v>
      </c>
      <c r="S33" t="n">
        <v>895</v>
      </c>
      <c r="T33" t="n">
        <v>852.2</v>
      </c>
      <c r="U33" t="n">
        <v>855.1</v>
      </c>
      <c r="V33" t="n">
        <v>784.4</v>
      </c>
      <c r="W33" t="n">
        <v>731.9</v>
      </c>
      <c r="X33" t="n">
        <v>759.3</v>
      </c>
      <c r="Y33" t="n">
        <v>792.9</v>
      </c>
      <c r="Z33" t="n">
        <v>768.4</v>
      </c>
      <c r="AA33" t="n">
        <v>791.1</v>
      </c>
      <c r="AB33" t="n">
        <v>815.3</v>
      </c>
      <c r="AC33" t="n">
        <v>871</v>
      </c>
      <c r="AD33" t="n">
        <v>933.7</v>
      </c>
      <c r="AE33" t="n">
        <v>982.9</v>
      </c>
      <c r="AF33" t="n">
        <v>1075.6</v>
      </c>
    </row>
    <row r="34">
      <c r="A34" t="s">
        <v>4</v>
      </c>
      <c r="B34" t="s">
        <v>225</v>
      </c>
      <c r="C34" t="s">
        <v>131</v>
      </c>
      <c r="D34" t="s">
        <v>226</v>
      </c>
      <c r="E34" t="s">
        <v>132</v>
      </c>
      <c r="F34" t="n">
        <v>974.1</v>
      </c>
      <c r="G34" t="n">
        <v>1089</v>
      </c>
      <c r="H34" t="n">
        <v>1369.9</v>
      </c>
      <c r="I34" t="n">
        <v>1964.1</v>
      </c>
      <c r="J34" t="n">
        <v>2132.7</v>
      </c>
      <c r="K34" t="n">
        <v>2662.7</v>
      </c>
      <c r="L34" t="n">
        <v>2795.4</v>
      </c>
      <c r="M34" t="n">
        <v>2812</v>
      </c>
      <c r="N34" t="n">
        <v>3124.2</v>
      </c>
      <c r="O34" t="n">
        <v>3177.5</v>
      </c>
      <c r="P34" t="n">
        <v>3485.8</v>
      </c>
      <c r="Q34" t="n">
        <v>3759.8</v>
      </c>
      <c r="R34" t="n">
        <v>4330.1</v>
      </c>
      <c r="S34" t="n">
        <v>3933.8</v>
      </c>
      <c r="T34" t="n">
        <v>3685.6</v>
      </c>
      <c r="U34" t="n">
        <v>3335.7</v>
      </c>
      <c r="V34" t="n">
        <v>3376.3</v>
      </c>
      <c r="W34" t="n">
        <v>3548</v>
      </c>
      <c r="X34" t="n">
        <v>3809.1</v>
      </c>
      <c r="Y34" t="n">
        <v>4040</v>
      </c>
      <c r="Z34" t="n">
        <v>4474.1</v>
      </c>
      <c r="AA34" t="n">
        <v>4768.7</v>
      </c>
      <c r="AB34" t="n">
        <v>5257.9</v>
      </c>
      <c r="AC34" t="n">
        <v>5587.3</v>
      </c>
      <c r="AD34" t="n">
        <v>5710</v>
      </c>
      <c r="AE34" t="n">
        <v>2841.2</v>
      </c>
      <c r="AF34" t="n">
        <v>3861.3</v>
      </c>
    </row>
    <row r="35">
      <c r="A35" t="s">
        <v>4</v>
      </c>
      <c r="B35" t="s">
        <v>227</v>
      </c>
      <c r="C35" t="s">
        <v>131</v>
      </c>
      <c r="D35" t="s">
        <v>228</v>
      </c>
      <c r="E35" t="s">
        <v>132</v>
      </c>
      <c r="F35" t="n">
        <v>3249.7</v>
      </c>
      <c r="G35" t="n">
        <v>3585.9</v>
      </c>
      <c r="H35" t="n">
        <v>4619.6</v>
      </c>
      <c r="I35" t="n">
        <v>5712.1</v>
      </c>
      <c r="J35" t="n">
        <v>6913.9</v>
      </c>
      <c r="K35" t="n">
        <v>7764.2</v>
      </c>
      <c r="L35" t="n">
        <v>7843.9</v>
      </c>
      <c r="M35" t="n">
        <v>7784.8</v>
      </c>
      <c r="N35" t="n">
        <v>8438.3</v>
      </c>
      <c r="O35" t="n">
        <v>9495.5</v>
      </c>
      <c r="P35" t="n">
        <v>10238.2</v>
      </c>
      <c r="Q35" t="n">
        <v>10294.9</v>
      </c>
      <c r="R35" t="n">
        <v>11382.1</v>
      </c>
      <c r="S35" t="n">
        <v>12751.7</v>
      </c>
      <c r="T35" t="n">
        <v>12752.4</v>
      </c>
      <c r="U35" t="n">
        <v>14008.4</v>
      </c>
      <c r="V35" t="n">
        <v>14313.2</v>
      </c>
      <c r="W35" t="n">
        <v>15763.2</v>
      </c>
      <c r="X35" t="n">
        <v>17199.3</v>
      </c>
      <c r="Y35" t="n">
        <v>19476.2</v>
      </c>
      <c r="Z35" t="n">
        <v>23441</v>
      </c>
      <c r="AA35" t="n">
        <v>25384.7</v>
      </c>
      <c r="AB35" t="n">
        <v>32074.8</v>
      </c>
      <c r="AC35" t="n">
        <v>40088.6</v>
      </c>
      <c r="AD35" t="n">
        <v>51171.4</v>
      </c>
      <c r="AE35" t="n">
        <v>60896.2</v>
      </c>
      <c r="AF35" t="n">
        <v>78877.8</v>
      </c>
    </row>
    <row r="36">
      <c r="A36" t="s">
        <v>4</v>
      </c>
      <c r="B36" t="s">
        <v>229</v>
      </c>
      <c r="C36" t="s">
        <v>131</v>
      </c>
      <c r="D36" t="s">
        <v>230</v>
      </c>
      <c r="E36" t="s">
        <v>132</v>
      </c>
      <c r="F36" t="n">
        <v>1207.4</v>
      </c>
      <c r="G36" t="n">
        <v>1279.2</v>
      </c>
      <c r="H36" t="n">
        <v>1685.7</v>
      </c>
      <c r="I36" t="n">
        <v>2137.2</v>
      </c>
      <c r="J36" t="n">
        <v>2604.5</v>
      </c>
      <c r="K36" t="n">
        <v>3152.8</v>
      </c>
      <c r="L36" t="n">
        <v>3242.6</v>
      </c>
      <c r="M36" t="n">
        <v>3089.7</v>
      </c>
      <c r="N36" t="n">
        <v>3114.8</v>
      </c>
      <c r="O36" t="n">
        <v>3843.2</v>
      </c>
      <c r="P36" t="n">
        <v>3737.1</v>
      </c>
      <c r="Q36" t="n">
        <v>4162.1</v>
      </c>
      <c r="R36" t="n">
        <v>5024.8</v>
      </c>
      <c r="S36" t="n">
        <v>5051.3</v>
      </c>
      <c r="T36" t="n">
        <v>5848.2</v>
      </c>
      <c r="U36" t="n">
        <v>7280.8</v>
      </c>
      <c r="V36" t="n">
        <v>7878.5</v>
      </c>
      <c r="W36" t="n">
        <v>8612.8</v>
      </c>
      <c r="X36" t="n">
        <v>9385.9</v>
      </c>
      <c r="Y36" t="n">
        <v>10797.6</v>
      </c>
      <c r="Z36"/>
      <c r="AA36"/>
      <c r="AB36"/>
      <c r="AC36"/>
      <c r="AD36"/>
      <c r="AE36"/>
      <c r="AF36"/>
    </row>
    <row r="37">
      <c r="A37" t="s">
        <v>4</v>
      </c>
      <c r="B37" t="s">
        <v>231</v>
      </c>
      <c r="C37" t="s">
        <v>131</v>
      </c>
      <c r="D37" t="s">
        <v>232</v>
      </c>
      <c r="E37" t="s">
        <v>132</v>
      </c>
      <c r="F37" t="n">
        <v>1320.6</v>
      </c>
      <c r="G37" t="n">
        <v>1507</v>
      </c>
      <c r="H37" t="n">
        <v>1795.4</v>
      </c>
      <c r="I37" t="n">
        <v>2058.7</v>
      </c>
      <c r="J37" t="n">
        <v>2293.8</v>
      </c>
      <c r="K37" t="n">
        <v>2307.5</v>
      </c>
      <c r="L37" t="n">
        <v>1797.8</v>
      </c>
      <c r="M37" t="n">
        <v>1645</v>
      </c>
      <c r="N37" t="n">
        <v>2192.4</v>
      </c>
      <c r="O37" t="n">
        <v>2440.4</v>
      </c>
      <c r="P37" t="n">
        <v>2613</v>
      </c>
      <c r="Q37" t="n">
        <v>2171.2</v>
      </c>
      <c r="R37" t="n">
        <v>2246.5</v>
      </c>
      <c r="S37" t="n">
        <v>2765.4</v>
      </c>
      <c r="T37" t="n">
        <v>2587.8</v>
      </c>
      <c r="U37" t="n">
        <v>2260.6</v>
      </c>
      <c r="V37" t="n">
        <v>2203.4</v>
      </c>
      <c r="W37" t="n">
        <v>2031.3</v>
      </c>
      <c r="X37" t="n">
        <v>2063.1</v>
      </c>
      <c r="Y37" t="n">
        <v>1918.2</v>
      </c>
      <c r="Z37" t="n">
        <v>1835.7</v>
      </c>
      <c r="AA37" t="n">
        <v>1893.4</v>
      </c>
      <c r="AB37" t="n">
        <v>2820.5</v>
      </c>
      <c r="AC37" t="n">
        <v>3106.8</v>
      </c>
      <c r="AD37" t="n">
        <v>3290.8</v>
      </c>
      <c r="AE37" t="n">
        <v>3390.6</v>
      </c>
      <c r="AF37" t="n">
        <v>3808</v>
      </c>
    </row>
    <row r="38">
      <c r="A38" t="s">
        <v>4</v>
      </c>
      <c r="B38" t="s">
        <v>233</v>
      </c>
      <c r="C38" t="s">
        <v>131</v>
      </c>
      <c r="D38" t="s">
        <v>234</v>
      </c>
      <c r="E38" t="s">
        <v>132</v>
      </c>
      <c r="F38" t="n">
        <v>721.7</v>
      </c>
      <c r="G38" t="n">
        <v>799.7</v>
      </c>
      <c r="H38" t="n">
        <v>1138.5</v>
      </c>
      <c r="I38" t="n">
        <v>1516.2</v>
      </c>
      <c r="J38" t="n">
        <v>2015.6</v>
      </c>
      <c r="K38" t="n">
        <v>2303.9</v>
      </c>
      <c r="L38" t="n">
        <v>2803.5</v>
      </c>
      <c r="M38" t="n">
        <v>3050.1</v>
      </c>
      <c r="N38" t="n">
        <v>3131.1</v>
      </c>
      <c r="O38" t="n">
        <v>3211.9</v>
      </c>
      <c r="P38" t="n">
        <v>3888.1</v>
      </c>
      <c r="Q38" t="n">
        <v>3961.6</v>
      </c>
      <c r="R38" t="n">
        <v>4110.8</v>
      </c>
      <c r="S38" t="n">
        <v>4935</v>
      </c>
      <c r="T38" t="n">
        <v>4316.4</v>
      </c>
      <c r="U38" t="n">
        <v>4467</v>
      </c>
      <c r="V38" t="n">
        <v>4231.3</v>
      </c>
      <c r="W38" t="n">
        <v>5119.1</v>
      </c>
      <c r="X38" t="n">
        <v>5750.3</v>
      </c>
      <c r="Y38" t="n">
        <v>6760.4</v>
      </c>
      <c r="Z38"/>
      <c r="AA38"/>
      <c r="AB38"/>
      <c r="AC38"/>
      <c r="AD38"/>
      <c r="AE38"/>
      <c r="AF38"/>
    </row>
    <row r="39">
      <c r="A39" t="s">
        <v>4</v>
      </c>
      <c r="B39" t="s">
        <v>235</v>
      </c>
      <c r="C39" t="s">
        <v>131</v>
      </c>
      <c r="D39" t="s">
        <v>236</v>
      </c>
      <c r="E39" t="s">
        <v>132</v>
      </c>
      <c r="F39" t="n">
        <v>4155.5</v>
      </c>
      <c r="G39" t="n">
        <v>3992.5</v>
      </c>
      <c r="H39" t="n">
        <v>4043</v>
      </c>
      <c r="I39" t="n">
        <v>4910.1</v>
      </c>
      <c r="J39" t="n">
        <v>5934.6</v>
      </c>
      <c r="K39" t="n">
        <v>7200.7</v>
      </c>
      <c r="L39" t="n">
        <v>8151.2</v>
      </c>
      <c r="M39" t="n">
        <v>8866.9</v>
      </c>
      <c r="N39" t="n">
        <v>11444.2</v>
      </c>
      <c r="O39" t="n">
        <v>12829.8</v>
      </c>
      <c r="P39" t="n">
        <v>14604.3</v>
      </c>
      <c r="Q39" t="n">
        <v>15869.5</v>
      </c>
      <c r="R39" t="n">
        <v>17406.9</v>
      </c>
      <c r="S39" t="n">
        <v>16421.1</v>
      </c>
      <c r="T39" t="n">
        <v>16043.7</v>
      </c>
      <c r="U39" t="n">
        <v>17479.2</v>
      </c>
      <c r="V39" t="n">
        <v>15608.8</v>
      </c>
      <c r="W39" t="n">
        <v>15019.6</v>
      </c>
      <c r="X39" t="n">
        <v>13377.2</v>
      </c>
      <c r="Y39" t="n">
        <v>15674.4</v>
      </c>
      <c r="Z39" t="n">
        <v>16731.4</v>
      </c>
      <c r="AA39" t="n">
        <v>15368.4</v>
      </c>
      <c r="AB39" t="n">
        <v>16345.2</v>
      </c>
      <c r="AC39" t="n">
        <v>17035.3</v>
      </c>
      <c r="AD39" t="n">
        <v>17039.2</v>
      </c>
      <c r="AE39" t="n">
        <v>16006.6</v>
      </c>
      <c r="AF39" t="n">
        <v>20365.4</v>
      </c>
    </row>
    <row r="40">
      <c r="A40" t="s">
        <v>4</v>
      </c>
      <c r="B40" t="s">
        <v>237</v>
      </c>
      <c r="C40" t="s">
        <v>131</v>
      </c>
      <c r="D40" t="s">
        <v>238</v>
      </c>
      <c r="E40" t="s">
        <v>132</v>
      </c>
      <c r="F40" t="n">
        <v>2780.5</v>
      </c>
      <c r="G40" t="n">
        <v>3193.3</v>
      </c>
      <c r="H40" t="n">
        <v>3968.1</v>
      </c>
      <c r="I40" t="n">
        <v>4979.7</v>
      </c>
      <c r="J40" t="n">
        <v>5678.8</v>
      </c>
      <c r="K40" t="n">
        <v>6867.8</v>
      </c>
      <c r="L40" t="n">
        <v>8046.4</v>
      </c>
      <c r="M40" t="n">
        <v>9264.7</v>
      </c>
      <c r="N40" t="n">
        <v>9642.5</v>
      </c>
      <c r="O40" t="n">
        <v>9735.4</v>
      </c>
      <c r="P40" t="n">
        <v>10014.1</v>
      </c>
      <c r="Q40" t="n">
        <v>11083.1</v>
      </c>
      <c r="R40" t="n">
        <v>12884.2</v>
      </c>
      <c r="S40" t="n">
        <v>12789.5</v>
      </c>
      <c r="T40" t="n">
        <v>8275.9</v>
      </c>
      <c r="U40" t="n">
        <v>9854.4</v>
      </c>
      <c r="V40" t="n">
        <v>10280.5</v>
      </c>
      <c r="W40" t="n">
        <v>11321.9</v>
      </c>
      <c r="X40" t="n">
        <v>12066.3</v>
      </c>
      <c r="Y40" t="n">
        <v>13258.6</v>
      </c>
      <c r="Z40" t="n">
        <v>14617.5</v>
      </c>
      <c r="AA40" t="n">
        <v>15582</v>
      </c>
      <c r="AB40" t="n">
        <v>16705.1</v>
      </c>
      <c r="AC40" t="n">
        <v>18868.8</v>
      </c>
      <c r="AD40" t="n">
        <v>20316.8</v>
      </c>
      <c r="AE40" t="n">
        <v>20371.4</v>
      </c>
      <c r="AF40" t="n">
        <v>22257.9</v>
      </c>
    </row>
    <row r="41">
      <c r="A41" t="s">
        <v>4</v>
      </c>
      <c r="B41" t="s">
        <v>239</v>
      </c>
      <c r="C41" t="s">
        <v>131</v>
      </c>
      <c r="D41" t="s">
        <v>240</v>
      </c>
      <c r="E41" t="s">
        <v>132</v>
      </c>
      <c r="F41" t="n">
        <v>2028.1</v>
      </c>
      <c r="G41" t="n">
        <v>2350.8</v>
      </c>
      <c r="H41" t="n">
        <v>2987.7</v>
      </c>
      <c r="I41" t="n">
        <v>3744.6</v>
      </c>
      <c r="J41" t="n">
        <v>4282.6</v>
      </c>
      <c r="K41" t="n">
        <v>5359.9</v>
      </c>
      <c r="L41" t="n">
        <v>6277.4</v>
      </c>
      <c r="M41" t="n">
        <v>7181.1</v>
      </c>
      <c r="N41" t="n">
        <v>7608.1</v>
      </c>
      <c r="O41" t="n">
        <v>7614.7</v>
      </c>
      <c r="P41" t="n">
        <v>7715.3</v>
      </c>
      <c r="Q41" t="n">
        <v>8526.3</v>
      </c>
      <c r="R41" t="n">
        <v>9882.2</v>
      </c>
      <c r="S41" t="n">
        <v>10781.5</v>
      </c>
      <c r="T41" t="n">
        <v>7393.8</v>
      </c>
      <c r="U41" t="n">
        <v>7954.1</v>
      </c>
      <c r="V41" t="n">
        <v>8078.4</v>
      </c>
      <c r="W41" t="n">
        <v>8491.6</v>
      </c>
      <c r="X41" t="n">
        <v>8744.9</v>
      </c>
      <c r="Y41" t="n">
        <v>9526.3</v>
      </c>
      <c r="Z41" t="n">
        <v>10474.5</v>
      </c>
      <c r="AA41" t="n">
        <v>10860.7</v>
      </c>
      <c r="AB41" t="n">
        <v>11572.3</v>
      </c>
      <c r="AC41" t="n">
        <v>12712.7</v>
      </c>
      <c r="AD41" t="n">
        <v>13986.2</v>
      </c>
      <c r="AE41" t="n">
        <v>14411.2</v>
      </c>
      <c r="AF41" t="n">
        <v>15426.2</v>
      </c>
    </row>
    <row r="42">
      <c r="A42" t="s">
        <v>4</v>
      </c>
      <c r="B42" t="s">
        <v>241</v>
      </c>
      <c r="C42" t="s">
        <v>131</v>
      </c>
      <c r="D42" t="s">
        <v>242</v>
      </c>
      <c r="E42" t="s">
        <v>132</v>
      </c>
      <c r="F42" t="n">
        <v>1279.1</v>
      </c>
      <c r="G42" t="n">
        <v>1459.4</v>
      </c>
      <c r="H42" t="n">
        <v>1789.7</v>
      </c>
      <c r="I42" t="n">
        <v>2364.3</v>
      </c>
      <c r="J42" t="n">
        <v>2821.8</v>
      </c>
      <c r="K42" t="n">
        <v>3743.5</v>
      </c>
      <c r="L42" t="n">
        <v>4104</v>
      </c>
      <c r="M42" t="n">
        <v>4286.4</v>
      </c>
      <c r="N42" t="n">
        <v>4899.9</v>
      </c>
      <c r="O42" t="n">
        <v>5878.2</v>
      </c>
      <c r="P42" t="n">
        <v>6589.2</v>
      </c>
      <c r="Q42" t="n">
        <v>7190.5</v>
      </c>
      <c r="R42" t="n">
        <v>7958.2</v>
      </c>
      <c r="S42" t="n">
        <v>7565.6</v>
      </c>
      <c r="T42" t="n">
        <v>6594.5</v>
      </c>
      <c r="U42" t="n">
        <v>6392</v>
      </c>
      <c r="V42" t="n">
        <v>7391.8</v>
      </c>
      <c r="W42" t="n">
        <v>7359.3</v>
      </c>
      <c r="X42" t="n">
        <v>8097.4</v>
      </c>
      <c r="Y42" t="n">
        <v>9254.8</v>
      </c>
      <c r="Z42" t="n">
        <v>10509.5</v>
      </c>
      <c r="AA42" t="n">
        <v>10053.9</v>
      </c>
      <c r="AB42" t="n">
        <v>12964.9</v>
      </c>
      <c r="AC42" t="n">
        <v>15581.4</v>
      </c>
      <c r="AD42" t="n">
        <v>18060.2</v>
      </c>
      <c r="AE42" t="n">
        <v>21641.5</v>
      </c>
      <c r="AF42" t="n">
        <v>24389.9</v>
      </c>
    </row>
    <row r="43">
      <c r="A43" t="s">
        <v>4</v>
      </c>
      <c r="B43" t="s">
        <v>243</v>
      </c>
      <c r="C43" t="s">
        <v>131</v>
      </c>
      <c r="D43" t="s">
        <v>244</v>
      </c>
      <c r="E43" t="s">
        <v>132</v>
      </c>
      <c r="F43" t="n">
        <v>2546.7</v>
      </c>
      <c r="G43" t="n">
        <v>2891</v>
      </c>
      <c r="H43" t="n">
        <v>3470.4</v>
      </c>
      <c r="I43" t="n">
        <v>4473</v>
      </c>
      <c r="J43" t="n">
        <v>5334.9</v>
      </c>
      <c r="K43" t="n">
        <v>6244</v>
      </c>
      <c r="L43" t="n">
        <v>6923.8</v>
      </c>
      <c r="M43" t="n">
        <v>7051.1</v>
      </c>
      <c r="N43" t="n">
        <v>8171.1</v>
      </c>
      <c r="O43" t="n">
        <v>9527.1</v>
      </c>
      <c r="P43" t="n">
        <v>12181.8</v>
      </c>
      <c r="Q43" t="n">
        <v>13388.3</v>
      </c>
      <c r="R43" t="n">
        <v>14928.2</v>
      </c>
      <c r="S43" t="n">
        <v>14487.8</v>
      </c>
      <c r="T43" t="n">
        <v>13161.3</v>
      </c>
      <c r="U43" t="n">
        <v>13918.2</v>
      </c>
      <c r="V43" t="n">
        <v>15743.9</v>
      </c>
      <c r="W43" t="n">
        <v>16057.7</v>
      </c>
      <c r="X43" t="n">
        <v>19777.5</v>
      </c>
      <c r="Y43" t="n">
        <v>23943.9</v>
      </c>
      <c r="Z43" t="n">
        <v>28537.1</v>
      </c>
      <c r="AA43" t="n">
        <v>30071.6</v>
      </c>
      <c r="AB43" t="n">
        <v>34505.9</v>
      </c>
      <c r="AC43" t="n">
        <v>37749.4</v>
      </c>
      <c r="AD43" t="n">
        <v>42329.9</v>
      </c>
      <c r="AE43" t="n">
        <v>42882.5</v>
      </c>
      <c r="AF43" t="n">
        <v>44996.7</v>
      </c>
    </row>
    <row r="44">
      <c r="A44" t="s">
        <v>4</v>
      </c>
      <c r="B44" t="s">
        <v>245</v>
      </c>
      <c r="C44" t="s">
        <v>131</v>
      </c>
      <c r="D44" t="s">
        <v>246</v>
      </c>
      <c r="E44" t="s">
        <v>132</v>
      </c>
      <c r="F44" t="n">
        <v>38089.7</v>
      </c>
      <c r="G44" t="n">
        <v>41025.2</v>
      </c>
      <c r="H44" t="n">
        <v>47917</v>
      </c>
      <c r="I44" t="n">
        <v>57378.2</v>
      </c>
      <c r="J44" t="n">
        <v>65716.9</v>
      </c>
      <c r="K44" t="n">
        <v>76912.4</v>
      </c>
      <c r="L44" t="n">
        <v>85814.5</v>
      </c>
      <c r="M44" t="n">
        <v>94384.9</v>
      </c>
      <c r="N44" t="n">
        <v>100198.4</v>
      </c>
      <c r="O44" t="n">
        <v>106609.2</v>
      </c>
      <c r="P44" t="n">
        <v>116678.5</v>
      </c>
      <c r="Q44" t="n">
        <v>126442</v>
      </c>
      <c r="R44" t="n">
        <v>134699.1</v>
      </c>
      <c r="S44" t="n">
        <v>124782.5</v>
      </c>
      <c r="T44" t="n">
        <v>114381.6</v>
      </c>
      <c r="U44" t="n">
        <v>114510.9</v>
      </c>
      <c r="V44" t="n">
        <v>119865.1</v>
      </c>
      <c r="W44" t="n">
        <v>121872.6</v>
      </c>
      <c r="X44" t="n">
        <v>129122.1</v>
      </c>
      <c r="Y44" t="n">
        <v>144462.4</v>
      </c>
      <c r="Z44" t="n">
        <v>210775.6</v>
      </c>
      <c r="AA44" t="n">
        <v>211271.9</v>
      </c>
      <c r="AB44" t="n">
        <v>237837.5</v>
      </c>
      <c r="AC44" t="n">
        <v>262002</v>
      </c>
      <c r="AD44" t="n">
        <v>286482.4</v>
      </c>
      <c r="AE44" t="n">
        <v>302658.6</v>
      </c>
      <c r="AF44" t="n">
        <v>361755.7</v>
      </c>
    </row>
    <row r="45">
      <c r="A45" t="s">
        <v>4</v>
      </c>
      <c r="B45" t="s">
        <v>247</v>
      </c>
      <c r="C45" t="s">
        <v>131</v>
      </c>
      <c r="D45" t="s">
        <v>248</v>
      </c>
      <c r="E45" t="s">
        <v>132</v>
      </c>
      <c r="F45" t="n">
        <v>35034.1</v>
      </c>
      <c r="G45" t="n">
        <v>38204.2</v>
      </c>
      <c r="H45" t="n">
        <v>45205.7</v>
      </c>
      <c r="I45" t="n">
        <v>54582.9</v>
      </c>
      <c r="J45" t="n">
        <v>63330.1</v>
      </c>
      <c r="K45" t="n">
        <v>74194.7</v>
      </c>
      <c r="L45" t="n">
        <v>83380.2</v>
      </c>
      <c r="M45" t="n">
        <v>92024.9</v>
      </c>
      <c r="N45" t="n">
        <v>98043.9</v>
      </c>
      <c r="O45" t="n">
        <v>104149.5</v>
      </c>
      <c r="P45" t="n">
        <v>114918.3</v>
      </c>
      <c r="Q45" t="n">
        <v>124738.6</v>
      </c>
      <c r="R45" t="n">
        <v>132643.2</v>
      </c>
      <c r="S45" t="n">
        <v>123190.5</v>
      </c>
      <c r="T45" t="n">
        <v>113435.8</v>
      </c>
      <c r="U45" t="n">
        <v>112912.9</v>
      </c>
      <c r="V45" t="n">
        <v>117779.3</v>
      </c>
      <c r="W45" t="n">
        <v>120130.6</v>
      </c>
      <c r="X45" t="n">
        <v>127165</v>
      </c>
      <c r="Y45" t="n">
        <v>142020.5</v>
      </c>
      <c r="Z45" t="n">
        <v>208410.3</v>
      </c>
      <c r="AA45" t="n">
        <v>208716.9</v>
      </c>
      <c r="AB45" t="n">
        <v>234384.4</v>
      </c>
      <c r="AC45" t="n">
        <v>259220.8</v>
      </c>
      <c r="AD45" t="n">
        <v>283269.9</v>
      </c>
      <c r="AE45" t="n">
        <v>299067.5</v>
      </c>
      <c r="AF45" t="n">
        <v>357410.4</v>
      </c>
    </row>
    <row r="46">
      <c r="A46" t="s">
        <v>4</v>
      </c>
      <c r="B46" t="s">
        <v>249</v>
      </c>
      <c r="C46" t="s">
        <v>131</v>
      </c>
      <c r="D46" t="s">
        <v>250</v>
      </c>
      <c r="E46" t="s">
        <v>132</v>
      </c>
      <c r="F46" t="n">
        <v>1267.6</v>
      </c>
      <c r="G46" t="n">
        <v>1431.6</v>
      </c>
      <c r="H46" t="n">
        <v>1680.7</v>
      </c>
      <c r="I46" t="n">
        <v>2108.7</v>
      </c>
      <c r="J46" t="n">
        <v>2513.1</v>
      </c>
      <c r="K46" t="n">
        <v>2500.5</v>
      </c>
      <c r="L46" t="n">
        <v>2819.8</v>
      </c>
      <c r="M46" t="n">
        <v>2764.7</v>
      </c>
      <c r="N46" t="n">
        <v>3271.2</v>
      </c>
      <c r="O46" t="n">
        <v>3648.9</v>
      </c>
      <c r="P46" t="n">
        <v>5592.6</v>
      </c>
      <c r="Q46" t="n">
        <v>6197.8</v>
      </c>
      <c r="R46" t="n">
        <v>6970</v>
      </c>
      <c r="S46" t="n">
        <v>6922.2</v>
      </c>
      <c r="T46" t="n">
        <v>6566.8</v>
      </c>
      <c r="U46" t="n">
        <v>7526.2</v>
      </c>
      <c r="V46" t="n">
        <v>8352.1</v>
      </c>
      <c r="W46" t="n">
        <v>8698.4</v>
      </c>
      <c r="X46" t="n">
        <v>11680.1</v>
      </c>
      <c r="Y46" t="n">
        <v>14689.1</v>
      </c>
      <c r="Z46" t="n">
        <v>18027.6</v>
      </c>
      <c r="AA46" t="n">
        <v>20017.7</v>
      </c>
      <c r="AB46" t="n">
        <v>21541</v>
      </c>
      <c r="AC46" t="n">
        <v>22168</v>
      </c>
      <c r="AD46" t="n">
        <v>24269.7</v>
      </c>
      <c r="AE46" t="n">
        <v>21241</v>
      </c>
      <c r="AF46" t="n">
        <v>20606.8</v>
      </c>
    </row>
    <row r="47">
      <c r="A47" t="s">
        <v>4</v>
      </c>
      <c r="B47" t="s">
        <v>251</v>
      </c>
      <c r="C47" t="s">
        <v>131</v>
      </c>
      <c r="D47" t="s">
        <v>252</v>
      </c>
      <c r="E47" t="s">
        <v>132</v>
      </c>
      <c r="F47" t="n">
        <v>2736.2</v>
      </c>
      <c r="G47" t="n">
        <v>2887.7</v>
      </c>
      <c r="H47" t="n">
        <v>3108.6</v>
      </c>
      <c r="I47" t="n">
        <v>3235.3</v>
      </c>
      <c r="J47" t="n">
        <v>3421.5</v>
      </c>
      <c r="K47" t="n">
        <v>3829.7</v>
      </c>
      <c r="L47" t="n">
        <v>4305</v>
      </c>
      <c r="M47" t="n">
        <v>4818.7</v>
      </c>
      <c r="N47" t="n">
        <v>5186.3</v>
      </c>
      <c r="O47" t="n">
        <v>5760.6</v>
      </c>
      <c r="P47" t="n">
        <v>6023.5</v>
      </c>
      <c r="Q47" t="n">
        <v>6283</v>
      </c>
      <c r="R47" t="n">
        <v>6879.7</v>
      </c>
      <c r="S47" t="n">
        <v>7280.6</v>
      </c>
      <c r="T47" t="n">
        <v>6879</v>
      </c>
      <c r="U47" t="n">
        <v>6802.7</v>
      </c>
      <c r="V47" t="n">
        <v>7997</v>
      </c>
      <c r="W47" t="n">
        <v>7861.4</v>
      </c>
      <c r="X47" t="n">
        <v>7741.5</v>
      </c>
      <c r="Y47" t="n">
        <v>7865.9</v>
      </c>
      <c r="Z47" t="n">
        <v>8008.7</v>
      </c>
      <c r="AA47" t="n">
        <v>8261.8</v>
      </c>
      <c r="AB47" t="n">
        <v>8614</v>
      </c>
      <c r="AC47" t="n">
        <v>9025.9</v>
      </c>
      <c r="AD47" t="n">
        <v>9614.2</v>
      </c>
      <c r="AE47" t="n">
        <v>10145.4</v>
      </c>
      <c r="AF47" t="n">
        <v>10771.8</v>
      </c>
    </row>
    <row r="48">
      <c r="A48" t="s">
        <v>4</v>
      </c>
      <c r="B48" t="s">
        <v>253</v>
      </c>
      <c r="C48" t="s">
        <v>131</v>
      </c>
      <c r="D48" t="s">
        <v>254</v>
      </c>
      <c r="E48" t="s">
        <v>132</v>
      </c>
      <c r="F48" t="n">
        <v>8502.7</v>
      </c>
      <c r="G48" t="n">
        <v>9217.4</v>
      </c>
      <c r="H48" t="n">
        <v>9853.3</v>
      </c>
      <c r="I48" t="n">
        <v>10292.5</v>
      </c>
      <c r="J48" t="n">
        <v>11165.1</v>
      </c>
      <c r="K48" t="n">
        <v>12854.8</v>
      </c>
      <c r="L48" t="n">
        <v>14860.4</v>
      </c>
      <c r="M48" t="n">
        <v>16861.6</v>
      </c>
      <c r="N48" t="n">
        <v>19032.7</v>
      </c>
      <c r="O48" t="n">
        <v>20970.9</v>
      </c>
      <c r="P48" t="n">
        <v>22685.7</v>
      </c>
      <c r="Q48" t="n">
        <v>24857.3</v>
      </c>
      <c r="R48" t="n">
        <v>27246.3</v>
      </c>
      <c r="S48" t="n">
        <v>29536.7</v>
      </c>
      <c r="T48" t="n">
        <v>29486.8</v>
      </c>
      <c r="U48" t="n">
        <v>27923.3</v>
      </c>
      <c r="V48" t="n">
        <v>28077</v>
      </c>
      <c r="W48" t="n">
        <v>28202.5</v>
      </c>
      <c r="X48" t="n">
        <v>27853.1</v>
      </c>
      <c r="Y48" t="n">
        <v>28386.6</v>
      </c>
      <c r="Z48" t="n">
        <v>29210.4</v>
      </c>
      <c r="AA48" t="n">
        <v>30142.1</v>
      </c>
      <c r="AB48" t="n">
        <v>32006.3</v>
      </c>
      <c r="AC48" t="n">
        <v>33683.7</v>
      </c>
      <c r="AD48" t="n">
        <v>35961.1</v>
      </c>
      <c r="AE48" t="n">
        <v>36849.8</v>
      </c>
      <c r="AF48" t="n">
        <v>40025.5</v>
      </c>
    </row>
    <row r="49">
      <c r="A49" t="s">
        <v>4</v>
      </c>
      <c r="B49" t="s">
        <v>255</v>
      </c>
      <c r="C49" t="s">
        <v>131</v>
      </c>
      <c r="D49" t="s">
        <v>256</v>
      </c>
      <c r="E49" t="s">
        <v>132</v>
      </c>
      <c r="F49" t="n">
        <v>2819</v>
      </c>
      <c r="G49" t="n">
        <v>2981.2</v>
      </c>
      <c r="H49" t="n">
        <v>3133.9</v>
      </c>
      <c r="I49" t="n">
        <v>3301.3</v>
      </c>
      <c r="J49" t="n">
        <v>3466.5</v>
      </c>
      <c r="K49" t="n">
        <v>3838.9</v>
      </c>
      <c r="L49" t="n">
        <v>4438.5</v>
      </c>
      <c r="M49" t="n">
        <v>5173.6</v>
      </c>
      <c r="N49" t="n">
        <v>5896.5</v>
      </c>
      <c r="O49" t="n">
        <v>6318.6</v>
      </c>
      <c r="P49" t="n">
        <v>6949.6</v>
      </c>
      <c r="Q49" t="n">
        <v>7748.3</v>
      </c>
      <c r="R49" t="n">
        <v>8475.8</v>
      </c>
      <c r="S49" t="n">
        <v>9210.6</v>
      </c>
      <c r="T49" t="n">
        <v>9667.2</v>
      </c>
      <c r="U49" t="n">
        <v>9229.9</v>
      </c>
      <c r="V49" t="n">
        <v>7742.7</v>
      </c>
      <c r="W49" t="n">
        <v>7846.3</v>
      </c>
      <c r="X49" t="n">
        <v>7834.6</v>
      </c>
      <c r="Y49" t="n">
        <v>8132.1</v>
      </c>
      <c r="Z49" t="n">
        <v>8349.2</v>
      </c>
      <c r="AA49" t="n">
        <v>8491.6</v>
      </c>
      <c r="AB49" t="n">
        <v>9067.5</v>
      </c>
      <c r="AC49" t="n">
        <v>9560</v>
      </c>
      <c r="AD49" t="n">
        <v>10068.7</v>
      </c>
      <c r="AE49" t="n">
        <v>10174</v>
      </c>
      <c r="AF49" t="n">
        <v>10839.4</v>
      </c>
    </row>
    <row r="50">
      <c r="A50" t="s">
        <v>4</v>
      </c>
      <c r="B50" t="s">
        <v>257</v>
      </c>
      <c r="C50" t="s">
        <v>131</v>
      </c>
      <c r="D50" t="s">
        <v>258</v>
      </c>
      <c r="E50" t="s">
        <v>132</v>
      </c>
      <c r="F50" t="n">
        <v>2947.5</v>
      </c>
      <c r="G50" t="n">
        <v>3348.5</v>
      </c>
      <c r="H50" t="n">
        <v>3610.8</v>
      </c>
      <c r="I50" t="n">
        <v>3755.9</v>
      </c>
      <c r="J50" t="n">
        <v>4277.2</v>
      </c>
      <c r="K50" t="n">
        <v>5186.3</v>
      </c>
      <c r="L50" t="n">
        <v>6116.8</v>
      </c>
      <c r="M50" t="n">
        <v>6869.3</v>
      </c>
      <c r="N50" t="n">
        <v>7950</v>
      </c>
      <c r="O50" t="n">
        <v>8891.7</v>
      </c>
      <c r="P50" t="n">
        <v>9712.5</v>
      </c>
      <c r="Q50" t="n">
        <v>10825.9</v>
      </c>
      <c r="R50" t="n">
        <v>11890.8</v>
      </c>
      <c r="S50" t="n">
        <v>13045.4</v>
      </c>
      <c r="T50" t="n">
        <v>12940.7</v>
      </c>
      <c r="U50" t="n">
        <v>11890.8</v>
      </c>
      <c r="V50" t="n">
        <v>12337.3</v>
      </c>
      <c r="W50" t="n">
        <v>12494.7</v>
      </c>
      <c r="X50" t="n">
        <v>12277</v>
      </c>
      <c r="Y50" t="n">
        <v>12388.7</v>
      </c>
      <c r="Z50" t="n">
        <v>12852.5</v>
      </c>
      <c r="AA50" t="n">
        <v>13388.7</v>
      </c>
      <c r="AB50" t="n">
        <v>14324.8</v>
      </c>
      <c r="AC50" t="n">
        <v>15097.8</v>
      </c>
      <c r="AD50" t="n">
        <v>16278.2</v>
      </c>
      <c r="AE50" t="n">
        <v>16530.4</v>
      </c>
      <c r="AF50" t="n">
        <v>18414.4</v>
      </c>
    </row>
    <row r="51">
      <c r="A51" t="s">
        <v>4</v>
      </c>
      <c r="B51" t="s">
        <v>259</v>
      </c>
      <c r="C51" t="s">
        <v>131</v>
      </c>
      <c r="D51" t="s">
        <v>260</v>
      </c>
      <c r="E51" t="s">
        <v>132</v>
      </c>
      <c r="F51" t="n">
        <v>2453.4</v>
      </c>
      <c r="G51" t="n">
        <v>2783.7</v>
      </c>
      <c r="H51" t="n">
        <v>3003.8</v>
      </c>
      <c r="I51" t="n">
        <v>3088.4</v>
      </c>
      <c r="J51" t="n">
        <v>3444.4</v>
      </c>
      <c r="K51" t="n">
        <v>4417.3</v>
      </c>
      <c r="L51" t="n">
        <v>5335</v>
      </c>
      <c r="M51" t="n">
        <v>5846.2</v>
      </c>
      <c r="N51" t="n">
        <v>6632.6</v>
      </c>
      <c r="O51" t="n">
        <v>7215.2</v>
      </c>
      <c r="P51" t="n">
        <v>7858.3</v>
      </c>
      <c r="Q51" t="n">
        <v>8607.6</v>
      </c>
      <c r="R51" t="n">
        <v>9259.6</v>
      </c>
      <c r="S51" t="n">
        <v>10122.1</v>
      </c>
      <c r="T51" t="n">
        <v>10000.1</v>
      </c>
      <c r="U51" t="n">
        <v>8992.4</v>
      </c>
      <c r="V51" t="n">
        <v>9001.1</v>
      </c>
      <c r="W51" t="n">
        <v>9002.8</v>
      </c>
      <c r="X51" t="n">
        <v>8711.4</v>
      </c>
      <c r="Y51" t="n">
        <v>8677</v>
      </c>
      <c r="Z51" t="n">
        <v>8964.7</v>
      </c>
      <c r="AA51" t="n">
        <v>9393.5</v>
      </c>
      <c r="AB51" t="n">
        <v>10081.7</v>
      </c>
      <c r="AC51" t="n">
        <v>10631.3</v>
      </c>
      <c r="AD51" t="n">
        <v>11642.3</v>
      </c>
      <c r="AE51" t="n">
        <v>12066</v>
      </c>
      <c r="AF51" t="n">
        <v>13638</v>
      </c>
    </row>
    <row r="52">
      <c r="A52" t="s">
        <v>4</v>
      </c>
      <c r="B52" t="s">
        <v>261</v>
      </c>
      <c r="C52" t="s">
        <v>131</v>
      </c>
      <c r="D52" t="s">
        <v>262</v>
      </c>
      <c r="E52" t="s">
        <v>132</v>
      </c>
      <c r="F52" t="n">
        <v>494.1</v>
      </c>
      <c r="G52" t="n">
        <v>564.8</v>
      </c>
      <c r="H52" t="n">
        <v>607</v>
      </c>
      <c r="I52" t="n">
        <v>667.5</v>
      </c>
      <c r="J52" t="n">
        <v>832.8</v>
      </c>
      <c r="K52" t="n">
        <v>769</v>
      </c>
      <c r="L52" t="n">
        <v>781.8</v>
      </c>
      <c r="M52" t="n">
        <v>1023.1</v>
      </c>
      <c r="N52" t="n">
        <v>1317.4</v>
      </c>
      <c r="O52" t="n">
        <v>1676.5</v>
      </c>
      <c r="P52" t="n">
        <v>1854.2</v>
      </c>
      <c r="Q52" t="n">
        <v>2218.3</v>
      </c>
      <c r="R52" t="n">
        <v>2631.2</v>
      </c>
      <c r="S52" t="n">
        <v>2923.3</v>
      </c>
      <c r="T52" t="n">
        <v>2940.6</v>
      </c>
      <c r="U52" t="n">
        <v>2898.4</v>
      </c>
      <c r="V52" t="n">
        <v>3336.2</v>
      </c>
      <c r="W52" t="n">
        <v>3491.9</v>
      </c>
      <c r="X52" t="n">
        <v>3565.6</v>
      </c>
      <c r="Y52" t="n">
        <v>3711.7</v>
      </c>
      <c r="Z52" t="n">
        <v>3887.8</v>
      </c>
      <c r="AA52" t="n">
        <v>3995.2</v>
      </c>
      <c r="AB52" t="n">
        <v>4243.1</v>
      </c>
      <c r="AC52" t="n">
        <v>4466.5</v>
      </c>
      <c r="AD52" t="n">
        <v>4635.9</v>
      </c>
      <c r="AE52" t="n">
        <v>4464.4</v>
      </c>
      <c r="AF52" t="n">
        <v>4776.4</v>
      </c>
    </row>
    <row r="53">
      <c r="A53" t="s">
        <v>4</v>
      </c>
      <c r="B53" t="s">
        <v>263</v>
      </c>
      <c r="C53" t="s">
        <v>131</v>
      </c>
      <c r="D53" t="s">
        <v>264</v>
      </c>
      <c r="E53" t="s">
        <v>132</v>
      </c>
      <c r="F53" t="n">
        <v>734.6</v>
      </c>
      <c r="G53" t="n">
        <v>770.5</v>
      </c>
      <c r="H53" t="n">
        <v>908.6</v>
      </c>
      <c r="I53" t="n">
        <v>1038.4</v>
      </c>
      <c r="J53" t="n">
        <v>1188.3</v>
      </c>
      <c r="K53" t="n">
        <v>1390.2</v>
      </c>
      <c r="L53" t="n">
        <v>1537.7</v>
      </c>
      <c r="M53" t="n">
        <v>1634.2</v>
      </c>
      <c r="N53" t="n">
        <v>1854</v>
      </c>
      <c r="O53" t="n">
        <v>1878.3</v>
      </c>
      <c r="P53" t="n">
        <v>2003.4</v>
      </c>
      <c r="Q53" t="n">
        <v>2370.4</v>
      </c>
      <c r="R53" t="n">
        <v>2713</v>
      </c>
      <c r="S53" t="n">
        <v>2619.8</v>
      </c>
      <c r="T53" t="n">
        <v>2362.3</v>
      </c>
      <c r="U53" t="n">
        <v>2327.9</v>
      </c>
      <c r="V53" t="n">
        <v>2056.9</v>
      </c>
      <c r="W53" t="n">
        <v>1923.2</v>
      </c>
      <c r="X53" t="n">
        <v>2039.5</v>
      </c>
      <c r="Y53" t="n">
        <v>2079.7</v>
      </c>
      <c r="Z53" t="n">
        <v>2056.9</v>
      </c>
      <c r="AA53" t="n">
        <v>2089.2</v>
      </c>
      <c r="AB53" t="n">
        <v>2407.5</v>
      </c>
      <c r="AC53" t="n">
        <v>2558.7</v>
      </c>
      <c r="AD53" t="n">
        <v>2686.3</v>
      </c>
      <c r="AE53" t="n">
        <v>2143.7</v>
      </c>
      <c r="AF53" t="n">
        <v>2580.2</v>
      </c>
    </row>
    <row r="54">
      <c r="A54" t="s">
        <v>4</v>
      </c>
      <c r="B54" t="s">
        <v>265</v>
      </c>
      <c r="C54" t="s">
        <v>131</v>
      </c>
      <c r="D54" t="s">
        <v>266</v>
      </c>
      <c r="E54" t="s">
        <v>132</v>
      </c>
      <c r="F54" t="n">
        <v>1174.3</v>
      </c>
      <c r="G54" t="n">
        <v>1253.9</v>
      </c>
      <c r="H54" t="n">
        <v>1398</v>
      </c>
      <c r="I54" t="n">
        <v>1512.3</v>
      </c>
      <c r="J54" t="n">
        <v>1749.1</v>
      </c>
      <c r="K54" t="n">
        <v>1983.2</v>
      </c>
      <c r="L54" t="n">
        <v>2272.5</v>
      </c>
      <c r="M54" t="n">
        <v>2534.8</v>
      </c>
      <c r="N54" t="n">
        <v>2764.9</v>
      </c>
      <c r="O54" t="n">
        <v>2908.3</v>
      </c>
      <c r="P54" t="n">
        <v>3063</v>
      </c>
      <c r="Q54" t="n">
        <v>3471.8</v>
      </c>
      <c r="R54" t="n">
        <v>3844.6</v>
      </c>
      <c r="S54" t="n">
        <v>3722.4</v>
      </c>
      <c r="T54" t="n">
        <v>3422.1</v>
      </c>
      <c r="U54" t="n">
        <v>3547.7</v>
      </c>
      <c r="V54" t="n">
        <v>3331.8</v>
      </c>
      <c r="W54" t="n">
        <v>3229.6</v>
      </c>
      <c r="X54" t="n">
        <v>3433.4</v>
      </c>
      <c r="Y54" t="n">
        <v>3511.8</v>
      </c>
      <c r="Z54" t="n">
        <v>3530.4</v>
      </c>
      <c r="AA54" t="n">
        <v>3608.9</v>
      </c>
      <c r="AB54" t="n">
        <v>4125.6</v>
      </c>
      <c r="AC54" t="n">
        <v>4363.3</v>
      </c>
      <c r="AD54" t="n">
        <v>4546.3</v>
      </c>
      <c r="AE54" t="n">
        <v>3645.2</v>
      </c>
      <c r="AF54" t="n">
        <v>4220.6</v>
      </c>
    </row>
    <row r="55">
      <c r="A55" t="s">
        <v>4</v>
      </c>
      <c r="B55" t="s">
        <v>267</v>
      </c>
      <c r="C55" t="s">
        <v>131</v>
      </c>
      <c r="D55" t="s">
        <v>268</v>
      </c>
      <c r="E55" t="s">
        <v>132</v>
      </c>
      <c r="F55" t="n">
        <v>439.7</v>
      </c>
      <c r="G55" t="n">
        <v>483.4</v>
      </c>
      <c r="H55" t="n">
        <v>489.4</v>
      </c>
      <c r="I55" t="n">
        <v>473.9</v>
      </c>
      <c r="J55" t="n">
        <v>560.8</v>
      </c>
      <c r="K55" t="n">
        <v>593</v>
      </c>
      <c r="L55" t="n">
        <v>734.8</v>
      </c>
      <c r="M55" t="n">
        <v>900.6</v>
      </c>
      <c r="N55" t="n">
        <v>910.9</v>
      </c>
      <c r="O55" t="n">
        <v>1030</v>
      </c>
      <c r="P55" t="n">
        <v>1059.6</v>
      </c>
      <c r="Q55" t="n">
        <v>1101.4</v>
      </c>
      <c r="R55" t="n">
        <v>1131.6</v>
      </c>
      <c r="S55" t="n">
        <v>1102.6</v>
      </c>
      <c r="T55" t="n">
        <v>1059.8</v>
      </c>
      <c r="U55" t="n">
        <v>1219.8</v>
      </c>
      <c r="V55" t="n">
        <v>1274.9</v>
      </c>
      <c r="W55" t="n">
        <v>1306.4</v>
      </c>
      <c r="X55" t="n">
        <v>1393.9</v>
      </c>
      <c r="Y55" t="n">
        <v>1432.1</v>
      </c>
      <c r="Z55" t="n">
        <v>1473.5</v>
      </c>
      <c r="AA55" t="n">
        <v>1519.7</v>
      </c>
      <c r="AB55" t="n">
        <v>1718.1</v>
      </c>
      <c r="AC55" t="n">
        <v>1804.6</v>
      </c>
      <c r="AD55" t="n">
        <v>1860</v>
      </c>
      <c r="AE55" t="n">
        <v>1501.5</v>
      </c>
      <c r="AF55" t="n">
        <v>1640.4</v>
      </c>
    </row>
    <row r="56">
      <c r="A56" t="s">
        <v>4</v>
      </c>
      <c r="B56" t="s">
        <v>269</v>
      </c>
      <c r="C56" t="s">
        <v>131</v>
      </c>
      <c r="D56" t="s">
        <v>270</v>
      </c>
      <c r="E56" t="s">
        <v>132</v>
      </c>
      <c r="F56" t="n">
        <v>77.9</v>
      </c>
      <c r="G56" t="n">
        <v>80.4</v>
      </c>
      <c r="H56" t="n">
        <v>106.5</v>
      </c>
      <c r="I56" t="n">
        <v>103.7</v>
      </c>
      <c r="J56" t="n">
        <v>110</v>
      </c>
      <c r="K56" t="n">
        <v>86.5</v>
      </c>
      <c r="L56" t="n">
        <v>92.4</v>
      </c>
      <c r="M56" t="n">
        <v>93.6</v>
      </c>
      <c r="N56" t="n">
        <v>113.1</v>
      </c>
      <c r="O56" t="n">
        <v>113.7</v>
      </c>
      <c r="P56" t="n">
        <v>144.3</v>
      </c>
      <c r="Q56" t="n">
        <v>195.9</v>
      </c>
      <c r="R56" t="n">
        <v>236.4</v>
      </c>
      <c r="S56" t="n">
        <v>226</v>
      </c>
      <c r="T56" t="n">
        <v>191.4</v>
      </c>
      <c r="U56" t="n">
        <v>35</v>
      </c>
      <c r="V56" t="n">
        <v>56</v>
      </c>
      <c r="W56" t="n">
        <v>62.4</v>
      </c>
      <c r="X56" t="n">
        <v>53.4</v>
      </c>
      <c r="Y56" t="n">
        <v>60.3</v>
      </c>
      <c r="Z56" t="n">
        <v>60.3</v>
      </c>
      <c r="AA56" t="n">
        <v>70.1</v>
      </c>
      <c r="AB56" t="n">
        <v>163.9</v>
      </c>
      <c r="AC56" t="n">
        <v>184.3</v>
      </c>
      <c r="AD56" t="n">
        <v>189.4</v>
      </c>
      <c r="AE56" t="n">
        <v>179.4</v>
      </c>
      <c r="AF56" t="n">
        <v>203.2</v>
      </c>
    </row>
    <row r="57">
      <c r="A57" t="s">
        <v>4</v>
      </c>
      <c r="B57" t="s">
        <v>271</v>
      </c>
      <c r="C57" t="s">
        <v>131</v>
      </c>
      <c r="D57" t="s">
        <v>272</v>
      </c>
      <c r="E57" t="s">
        <v>132</v>
      </c>
      <c r="F57" t="n">
        <v>49450.8</v>
      </c>
      <c r="G57" t="n">
        <v>53516.3</v>
      </c>
      <c r="H57" t="n">
        <v>61844.9</v>
      </c>
      <c r="I57" t="n">
        <v>72754.1</v>
      </c>
      <c r="J57" t="n">
        <v>82670.9</v>
      </c>
      <c r="K57" t="n">
        <v>96721.6</v>
      </c>
      <c r="L57" t="n">
        <v>108813.6</v>
      </c>
      <c r="M57" t="n">
        <v>120604.8</v>
      </c>
      <c r="N57" t="n">
        <v>128986.8</v>
      </c>
      <c r="O57" t="n">
        <v>137429.2</v>
      </c>
      <c r="P57" t="n">
        <v>149522.5</v>
      </c>
      <c r="Q57" t="n">
        <v>162578.2</v>
      </c>
      <c r="R57" t="n">
        <v>175066</v>
      </c>
      <c r="S57" t="n">
        <v>167334.6</v>
      </c>
      <c r="T57" t="n">
        <v>152335.8</v>
      </c>
      <c r="U57" t="n">
        <v>152323.7</v>
      </c>
      <c r="V57" t="n">
        <v>158278.6</v>
      </c>
      <c r="W57" t="n">
        <v>161459.3</v>
      </c>
      <c r="X57" t="n">
        <v>169094.9</v>
      </c>
      <c r="Y57" t="n">
        <v>186168</v>
      </c>
      <c r="Z57" t="n">
        <v>254663.8</v>
      </c>
      <c r="AA57" t="n">
        <v>257066.1</v>
      </c>
      <c r="AB57" t="n">
        <v>286712.8</v>
      </c>
      <c r="AC57" t="n">
        <v>314738.8</v>
      </c>
      <c r="AD57" t="n">
        <v>342949.7</v>
      </c>
      <c r="AE57" t="n">
        <v>360059.2</v>
      </c>
      <c r="AF57" t="n">
        <v>424242.4</v>
      </c>
    </row>
    <row r="58">
      <c r="A58" t="s">
        <v>4</v>
      </c>
      <c r="B58" t="s">
        <v>273</v>
      </c>
      <c r="C58" t="s">
        <v>131</v>
      </c>
      <c r="D58" t="s">
        <v>274</v>
      </c>
      <c r="E58" t="s">
        <v>132</v>
      </c>
      <c r="F58" t="n">
        <v>49372.9</v>
      </c>
      <c r="G58" t="n">
        <v>53435.9</v>
      </c>
      <c r="H58" t="n">
        <v>61738.4</v>
      </c>
      <c r="I58" t="n">
        <v>72650.4</v>
      </c>
      <c r="J58" t="n">
        <v>82560.9</v>
      </c>
      <c r="K58" t="n">
        <v>96635.1</v>
      </c>
      <c r="L58" t="n">
        <v>108721.2</v>
      </c>
      <c r="M58" t="n">
        <v>120511.2</v>
      </c>
      <c r="N58" t="n">
        <v>128873.7</v>
      </c>
      <c r="O58" t="n">
        <v>137315.5</v>
      </c>
      <c r="P58" t="n">
        <v>149378.2</v>
      </c>
      <c r="Q58" t="n">
        <v>162382.3</v>
      </c>
      <c r="R58" t="n">
        <v>174829.6</v>
      </c>
      <c r="S58" t="n">
        <v>167108.6</v>
      </c>
      <c r="T58" t="n">
        <v>152144.4</v>
      </c>
      <c r="U58" t="n">
        <v>152288.7</v>
      </c>
      <c r="V58" t="n">
        <v>158222.6</v>
      </c>
      <c r="W58" t="n">
        <v>161396.9</v>
      </c>
      <c r="X58" t="n">
        <v>169041.5</v>
      </c>
      <c r="Y58" t="n">
        <v>186107.7</v>
      </c>
      <c r="Z58" t="n">
        <v>254603.5</v>
      </c>
      <c r="AA58" t="n">
        <v>256996</v>
      </c>
      <c r="AB58" t="n">
        <v>286548.9</v>
      </c>
      <c r="AC58" t="n">
        <v>314554.5</v>
      </c>
      <c r="AD58" t="n">
        <v>342760.3</v>
      </c>
      <c r="AE58" t="n">
        <v>359879.8</v>
      </c>
      <c r="AF58" t="n">
        <v>424039.2</v>
      </c>
    </row>
    <row r="59">
      <c r="A59" t="s">
        <v>4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6</v>
      </c>
      <c r="B2" t="s">
        <v>84</v>
      </c>
      <c r="C2" t="s">
        <v>131</v>
      </c>
      <c r="D2" t="s">
        <v>86</v>
      </c>
      <c r="E2" t="s">
        <v>132</v>
      </c>
      <c r="F2" t="n">
        <v>7754.8</v>
      </c>
      <c r="G2" t="n">
        <v>7193.9</v>
      </c>
      <c r="H2" t="n">
        <v>6758</v>
      </c>
      <c r="I2" t="n">
        <v>6960.1</v>
      </c>
      <c r="J2" t="n">
        <v>5944.5</v>
      </c>
      <c r="K2" t="n">
        <v>6749.4</v>
      </c>
      <c r="L2" t="n">
        <v>6054.3</v>
      </c>
      <c r="M2" t="n">
        <v>5868.2</v>
      </c>
      <c r="N2" t="n">
        <v>5410.4</v>
      </c>
      <c r="O2" t="n">
        <v>6027.5</v>
      </c>
      <c r="P2" t="n">
        <v>5321.8</v>
      </c>
      <c r="Q2" t="n">
        <v>6549.3</v>
      </c>
      <c r="R2" t="n">
        <v>7088.8</v>
      </c>
      <c r="S2" t="n">
        <v>6895.6</v>
      </c>
      <c r="T2" t="n">
        <v>5579</v>
      </c>
      <c r="U2" t="n">
        <v>6211.3</v>
      </c>
      <c r="V2" t="n">
        <v>7693.2</v>
      </c>
      <c r="W2" t="n">
        <v>7408</v>
      </c>
      <c r="X2" t="n">
        <v>8146.5</v>
      </c>
      <c r="Y2" t="n">
        <v>7975</v>
      </c>
      <c r="Z2" t="n">
        <v>7851.6</v>
      </c>
      <c r="AA2" t="n">
        <v>8141.4</v>
      </c>
      <c r="AB2" t="n">
        <v>9257.5</v>
      </c>
      <c r="AC2" t="n">
        <v>9313.4</v>
      </c>
      <c r="AD2" t="n">
        <v>9225.3</v>
      </c>
      <c r="AE2" t="n">
        <v>9662.3</v>
      </c>
      <c r="AF2" t="n">
        <v>10991.3</v>
      </c>
    </row>
    <row r="3">
      <c r="A3" t="s">
        <v>6</v>
      </c>
      <c r="B3" t="s">
        <v>163</v>
      </c>
      <c r="C3" t="s">
        <v>131</v>
      </c>
      <c r="D3" t="s">
        <v>164</v>
      </c>
      <c r="E3" t="s">
        <v>132</v>
      </c>
      <c r="F3" t="n">
        <v>757.4</v>
      </c>
      <c r="G3" t="n">
        <v>750.7</v>
      </c>
      <c r="H3" t="n">
        <v>1102.7</v>
      </c>
      <c r="I3" t="n">
        <v>949.8</v>
      </c>
      <c r="J3" t="n">
        <v>938.8</v>
      </c>
      <c r="K3" t="n">
        <v>1152.5</v>
      </c>
      <c r="L3" t="n">
        <v>1465.3</v>
      </c>
      <c r="M3" t="n">
        <v>1331.2</v>
      </c>
      <c r="N3" t="n">
        <v>1403.1</v>
      </c>
      <c r="O3" t="n">
        <v>1125.9</v>
      </c>
      <c r="P3" t="n">
        <v>1518.7</v>
      </c>
      <c r="Q3" t="n">
        <v>1995.9</v>
      </c>
      <c r="R3" t="n">
        <v>2525.8</v>
      </c>
      <c r="S3" t="n">
        <v>2845.1</v>
      </c>
      <c r="T3" t="n">
        <v>2026</v>
      </c>
      <c r="U3" t="n">
        <v>1571.8</v>
      </c>
      <c r="V3" t="n">
        <v>1865.3</v>
      </c>
      <c r="W3" t="n">
        <v>1515.9</v>
      </c>
      <c r="X3" t="n">
        <v>1207.3</v>
      </c>
      <c r="Y3" t="n">
        <v>1270.8</v>
      </c>
      <c r="Z3" t="n">
        <v>949.4</v>
      </c>
      <c r="AA3" t="n">
        <v>1308.6</v>
      </c>
      <c r="AB3" t="n">
        <v>1708.6</v>
      </c>
      <c r="AC3" t="n">
        <v>1172.7</v>
      </c>
      <c r="AD3" t="n">
        <v>1462.9</v>
      </c>
      <c r="AE3" t="n">
        <v>773.1</v>
      </c>
      <c r="AF3" t="n">
        <v>934.9</v>
      </c>
    </row>
    <row r="4">
      <c r="A4" t="s">
        <v>6</v>
      </c>
      <c r="B4" t="s">
        <v>165</v>
      </c>
      <c r="C4" t="s">
        <v>131</v>
      </c>
      <c r="D4" t="s">
        <v>166</v>
      </c>
      <c r="E4" t="s">
        <v>132</v>
      </c>
      <c r="F4" t="n">
        <v>32894.4</v>
      </c>
      <c r="G4" t="n">
        <v>35689.8</v>
      </c>
      <c r="H4" t="n">
        <v>43661</v>
      </c>
      <c r="I4" t="n">
        <v>53867.2</v>
      </c>
      <c r="J4" t="n">
        <v>61455.4</v>
      </c>
      <c r="K4" t="n">
        <v>70631.2</v>
      </c>
      <c r="L4" t="n">
        <v>86710.5</v>
      </c>
      <c r="M4" t="n">
        <v>92727.1</v>
      </c>
      <c r="N4" t="n">
        <v>93345.3</v>
      </c>
      <c r="O4" t="n">
        <v>95214.6</v>
      </c>
      <c r="P4" t="n">
        <v>99924.9</v>
      </c>
      <c r="Q4" t="n">
        <v>107259.1</v>
      </c>
      <c r="R4" t="n">
        <v>110057.6</v>
      </c>
      <c r="S4" t="n">
        <v>106169.5</v>
      </c>
      <c r="T4" t="n">
        <v>104473.7</v>
      </c>
      <c r="U4" t="n">
        <v>90103.8</v>
      </c>
      <c r="V4" t="n">
        <v>94486.5</v>
      </c>
      <c r="W4" t="n">
        <v>104344</v>
      </c>
      <c r="X4" t="n">
        <v>105035</v>
      </c>
      <c r="Y4" t="n">
        <v>117893.5</v>
      </c>
      <c r="Z4" t="n">
        <v>195413.8</v>
      </c>
      <c r="AA4" t="n">
        <v>193262.1</v>
      </c>
      <c r="AB4" t="n">
        <v>198822.4</v>
      </c>
      <c r="AC4" t="n">
        <v>221175.9</v>
      </c>
      <c r="AD4" t="n">
        <v>231446.4</v>
      </c>
      <c r="AE4" t="n">
        <v>245542.3</v>
      </c>
      <c r="AF4" t="n">
        <v>291419.6</v>
      </c>
    </row>
    <row r="5">
      <c r="A5" t="s">
        <v>6</v>
      </c>
      <c r="B5" t="s">
        <v>167</v>
      </c>
      <c r="C5" t="s">
        <v>131</v>
      </c>
      <c r="D5" t="s">
        <v>168</v>
      </c>
      <c r="E5" t="s">
        <v>132</v>
      </c>
      <c r="F5" t="n">
        <v>6405.8</v>
      </c>
      <c r="G5" t="n">
        <v>7264</v>
      </c>
      <c r="H5" t="n">
        <v>8113.3</v>
      </c>
      <c r="I5" t="n">
        <v>9600.8</v>
      </c>
      <c r="J5" t="n">
        <v>10561.2</v>
      </c>
      <c r="K5" t="n">
        <v>12233.7</v>
      </c>
      <c r="L5" t="n">
        <v>15428.5</v>
      </c>
      <c r="M5" t="n">
        <v>17073.1</v>
      </c>
      <c r="N5" t="n">
        <v>18556.9</v>
      </c>
      <c r="O5" t="n">
        <v>20041.5</v>
      </c>
      <c r="P5" t="n">
        <v>20116</v>
      </c>
      <c r="Q5" t="n">
        <v>20692.7</v>
      </c>
      <c r="R5" t="n">
        <v>22272.7</v>
      </c>
      <c r="S5" t="n">
        <v>21840</v>
      </c>
      <c r="T5" t="n">
        <v>20513.2</v>
      </c>
      <c r="U5" t="n">
        <v>21792.3</v>
      </c>
      <c r="V5" t="n">
        <v>22046.3</v>
      </c>
      <c r="W5" t="n">
        <v>25262.4</v>
      </c>
      <c r="X5" t="n">
        <v>23327</v>
      </c>
      <c r="Y5" t="n">
        <v>25059.6</v>
      </c>
      <c r="Z5" t="n">
        <v>26816.7</v>
      </c>
      <c r="AA5" t="n">
        <v>25530.1</v>
      </c>
      <c r="AB5" t="n">
        <v>26662.9</v>
      </c>
      <c r="AC5" t="n">
        <v>25544.8</v>
      </c>
      <c r="AD5" t="n">
        <v>23218.4</v>
      </c>
      <c r="AE5" t="n">
        <v>23947.5</v>
      </c>
      <c r="AF5" t="n">
        <v>28442.7</v>
      </c>
    </row>
    <row r="6">
      <c r="A6" t="s">
        <v>6</v>
      </c>
      <c r="B6" t="s">
        <v>169</v>
      </c>
      <c r="C6" t="s">
        <v>131</v>
      </c>
      <c r="D6" t="s">
        <v>170</v>
      </c>
      <c r="E6" t="s">
        <v>132</v>
      </c>
      <c r="F6" t="n">
        <v>1140.9</v>
      </c>
      <c r="G6" t="n">
        <v>1065.1</v>
      </c>
      <c r="H6" t="n">
        <v>1057.3</v>
      </c>
      <c r="I6" t="n">
        <v>1101.5</v>
      </c>
      <c r="J6" t="n">
        <v>986.7</v>
      </c>
      <c r="K6" t="n">
        <v>965</v>
      </c>
      <c r="L6" t="n">
        <v>1052.8</v>
      </c>
      <c r="M6" t="n">
        <v>906</v>
      </c>
      <c r="N6" t="n">
        <v>934.5</v>
      </c>
      <c r="O6" t="n">
        <v>740.3</v>
      </c>
      <c r="P6" t="n">
        <v>654.5</v>
      </c>
      <c r="Q6" t="n">
        <v>616.3</v>
      </c>
      <c r="R6" t="n">
        <v>693.7</v>
      </c>
      <c r="S6" t="n">
        <v>607.7</v>
      </c>
      <c r="T6" t="n">
        <v>530.2</v>
      </c>
      <c r="U6" t="n">
        <v>438.5</v>
      </c>
      <c r="V6" t="n">
        <v>305.1</v>
      </c>
      <c r="W6" t="n">
        <v>403.5</v>
      </c>
      <c r="X6" t="n">
        <v>416.9</v>
      </c>
      <c r="Y6" t="n">
        <v>394.8</v>
      </c>
      <c r="Z6" t="n">
        <v>389.8</v>
      </c>
      <c r="AA6" t="n">
        <v>388.6</v>
      </c>
      <c r="AB6" t="n">
        <v>424.6</v>
      </c>
      <c r="AC6" t="n">
        <v>402.7</v>
      </c>
      <c r="AD6" t="n">
        <v>331.4</v>
      </c>
      <c r="AE6" t="n">
        <v>298.4</v>
      </c>
      <c r="AF6" t="n">
        <v>336.2</v>
      </c>
    </row>
    <row r="7">
      <c r="A7" t="s">
        <v>6</v>
      </c>
      <c r="B7" t="s">
        <v>171</v>
      </c>
      <c r="C7" t="s">
        <v>131</v>
      </c>
      <c r="D7" t="s">
        <v>172</v>
      </c>
      <c r="E7" t="s">
        <v>132</v>
      </c>
      <c r="F7" t="n">
        <v>1916.7</v>
      </c>
      <c r="G7" t="n">
        <v>2091.6</v>
      </c>
      <c r="H7" t="n">
        <v>2463.4</v>
      </c>
      <c r="I7" t="n">
        <v>2743</v>
      </c>
      <c r="J7" t="n">
        <v>3061.4</v>
      </c>
      <c r="K7" t="n">
        <v>3378.5</v>
      </c>
      <c r="L7" t="n">
        <v>3986.2</v>
      </c>
      <c r="M7" t="n">
        <v>4044.2</v>
      </c>
      <c r="N7" t="n">
        <v>4474.1</v>
      </c>
      <c r="O7" t="n">
        <v>4182</v>
      </c>
      <c r="P7" t="n">
        <v>4675.4</v>
      </c>
      <c r="Q7" t="n">
        <v>5840.5</v>
      </c>
      <c r="R7" t="n">
        <v>4151.4</v>
      </c>
      <c r="S7" t="n">
        <v>3943</v>
      </c>
      <c r="T7" t="n">
        <v>2970.6</v>
      </c>
      <c r="U7" t="n">
        <v>2371.3</v>
      </c>
      <c r="V7" t="n">
        <v>1894.5</v>
      </c>
      <c r="W7" t="n">
        <v>2399.8</v>
      </c>
      <c r="X7" t="n">
        <v>2242.7</v>
      </c>
      <c r="Y7" t="n">
        <v>2342.1</v>
      </c>
      <c r="Z7" t="n">
        <v>2267.3</v>
      </c>
      <c r="AA7" t="n">
        <v>2138.9</v>
      </c>
      <c r="AB7" t="n">
        <v>2432.9</v>
      </c>
      <c r="AC7" t="n">
        <v>2378.1</v>
      </c>
      <c r="AD7" t="n">
        <v>2234.2</v>
      </c>
      <c r="AE7" t="n">
        <v>2185.1</v>
      </c>
      <c r="AF7" t="n">
        <v>2619.5</v>
      </c>
    </row>
    <row r="8">
      <c r="A8" t="s">
        <v>6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</v>
      </c>
      <c r="B10" t="s">
        <v>177</v>
      </c>
      <c r="C10" t="s">
        <v>131</v>
      </c>
      <c r="D10" t="s">
        <v>178</v>
      </c>
      <c r="E10" t="s">
        <v>132</v>
      </c>
      <c r="F10" t="n">
        <v>5502.3</v>
      </c>
      <c r="G10" t="n">
        <v>5747.5</v>
      </c>
      <c r="H10" t="n">
        <v>7975.9</v>
      </c>
      <c r="I10" t="n">
        <v>10207.6</v>
      </c>
      <c r="J10" t="n">
        <v>12861.2</v>
      </c>
      <c r="K10" t="n">
        <v>15333.8</v>
      </c>
      <c r="L10" t="n">
        <v>22218.9</v>
      </c>
      <c r="M10" t="n">
        <v>27413.3</v>
      </c>
      <c r="N10" t="n">
        <v>24884.8</v>
      </c>
      <c r="O10" t="n">
        <v>24083.1</v>
      </c>
      <c r="P10" t="n">
        <v>24379.6</v>
      </c>
      <c r="Q10" t="n">
        <v>24782.4</v>
      </c>
      <c r="R10" t="n">
        <v>28409.2</v>
      </c>
      <c r="S10" t="n">
        <v>29502.7</v>
      </c>
      <c r="T10" t="n">
        <v>35249.4</v>
      </c>
      <c r="U10" t="n">
        <v>36828.2</v>
      </c>
      <c r="V10" t="n">
        <v>39062.1</v>
      </c>
      <c r="W10" t="n">
        <v>32923.8</v>
      </c>
      <c r="X10" t="n">
        <v>33077</v>
      </c>
      <c r="Y10" t="n">
        <v>44862.6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</v>
      </c>
      <c r="B11" t="s">
        <v>179</v>
      </c>
      <c r="C11" t="s">
        <v>131</v>
      </c>
      <c r="D11" t="s">
        <v>180</v>
      </c>
      <c r="E11" t="s">
        <v>132</v>
      </c>
      <c r="F11" t="n">
        <v>5502.3</v>
      </c>
      <c r="G11" t="n">
        <v>5747.5</v>
      </c>
      <c r="H11" t="n">
        <v>7975.9</v>
      </c>
      <c r="I11" t="n">
        <v>10207.6</v>
      </c>
      <c r="J11" t="n">
        <v>12861.2</v>
      </c>
      <c r="K11" t="n">
        <v>15333.8</v>
      </c>
      <c r="L11" t="n">
        <v>22218.9</v>
      </c>
      <c r="M11" t="n">
        <v>27413.3</v>
      </c>
      <c r="N11" t="n">
        <v>24884.8</v>
      </c>
      <c r="O11" t="n">
        <v>24083.1</v>
      </c>
      <c r="P11" t="n">
        <v>24379.6</v>
      </c>
      <c r="Q11" t="n">
        <v>24782.4</v>
      </c>
      <c r="R11" t="n">
        <v>28409.2</v>
      </c>
      <c r="S11" t="n">
        <v>29502.7</v>
      </c>
      <c r="T11" t="n">
        <v>35249.4</v>
      </c>
      <c r="U11" t="n">
        <v>36828.2</v>
      </c>
      <c r="V11" t="n">
        <v>39062.1</v>
      </c>
      <c r="W11" t="n">
        <v>32923.8</v>
      </c>
      <c r="X11" t="n">
        <v>33077</v>
      </c>
      <c r="Y11" t="n">
        <v>44862.6</v>
      </c>
      <c r="Z11"/>
      <c r="AA11"/>
      <c r="AB11"/>
      <c r="AC11"/>
      <c r="AD11"/>
      <c r="AE11"/>
      <c r="AF11"/>
    </row>
    <row r="12">
      <c r="A12" t="s">
        <v>6</v>
      </c>
      <c r="B12" t="s">
        <v>181</v>
      </c>
      <c r="C12" t="s">
        <v>131</v>
      </c>
      <c r="D12" t="s">
        <v>182</v>
      </c>
      <c r="E12" t="s">
        <v>132</v>
      </c>
      <c r="F12" t="n">
        <v>1980.9</v>
      </c>
      <c r="G12" t="n">
        <v>2055.7</v>
      </c>
      <c r="H12" t="n">
        <v>2317</v>
      </c>
      <c r="I12" t="n">
        <v>2698.7</v>
      </c>
      <c r="J12" t="n">
        <v>2947.5</v>
      </c>
      <c r="K12" t="n">
        <v>3291.2</v>
      </c>
      <c r="L12" t="n">
        <v>3515.6</v>
      </c>
      <c r="M12" t="n">
        <v>3457.5</v>
      </c>
      <c r="N12" t="n">
        <v>3692.4</v>
      </c>
      <c r="O12" t="n">
        <v>4014.1</v>
      </c>
      <c r="P12" t="n">
        <v>4428.7</v>
      </c>
      <c r="Q12" t="n">
        <v>4733.7</v>
      </c>
      <c r="R12" t="n">
        <v>5305</v>
      </c>
      <c r="S12" t="n">
        <v>4111</v>
      </c>
      <c r="T12" t="n">
        <v>3150.3</v>
      </c>
      <c r="U12" t="n">
        <v>2235</v>
      </c>
      <c r="V12" t="n">
        <v>2513.8</v>
      </c>
      <c r="W12" t="n">
        <v>2468.8</v>
      </c>
      <c r="X12" t="n">
        <v>2699.7</v>
      </c>
      <c r="Y12" t="n">
        <v>3096.8</v>
      </c>
      <c r="Z12" t="n">
        <v>3267</v>
      </c>
      <c r="AA12" t="n">
        <v>3705.2</v>
      </c>
      <c r="AB12" t="n">
        <v>3987.9</v>
      </c>
      <c r="AC12" t="n">
        <v>4264</v>
      </c>
      <c r="AD12" t="n">
        <v>3875.5</v>
      </c>
      <c r="AE12" t="n">
        <v>4014.3</v>
      </c>
      <c r="AF12" t="n">
        <v>5123.5</v>
      </c>
    </row>
    <row r="13">
      <c r="A13" t="s">
        <v>6</v>
      </c>
      <c r="B13" t="s">
        <v>183</v>
      </c>
      <c r="C13" t="s">
        <v>131</v>
      </c>
      <c r="D13" t="s">
        <v>184</v>
      </c>
      <c r="E13" t="s">
        <v>132</v>
      </c>
      <c r="F13" t="n">
        <v>1326.2</v>
      </c>
      <c r="G13" t="n">
        <v>1433.2</v>
      </c>
      <c r="H13" t="n">
        <v>1578.2</v>
      </c>
      <c r="I13" t="n">
        <v>1820.5</v>
      </c>
      <c r="J13" t="n">
        <v>2057.4</v>
      </c>
      <c r="K13" t="n">
        <v>2251.7</v>
      </c>
      <c r="L13" t="n">
        <v>2378.8</v>
      </c>
      <c r="M13" t="n">
        <v>2311.2</v>
      </c>
      <c r="N13" t="n">
        <v>2512.7</v>
      </c>
      <c r="O13" t="n">
        <v>2737.9</v>
      </c>
      <c r="P13" t="n">
        <v>3342.3</v>
      </c>
      <c r="Q13" t="n">
        <v>3591.8</v>
      </c>
      <c r="R13" t="n">
        <v>3624.6</v>
      </c>
      <c r="S13" t="n">
        <v>3977.4</v>
      </c>
      <c r="T13" t="n">
        <v>2468.5</v>
      </c>
      <c r="U13" t="n">
        <v>2053</v>
      </c>
      <c r="V13" t="n">
        <v>2093.4</v>
      </c>
      <c r="W13" t="n">
        <v>2205.1</v>
      </c>
      <c r="X13" t="n">
        <v>2479.3</v>
      </c>
      <c r="Y13" t="n">
        <v>2611.3</v>
      </c>
      <c r="Z13" t="n">
        <v>2947</v>
      </c>
      <c r="AA13" t="n">
        <v>3245.3</v>
      </c>
      <c r="AB13" t="n">
        <v>3967</v>
      </c>
      <c r="AC13" t="n">
        <v>3646.9</v>
      </c>
      <c r="AD13" t="n">
        <v>4042.9</v>
      </c>
      <c r="AE13" t="n">
        <v>3855.9</v>
      </c>
      <c r="AF13" t="n">
        <v>3996.8</v>
      </c>
    </row>
    <row r="14">
      <c r="A14" t="s">
        <v>6</v>
      </c>
      <c r="B14" t="s">
        <v>185</v>
      </c>
      <c r="C14" t="s">
        <v>131</v>
      </c>
      <c r="D14" t="s">
        <v>186</v>
      </c>
      <c r="E14" t="s">
        <v>132</v>
      </c>
      <c r="F14" t="n">
        <v>7823.6</v>
      </c>
      <c r="G14" t="n">
        <v>8942.6</v>
      </c>
      <c r="H14" t="n">
        <v>11546.5</v>
      </c>
      <c r="I14" t="n">
        <v>14501.8</v>
      </c>
      <c r="J14" t="n">
        <v>16528.3</v>
      </c>
      <c r="K14" t="n">
        <v>19354.5</v>
      </c>
      <c r="L14" t="n">
        <v>25081.4</v>
      </c>
      <c r="M14" t="n">
        <v>23719</v>
      </c>
      <c r="N14" t="n">
        <v>23166.6</v>
      </c>
      <c r="O14" t="n">
        <v>24603.2</v>
      </c>
      <c r="P14" t="n">
        <v>26687.5</v>
      </c>
      <c r="Q14" t="n">
        <v>30653.6</v>
      </c>
      <c r="R14" t="n">
        <v>23399.1</v>
      </c>
      <c r="S14" t="n">
        <v>19979</v>
      </c>
      <c r="T14" t="n">
        <v>19895.4</v>
      </c>
      <c r="U14" t="n">
        <v>10466.3</v>
      </c>
      <c r="V14" t="n">
        <v>8937.3</v>
      </c>
      <c r="W14" t="n">
        <v>11339.8</v>
      </c>
      <c r="X14" t="n">
        <v>11772.7</v>
      </c>
      <c r="Y14" t="n">
        <v>11945.6</v>
      </c>
      <c r="Z14"/>
      <c r="AA14"/>
      <c r="AB14"/>
      <c r="AC14"/>
      <c r="AD14"/>
      <c r="AE14"/>
      <c r="AF14"/>
    </row>
    <row r="15">
      <c r="A15" t="s">
        <v>6</v>
      </c>
      <c r="B15" t="s">
        <v>187</v>
      </c>
      <c r="C15" t="s">
        <v>131</v>
      </c>
      <c r="D15" t="s">
        <v>188</v>
      </c>
      <c r="E15" t="s">
        <v>132</v>
      </c>
      <c r="F15" t="n">
        <v>8598.1</v>
      </c>
      <c r="G15" t="n">
        <v>9910.5</v>
      </c>
      <c r="H15" t="n">
        <v>12663</v>
      </c>
      <c r="I15" t="n">
        <v>15892.3</v>
      </c>
      <c r="J15" t="n">
        <v>18013.7</v>
      </c>
      <c r="K15" t="n">
        <v>21096.3</v>
      </c>
      <c r="L15" t="n">
        <v>26893.8</v>
      </c>
      <c r="M15" t="n">
        <v>25323.5</v>
      </c>
      <c r="N15" t="n">
        <v>24329.4</v>
      </c>
      <c r="O15" t="n">
        <v>25053.6</v>
      </c>
      <c r="P15" t="n">
        <v>27444.3</v>
      </c>
      <c r="Q15" t="n">
        <v>31631.5</v>
      </c>
      <c r="R15" t="n">
        <v>24622.2</v>
      </c>
      <c r="S15" t="n">
        <v>21168</v>
      </c>
      <c r="T15" t="n">
        <v>20523.9</v>
      </c>
      <c r="U15" t="n">
        <v>10914.3</v>
      </c>
      <c r="V15" t="n">
        <v>9691.4</v>
      </c>
      <c r="W15" t="n">
        <v>12181.6</v>
      </c>
      <c r="X15" t="n">
        <v>12642</v>
      </c>
      <c r="Y15" t="n">
        <v>12839.3</v>
      </c>
      <c r="Z15" t="n">
        <v>1129.8</v>
      </c>
      <c r="AA15" t="n">
        <v>1415.6</v>
      </c>
      <c r="AB15" t="n">
        <v>1488.9</v>
      </c>
      <c r="AC15" t="n">
        <v>1129.2</v>
      </c>
      <c r="AD15" t="n">
        <v>1410.8</v>
      </c>
      <c r="AE15" t="n">
        <v>1013.6</v>
      </c>
      <c r="AF15" t="n">
        <v>1089</v>
      </c>
    </row>
    <row r="16">
      <c r="A16" t="s">
        <v>6</v>
      </c>
      <c r="B16" t="s">
        <v>189</v>
      </c>
      <c r="C16" t="s">
        <v>131</v>
      </c>
      <c r="D16" t="s">
        <v>190</v>
      </c>
      <c r="E16" t="s">
        <v>132</v>
      </c>
      <c r="F16" t="n">
        <v>774.5</v>
      </c>
      <c r="G16" t="n">
        <v>967.9</v>
      </c>
      <c r="H16" t="n">
        <v>1116.5</v>
      </c>
      <c r="I16" t="n">
        <v>1390.5</v>
      </c>
      <c r="J16" t="n">
        <v>1485.4</v>
      </c>
      <c r="K16" t="n">
        <v>1741.8</v>
      </c>
      <c r="L16" t="n">
        <v>1812.4</v>
      </c>
      <c r="M16" t="n">
        <v>1604.5</v>
      </c>
      <c r="N16" t="n">
        <v>1162.8</v>
      </c>
      <c r="O16" t="n">
        <v>450.4</v>
      </c>
      <c r="P16" t="n">
        <v>756.8</v>
      </c>
      <c r="Q16" t="n">
        <v>977.9</v>
      </c>
      <c r="R16" t="n">
        <v>1223.1</v>
      </c>
      <c r="S16" t="n">
        <v>1189</v>
      </c>
      <c r="T16" t="n">
        <v>628.5</v>
      </c>
      <c r="U16" t="n">
        <v>448</v>
      </c>
      <c r="V16" t="n">
        <v>754.1</v>
      </c>
      <c r="W16" t="n">
        <v>841.8</v>
      </c>
      <c r="X16" t="n">
        <v>869.3</v>
      </c>
      <c r="Y16" t="n">
        <v>893.7</v>
      </c>
      <c r="Z16" t="n">
        <v>1129.8</v>
      </c>
      <c r="AA16" t="n">
        <v>1415.6</v>
      </c>
      <c r="AB16" t="n">
        <v>1488.9</v>
      </c>
      <c r="AC16" t="n">
        <v>1129.2</v>
      </c>
      <c r="AD16" t="n">
        <v>1410.8</v>
      </c>
      <c r="AE16" t="n">
        <v>1013.6</v>
      </c>
      <c r="AF16" t="n">
        <v>1089</v>
      </c>
    </row>
    <row r="17">
      <c r="A17" t="s">
        <v>6</v>
      </c>
      <c r="B17" t="s">
        <v>191</v>
      </c>
      <c r="C17" t="s">
        <v>131</v>
      </c>
      <c r="D17" t="s">
        <v>192</v>
      </c>
      <c r="E17" t="s">
        <v>132</v>
      </c>
      <c r="F17" t="n">
        <v>973.5</v>
      </c>
      <c r="G17" t="n">
        <v>1047.1</v>
      </c>
      <c r="H17" t="n">
        <v>1130.2</v>
      </c>
      <c r="I17" t="n">
        <v>1099.5</v>
      </c>
      <c r="J17" t="n">
        <v>1492.3</v>
      </c>
      <c r="K17" t="n">
        <v>1454.7</v>
      </c>
      <c r="L17" t="n">
        <v>1644.9</v>
      </c>
      <c r="M17" t="n">
        <v>2668.4</v>
      </c>
      <c r="N17" t="n">
        <v>2718.7</v>
      </c>
      <c r="O17" t="n">
        <v>2982.2</v>
      </c>
      <c r="P17" t="n">
        <v>3334.4</v>
      </c>
      <c r="Q17" t="n">
        <v>3096.4</v>
      </c>
      <c r="R17" t="n">
        <v>3934.2</v>
      </c>
      <c r="S17" t="n">
        <v>3316.7</v>
      </c>
      <c r="T17" t="n">
        <v>2549.2</v>
      </c>
      <c r="U17" t="n">
        <v>1706.6</v>
      </c>
      <c r="V17" t="n">
        <v>1943.5</v>
      </c>
      <c r="W17" t="n">
        <v>2604.8</v>
      </c>
      <c r="X17" t="n">
        <v>2560.4</v>
      </c>
      <c r="Y17" t="n">
        <v>2581.2</v>
      </c>
      <c r="Z17" t="n">
        <v>2732</v>
      </c>
      <c r="AA17" t="n">
        <v>3214.8</v>
      </c>
      <c r="AB17" t="n">
        <v>3062.1</v>
      </c>
      <c r="AC17" t="n">
        <v>3297.7</v>
      </c>
      <c r="AD17" t="n">
        <v>3006.6</v>
      </c>
      <c r="AE17" t="n">
        <v>3068.9</v>
      </c>
      <c r="AF17" t="n">
        <v>3106.9</v>
      </c>
    </row>
    <row r="18">
      <c r="A18" t="s">
        <v>6</v>
      </c>
      <c r="B18" t="s">
        <v>193</v>
      </c>
      <c r="C18" t="s">
        <v>131</v>
      </c>
      <c r="D18" t="s">
        <v>194</v>
      </c>
      <c r="E18" t="s">
        <v>132</v>
      </c>
      <c r="F18" t="n">
        <v>798.5</v>
      </c>
      <c r="G18" t="n">
        <v>926.3</v>
      </c>
      <c r="H18" t="n">
        <v>951</v>
      </c>
      <c r="I18" t="n">
        <v>1362.8</v>
      </c>
      <c r="J18" t="n">
        <v>851.9</v>
      </c>
      <c r="K18" t="n">
        <v>1023</v>
      </c>
      <c r="L18" t="n">
        <v>1049.5</v>
      </c>
      <c r="M18" t="n">
        <v>1035.4</v>
      </c>
      <c r="N18" t="n">
        <v>1457.9</v>
      </c>
      <c r="O18" t="n">
        <v>1062.5</v>
      </c>
      <c r="P18" t="n">
        <v>1217.6</v>
      </c>
      <c r="Q18" t="n">
        <v>1251.6</v>
      </c>
      <c r="R18" t="n">
        <v>1454.5</v>
      </c>
      <c r="S18" t="n">
        <v>1400.8</v>
      </c>
      <c r="T18" t="n">
        <v>826.3</v>
      </c>
      <c r="U18" t="n">
        <v>747.9</v>
      </c>
      <c r="V18" t="n">
        <v>786.4</v>
      </c>
      <c r="W18" t="n">
        <v>776.3</v>
      </c>
      <c r="X18" t="n">
        <v>762.5</v>
      </c>
      <c r="Y18" t="n">
        <v>764.4</v>
      </c>
      <c r="Z18" t="n">
        <v>839.2</v>
      </c>
      <c r="AA18" t="n">
        <v>850.7</v>
      </c>
      <c r="AB18" t="n">
        <v>884.7</v>
      </c>
      <c r="AC18" t="n">
        <v>1093.4</v>
      </c>
      <c r="AD18" t="n">
        <v>1323.6</v>
      </c>
      <c r="AE18" t="n">
        <v>1065.2</v>
      </c>
      <c r="AF18" t="n">
        <v>938.5</v>
      </c>
    </row>
    <row r="19">
      <c r="A19" t="s">
        <v>6</v>
      </c>
      <c r="B19" t="s">
        <v>195</v>
      </c>
      <c r="C19" t="s">
        <v>131</v>
      </c>
      <c r="D19" t="s">
        <v>196</v>
      </c>
      <c r="E19" t="s">
        <v>132</v>
      </c>
      <c r="F19" t="n">
        <v>1956.9</v>
      </c>
      <c r="G19" t="n">
        <v>2141.6</v>
      </c>
      <c r="H19" t="n">
        <v>2612.2</v>
      </c>
      <c r="I19" t="n">
        <v>3627</v>
      </c>
      <c r="J19" t="n">
        <v>4605.8</v>
      </c>
      <c r="K19" t="n">
        <v>4836.8</v>
      </c>
      <c r="L19" t="n">
        <v>5894.2</v>
      </c>
      <c r="M19" t="n">
        <v>6136</v>
      </c>
      <c r="N19" t="n">
        <v>7205.4</v>
      </c>
      <c r="O19" t="n">
        <v>7463</v>
      </c>
      <c r="P19" t="n">
        <v>8004.7</v>
      </c>
      <c r="Q19" t="n">
        <v>8189</v>
      </c>
      <c r="R19" t="n">
        <v>9266.4</v>
      </c>
      <c r="S19" t="n">
        <v>10195.5</v>
      </c>
      <c r="T19" t="n">
        <v>9898.5</v>
      </c>
      <c r="U19" t="n">
        <v>6607.4</v>
      </c>
      <c r="V19" t="n">
        <v>8606.7</v>
      </c>
      <c r="W19" t="n">
        <v>11990.1</v>
      </c>
      <c r="X19" t="n">
        <v>11792.3</v>
      </c>
      <c r="Y19" t="n">
        <v>12872.5</v>
      </c>
      <c r="Z19" t="n">
        <v>13432.9</v>
      </c>
      <c r="AA19" t="n">
        <v>13943.5</v>
      </c>
      <c r="AB19" t="n">
        <v>16517.1</v>
      </c>
      <c r="AC19" t="n">
        <v>16784.5</v>
      </c>
      <c r="AD19" t="n">
        <v>21904.1</v>
      </c>
      <c r="AE19" t="n">
        <v>20870.1</v>
      </c>
      <c r="AF19" t="n">
        <v>22646</v>
      </c>
    </row>
    <row r="20">
      <c r="A20" t="s">
        <v>6</v>
      </c>
      <c r="B20" t="s">
        <v>197</v>
      </c>
      <c r="C20" t="s">
        <v>131</v>
      </c>
      <c r="D20" t="s">
        <v>198</v>
      </c>
      <c r="E20" t="s">
        <v>132</v>
      </c>
      <c r="F20" t="n">
        <v>1898.6</v>
      </c>
      <c r="G20" t="n">
        <v>1692.2</v>
      </c>
      <c r="H20" t="n">
        <v>1860.2</v>
      </c>
      <c r="I20" t="n">
        <v>2101</v>
      </c>
      <c r="J20" t="n">
        <v>1656.7</v>
      </c>
      <c r="K20" t="n">
        <v>2283.2</v>
      </c>
      <c r="L20" t="n">
        <v>2854.3</v>
      </c>
      <c r="M20" t="n">
        <v>2864.5</v>
      </c>
      <c r="N20" t="n">
        <v>3111.5</v>
      </c>
      <c r="O20" t="n">
        <v>3701.1</v>
      </c>
      <c r="P20" t="n">
        <v>4450.3</v>
      </c>
      <c r="Q20" t="n">
        <v>5462.1</v>
      </c>
      <c r="R20" t="n">
        <v>6127.8</v>
      </c>
      <c r="S20" t="n">
        <v>7202.3</v>
      </c>
      <c r="T20" t="n">
        <v>6224</v>
      </c>
      <c r="U20" t="n">
        <v>5779.2</v>
      </c>
      <c r="V20" t="n">
        <v>5091.2</v>
      </c>
      <c r="W20" t="n">
        <v>6678.6</v>
      </c>
      <c r="X20" t="n">
        <v>6908.4</v>
      </c>
      <c r="Y20" t="n">
        <v>6274.1</v>
      </c>
      <c r="Z20" t="n">
        <v>6325.9</v>
      </c>
      <c r="AA20" t="n">
        <v>6082.2</v>
      </c>
      <c r="AB20" t="n">
        <v>6477.2</v>
      </c>
      <c r="AC20" t="n">
        <v>6920.5</v>
      </c>
      <c r="AD20" t="n">
        <v>8017.9</v>
      </c>
      <c r="AE20" t="n">
        <v>8094.2</v>
      </c>
      <c r="AF20" t="n">
        <v>11254.3</v>
      </c>
    </row>
    <row r="21">
      <c r="A21" t="s">
        <v>6</v>
      </c>
      <c r="B21" t="s">
        <v>199</v>
      </c>
      <c r="C21" t="s">
        <v>131</v>
      </c>
      <c r="D21" t="s">
        <v>200</v>
      </c>
      <c r="E21" t="s">
        <v>132</v>
      </c>
      <c r="F21" t="n">
        <v>2718.9</v>
      </c>
      <c r="G21" t="n">
        <v>2612.4</v>
      </c>
      <c r="H21" t="n">
        <v>2692.6</v>
      </c>
      <c r="I21" t="n">
        <v>3146.8</v>
      </c>
      <c r="J21" t="n">
        <v>2783.7</v>
      </c>
      <c r="K21" t="n">
        <v>3600</v>
      </c>
      <c r="L21" t="n">
        <v>4472.9</v>
      </c>
      <c r="M21" t="n">
        <v>4583.6</v>
      </c>
      <c r="N21" t="n">
        <v>5050.8</v>
      </c>
      <c r="O21" t="n">
        <v>5471.1</v>
      </c>
      <c r="P21" t="n">
        <v>6695.1</v>
      </c>
      <c r="Q21" t="n">
        <v>8202.4</v>
      </c>
      <c r="R21" t="n">
        <v>9492.4</v>
      </c>
      <c r="S21" t="n">
        <v>10648.3</v>
      </c>
      <c r="T21" t="n">
        <v>9270.9</v>
      </c>
      <c r="U21" t="n">
        <v>7427.9</v>
      </c>
      <c r="V21" t="n">
        <v>6590.4</v>
      </c>
      <c r="W21" t="n">
        <v>8888.2</v>
      </c>
      <c r="X21" t="n">
        <v>9280.7</v>
      </c>
      <c r="Y21" t="n">
        <v>8544.1</v>
      </c>
      <c r="Z21" t="n">
        <v>8511</v>
      </c>
      <c r="AA21" t="n">
        <v>8423.2</v>
      </c>
      <c r="AB21" t="n">
        <v>9134.6</v>
      </c>
      <c r="AC21" t="n">
        <v>9574.1</v>
      </c>
      <c r="AD21" t="n">
        <v>11079.9</v>
      </c>
      <c r="AE21" t="n">
        <v>10713.3</v>
      </c>
      <c r="AF21" t="n">
        <v>14696.3</v>
      </c>
    </row>
    <row r="22">
      <c r="A22" t="s">
        <v>6</v>
      </c>
      <c r="B22" t="s">
        <v>201</v>
      </c>
      <c r="C22" t="s">
        <v>131</v>
      </c>
      <c r="D22" t="s">
        <v>202</v>
      </c>
      <c r="E22" t="s">
        <v>132</v>
      </c>
      <c r="F22" t="n">
        <v>820.3</v>
      </c>
      <c r="G22" t="n">
        <v>920.2</v>
      </c>
      <c r="H22" t="n">
        <v>832.4</v>
      </c>
      <c r="I22" t="n">
        <v>1045.8</v>
      </c>
      <c r="J22" t="n">
        <v>1127</v>
      </c>
      <c r="K22" t="n">
        <v>1316.8</v>
      </c>
      <c r="L22" t="n">
        <v>1618.6</v>
      </c>
      <c r="M22" t="n">
        <v>1719.1</v>
      </c>
      <c r="N22" t="n">
        <v>1939.3</v>
      </c>
      <c r="O22" t="n">
        <v>1770</v>
      </c>
      <c r="P22" t="n">
        <v>2244.8</v>
      </c>
      <c r="Q22" t="n">
        <v>2740.3</v>
      </c>
      <c r="R22" t="n">
        <v>3364.6</v>
      </c>
      <c r="S22" t="n">
        <v>3446</v>
      </c>
      <c r="T22" t="n">
        <v>3046.9</v>
      </c>
      <c r="U22" t="n">
        <v>1648.7</v>
      </c>
      <c r="V22" t="n">
        <v>1499.2</v>
      </c>
      <c r="W22" t="n">
        <v>2209.6</v>
      </c>
      <c r="X22" t="n">
        <v>2372.3</v>
      </c>
      <c r="Y22" t="n">
        <v>2270</v>
      </c>
      <c r="Z22" t="n">
        <v>2185.1</v>
      </c>
      <c r="AA22" t="n">
        <v>2341</v>
      </c>
      <c r="AB22" t="n">
        <v>2657.4</v>
      </c>
      <c r="AC22" t="n">
        <v>2653.6</v>
      </c>
      <c r="AD22" t="n">
        <v>3062</v>
      </c>
      <c r="AE22" t="n">
        <v>2619.1</v>
      </c>
      <c r="AF22" t="n">
        <v>3442</v>
      </c>
    </row>
    <row r="23">
      <c r="A23" t="s">
        <v>6</v>
      </c>
      <c r="B23" t="s">
        <v>203</v>
      </c>
      <c r="C23" t="s">
        <v>131</v>
      </c>
      <c r="D23" t="s">
        <v>204</v>
      </c>
      <c r="E23" t="s">
        <v>132</v>
      </c>
      <c r="F23" t="n">
        <v>8851.5</v>
      </c>
      <c r="G23" t="n">
        <v>9647.4</v>
      </c>
      <c r="H23" t="n">
        <v>11390</v>
      </c>
      <c r="I23" t="n">
        <v>13919.3</v>
      </c>
      <c r="J23" t="n">
        <v>16905.5</v>
      </c>
      <c r="K23" t="n">
        <v>20987.7</v>
      </c>
      <c r="L23" t="n">
        <v>24471</v>
      </c>
      <c r="M23" t="n">
        <v>26258.7</v>
      </c>
      <c r="N23" t="n">
        <v>29023.7</v>
      </c>
      <c r="O23" t="n">
        <v>34503.4</v>
      </c>
      <c r="P23" t="n">
        <v>40226</v>
      </c>
      <c r="Q23" t="n">
        <v>47904.3</v>
      </c>
      <c r="R23" t="n">
        <v>49865.9</v>
      </c>
      <c r="S23" t="n">
        <v>41256.9</v>
      </c>
      <c r="T23" t="n">
        <v>16765.2</v>
      </c>
      <c r="U23" t="n">
        <v>12774.8</v>
      </c>
      <c r="V23" t="n">
        <v>9586.6</v>
      </c>
      <c r="W23" t="n">
        <v>7793.4</v>
      </c>
      <c r="X23" t="n">
        <v>9526.2</v>
      </c>
      <c r="Y23" t="n">
        <v>13610.5</v>
      </c>
      <c r="Z23" t="n">
        <v>15265.7</v>
      </c>
      <c r="AA23" t="n">
        <v>19539.4</v>
      </c>
      <c r="AB23" t="n">
        <v>24761.5</v>
      </c>
      <c r="AC23" t="n">
        <v>26664.7</v>
      </c>
      <c r="AD23" t="n">
        <v>27427.1</v>
      </c>
      <c r="AE23" t="n">
        <v>28008.1</v>
      </c>
      <c r="AF23" t="n">
        <v>36390.7</v>
      </c>
    </row>
    <row r="24">
      <c r="A24" t="s">
        <v>6</v>
      </c>
      <c r="B24" t="s">
        <v>205</v>
      </c>
      <c r="C24" t="s">
        <v>131</v>
      </c>
      <c r="D24" t="s">
        <v>206</v>
      </c>
      <c r="E24" t="s">
        <v>132</v>
      </c>
      <c r="F24" t="n">
        <v>8539.9</v>
      </c>
      <c r="G24" t="n">
        <v>10348.2</v>
      </c>
      <c r="H24" t="n">
        <v>11960.9</v>
      </c>
      <c r="I24" t="n">
        <v>13144</v>
      </c>
      <c r="J24" t="n">
        <v>14649.8</v>
      </c>
      <c r="K24" t="n">
        <v>17017.2</v>
      </c>
      <c r="L24" t="n">
        <v>15788.8</v>
      </c>
      <c r="M24" t="n">
        <v>17903</v>
      </c>
      <c r="N24" t="n">
        <v>20243.6</v>
      </c>
      <c r="O24" t="n">
        <v>23097.1</v>
      </c>
      <c r="P24" t="n">
        <v>24240.1</v>
      </c>
      <c r="Q24" t="n">
        <v>29769.5</v>
      </c>
      <c r="R24" t="n">
        <v>32349.8</v>
      </c>
      <c r="S24" t="n">
        <v>33387.7</v>
      </c>
      <c r="T24" t="n">
        <v>29255.9</v>
      </c>
      <c r="U24" t="n">
        <v>31312.9</v>
      </c>
      <c r="V24" t="n">
        <v>35454.3</v>
      </c>
      <c r="W24" t="n">
        <v>35548.9</v>
      </c>
      <c r="X24" t="n">
        <v>35340.9</v>
      </c>
      <c r="Y24" t="n">
        <v>34813.5</v>
      </c>
      <c r="Z24" t="n">
        <v>36206.8</v>
      </c>
      <c r="AA24" t="n">
        <v>41948.3</v>
      </c>
      <c r="AB24" t="n">
        <v>42375.5</v>
      </c>
      <c r="AC24" t="n">
        <v>43460.6</v>
      </c>
      <c r="AD24" t="n">
        <v>44366.8</v>
      </c>
      <c r="AE24" t="n">
        <v>45858.2</v>
      </c>
      <c r="AF24" t="n">
        <v>47224.3</v>
      </c>
    </row>
    <row r="25">
      <c r="A25" t="s">
        <v>6</v>
      </c>
      <c r="B25" t="s">
        <v>207</v>
      </c>
      <c r="C25" t="s">
        <v>131</v>
      </c>
      <c r="D25" t="s">
        <v>208</v>
      </c>
      <c r="E25" t="s">
        <v>132</v>
      </c>
      <c r="F25" t="n">
        <v>965.3</v>
      </c>
      <c r="G25" t="n">
        <v>1073.6</v>
      </c>
      <c r="H25" t="n">
        <v>1237</v>
      </c>
      <c r="I25" t="n">
        <v>1356.3</v>
      </c>
      <c r="J25" t="n">
        <v>1552.3</v>
      </c>
      <c r="K25" t="n">
        <v>1887.7</v>
      </c>
      <c r="L25" t="n">
        <v>1807.3</v>
      </c>
      <c r="M25" t="n">
        <v>1803.6</v>
      </c>
      <c r="N25" t="n">
        <v>1722.7</v>
      </c>
      <c r="O25" t="n">
        <v>2418</v>
      </c>
      <c r="P25" t="n">
        <v>2169.2</v>
      </c>
      <c r="Q25" t="n">
        <v>2610.9</v>
      </c>
      <c r="R25" t="n">
        <v>2945.4</v>
      </c>
      <c r="S25" t="n">
        <v>2829.7</v>
      </c>
      <c r="T25" t="n">
        <v>2092.6</v>
      </c>
      <c r="U25" t="n">
        <v>2107.5</v>
      </c>
      <c r="V25" t="n">
        <v>1502.4</v>
      </c>
      <c r="W25" t="n">
        <v>1841.8</v>
      </c>
      <c r="X25" t="n">
        <v>2042.3</v>
      </c>
      <c r="Y25" t="n">
        <v>1911.9</v>
      </c>
      <c r="Z25" t="n">
        <v>2290</v>
      </c>
      <c r="AA25" t="n">
        <v>2561.4</v>
      </c>
      <c r="AB25" t="n">
        <v>2695.8</v>
      </c>
      <c r="AC25" t="n">
        <v>3255.3</v>
      </c>
      <c r="AD25" t="n">
        <v>2583.3</v>
      </c>
      <c r="AE25" t="n">
        <v>2445.3</v>
      </c>
      <c r="AF25" t="n">
        <v>2659.1</v>
      </c>
    </row>
    <row r="26">
      <c r="A26" t="s">
        <v>6</v>
      </c>
      <c r="B26" t="s">
        <v>209</v>
      </c>
      <c r="C26" t="s">
        <v>131</v>
      </c>
      <c r="D26" t="s">
        <v>210</v>
      </c>
      <c r="E26" t="s">
        <v>132</v>
      </c>
      <c r="F26" t="n">
        <v>3437.7</v>
      </c>
      <c r="G26" t="n">
        <v>4645</v>
      </c>
      <c r="H26" t="n">
        <v>5447.5</v>
      </c>
      <c r="I26" t="n">
        <v>6365.5</v>
      </c>
      <c r="J26" t="n">
        <v>6858.1</v>
      </c>
      <c r="K26" t="n">
        <v>8379.9</v>
      </c>
      <c r="L26" t="n">
        <v>6807.1</v>
      </c>
      <c r="M26" t="n">
        <v>8678.5</v>
      </c>
      <c r="N26" t="n">
        <v>9920.2</v>
      </c>
      <c r="O26" t="n">
        <v>10511.7</v>
      </c>
      <c r="P26" t="n">
        <v>12630.6</v>
      </c>
      <c r="Q26" t="n">
        <v>15198.5</v>
      </c>
      <c r="R26" t="n">
        <v>14774.3</v>
      </c>
      <c r="S26" t="n">
        <v>15865.7</v>
      </c>
      <c r="T26" t="n">
        <v>12420.5</v>
      </c>
      <c r="U26" t="n">
        <v>16772.8</v>
      </c>
      <c r="V26" t="n">
        <v>21296.1</v>
      </c>
      <c r="W26" t="n">
        <v>21117.2</v>
      </c>
      <c r="X26" t="n">
        <v>20199.1</v>
      </c>
      <c r="Y26" t="n">
        <v>19199.6</v>
      </c>
      <c r="Z26" t="n">
        <v>20950.6</v>
      </c>
      <c r="AA26" t="n">
        <v>24936.3</v>
      </c>
      <c r="AB26" t="n">
        <v>24094.2</v>
      </c>
      <c r="AC26" t="n">
        <v>25099.2</v>
      </c>
      <c r="AD26" t="n">
        <v>27412.6</v>
      </c>
      <c r="AE26" t="n">
        <v>28185.5</v>
      </c>
      <c r="AF26" t="n">
        <v>28833</v>
      </c>
    </row>
    <row r="27">
      <c r="A27" t="s">
        <v>6</v>
      </c>
      <c r="B27" t="s">
        <v>211</v>
      </c>
      <c r="C27" t="s">
        <v>131</v>
      </c>
      <c r="D27" t="s">
        <v>212</v>
      </c>
      <c r="E27" t="s">
        <v>132</v>
      </c>
      <c r="F27" t="n">
        <v>4136.9</v>
      </c>
      <c r="G27" t="n">
        <v>4629.6</v>
      </c>
      <c r="H27" t="n">
        <v>5276.4</v>
      </c>
      <c r="I27" t="n">
        <v>5422.2</v>
      </c>
      <c r="J27" t="n">
        <v>6239.4</v>
      </c>
      <c r="K27" t="n">
        <v>6749.6</v>
      </c>
      <c r="L27" t="n">
        <v>7174.4</v>
      </c>
      <c r="M27" t="n">
        <v>7420.9</v>
      </c>
      <c r="N27" t="n">
        <v>8600.7</v>
      </c>
      <c r="O27" t="n">
        <v>10167.4</v>
      </c>
      <c r="P27" t="n">
        <v>9440.3</v>
      </c>
      <c r="Q27" t="n">
        <v>11960.1</v>
      </c>
      <c r="R27" t="n">
        <v>14630.1</v>
      </c>
      <c r="S27" t="n">
        <v>14692.3</v>
      </c>
      <c r="T27" t="n">
        <v>14742.8</v>
      </c>
      <c r="U27" t="n">
        <v>12432.6</v>
      </c>
      <c r="V27" t="n">
        <v>12655.8</v>
      </c>
      <c r="W27" t="n">
        <v>12589.9</v>
      </c>
      <c r="X27" t="n">
        <v>13099.5</v>
      </c>
      <c r="Y27" t="n">
        <v>13702</v>
      </c>
      <c r="Z27" t="n">
        <v>12966.2</v>
      </c>
      <c r="AA27" t="n">
        <v>14450.6</v>
      </c>
      <c r="AB27" t="n">
        <v>15585.5</v>
      </c>
      <c r="AC27" t="n">
        <v>15106.1</v>
      </c>
      <c r="AD27" t="n">
        <v>14370.9</v>
      </c>
      <c r="AE27" t="n">
        <v>15227.4</v>
      </c>
      <c r="AF27" t="n">
        <v>15732.2</v>
      </c>
    </row>
    <row r="28">
      <c r="A28" t="s">
        <v>6</v>
      </c>
      <c r="B28" t="s">
        <v>213</v>
      </c>
      <c r="C28" t="s">
        <v>131</v>
      </c>
      <c r="D28" t="s">
        <v>214</v>
      </c>
      <c r="E28" t="s">
        <v>132</v>
      </c>
      <c r="F28" t="n">
        <v>3273</v>
      </c>
      <c r="G28" t="n">
        <v>3660.7</v>
      </c>
      <c r="H28" t="n">
        <v>4296.3</v>
      </c>
      <c r="I28" t="n">
        <v>5256.9</v>
      </c>
      <c r="J28" t="n">
        <v>5972.6</v>
      </c>
      <c r="K28" t="n">
        <v>7186.4</v>
      </c>
      <c r="L28" t="n">
        <v>7782.6</v>
      </c>
      <c r="M28" t="n">
        <v>8180.7</v>
      </c>
      <c r="N28" t="n">
        <v>9048.1</v>
      </c>
      <c r="O28" t="n">
        <v>10237.4</v>
      </c>
      <c r="P28" t="n">
        <v>11110.4</v>
      </c>
      <c r="Q28" t="n">
        <v>13010.7</v>
      </c>
      <c r="R28" t="n">
        <v>13769.8</v>
      </c>
      <c r="S28" t="n">
        <v>16077.7</v>
      </c>
      <c r="T28" t="n">
        <v>14476.6</v>
      </c>
      <c r="U28" t="n">
        <v>15334.4</v>
      </c>
      <c r="V28" t="n">
        <v>12282.6</v>
      </c>
      <c r="W28" t="n">
        <v>15893.8</v>
      </c>
      <c r="X28" t="n">
        <v>14960.7</v>
      </c>
      <c r="Y28" t="n">
        <v>15555.9</v>
      </c>
      <c r="Z28" t="n">
        <v>15355.6</v>
      </c>
      <c r="AA28" t="n">
        <v>18964.5</v>
      </c>
      <c r="AB28" t="n">
        <v>18892.3</v>
      </c>
      <c r="AC28" t="n">
        <v>20421.7</v>
      </c>
      <c r="AD28" t="n">
        <v>22212.5</v>
      </c>
      <c r="AE28" t="n">
        <v>12477</v>
      </c>
      <c r="AF28" t="n">
        <v>14320.3</v>
      </c>
    </row>
    <row r="29">
      <c r="A29" t="s">
        <v>6</v>
      </c>
      <c r="B29" t="s">
        <v>215</v>
      </c>
      <c r="C29" t="s">
        <v>131</v>
      </c>
      <c r="D29" t="s">
        <v>216</v>
      </c>
      <c r="E29" t="s">
        <v>132</v>
      </c>
      <c r="F29" t="n">
        <v>1359.3</v>
      </c>
      <c r="G29" t="n">
        <v>1545</v>
      </c>
      <c r="H29" t="n">
        <v>1846.5</v>
      </c>
      <c r="I29" t="n">
        <v>2312.7</v>
      </c>
      <c r="J29" t="n">
        <v>2560.7</v>
      </c>
      <c r="K29" t="n">
        <v>3152.6</v>
      </c>
      <c r="L29" t="n">
        <v>3578.9</v>
      </c>
      <c r="M29" t="n">
        <v>3634.7</v>
      </c>
      <c r="N29" t="n">
        <v>3735.3</v>
      </c>
      <c r="O29" t="n">
        <v>4805.4</v>
      </c>
      <c r="P29" t="n">
        <v>4809.4</v>
      </c>
      <c r="Q29" t="n">
        <v>4674.6</v>
      </c>
      <c r="R29" t="n">
        <v>5311.7</v>
      </c>
      <c r="S29" t="n">
        <v>6000.5</v>
      </c>
      <c r="T29" t="n">
        <v>4720</v>
      </c>
      <c r="U29" t="n">
        <v>5935.4</v>
      </c>
      <c r="V29" t="n">
        <v>4619.8</v>
      </c>
      <c r="W29" t="n">
        <v>5235</v>
      </c>
      <c r="X29" t="n">
        <v>4162.8</v>
      </c>
      <c r="Y29" t="n">
        <v>4396.6</v>
      </c>
      <c r="Z29" t="n">
        <v>4788.7</v>
      </c>
      <c r="AA29" t="n">
        <v>4929.5</v>
      </c>
      <c r="AB29" t="n">
        <v>4029.6</v>
      </c>
      <c r="AC29" t="n">
        <v>4914.7</v>
      </c>
      <c r="AD29" t="n">
        <v>5257.1</v>
      </c>
      <c r="AE29" t="n">
        <v>5073.3</v>
      </c>
      <c r="AF29" t="n">
        <v>5304.5</v>
      </c>
    </row>
    <row r="30">
      <c r="A30" t="s">
        <v>6</v>
      </c>
      <c r="B30" t="s">
        <v>217</v>
      </c>
      <c r="C30" t="s">
        <v>131</v>
      </c>
      <c r="D30" t="s">
        <v>218</v>
      </c>
      <c r="E30" t="s">
        <v>132</v>
      </c>
      <c r="F30" t="n">
        <v>155.6</v>
      </c>
      <c r="G30" t="n">
        <v>182.2</v>
      </c>
      <c r="H30" t="n">
        <v>219.2</v>
      </c>
      <c r="I30" t="n">
        <v>301.5</v>
      </c>
      <c r="J30" t="n">
        <v>345.9</v>
      </c>
      <c r="K30" t="n">
        <v>382.8</v>
      </c>
      <c r="L30" t="n">
        <v>404.9</v>
      </c>
      <c r="M30" t="n">
        <v>493.7</v>
      </c>
      <c r="N30" t="n">
        <v>525.5</v>
      </c>
      <c r="O30" t="n">
        <v>594.5</v>
      </c>
      <c r="P30" t="n">
        <v>285.7</v>
      </c>
      <c r="Q30" t="n">
        <v>539.2</v>
      </c>
      <c r="R30" t="n">
        <v>602.4</v>
      </c>
      <c r="S30" t="n">
        <v>378.8</v>
      </c>
      <c r="T30" t="n">
        <v>597.9</v>
      </c>
      <c r="U30" t="n">
        <v>383.5</v>
      </c>
      <c r="V30" t="n">
        <v>253.4</v>
      </c>
      <c r="W30" t="n">
        <v>591.9</v>
      </c>
      <c r="X30" t="n">
        <v>521.9</v>
      </c>
      <c r="Y30" t="n">
        <v>527.6</v>
      </c>
      <c r="Z30" t="n">
        <v>510.9</v>
      </c>
      <c r="AA30" t="n">
        <v>490.5</v>
      </c>
      <c r="AB30" t="n">
        <v>504.6</v>
      </c>
      <c r="AC30" t="n">
        <v>530.8</v>
      </c>
      <c r="AD30" t="n">
        <v>698.4</v>
      </c>
      <c r="AE30" t="n">
        <v>554.8</v>
      </c>
      <c r="AF30" t="n">
        <v>544.9</v>
      </c>
    </row>
    <row r="31">
      <c r="A31" t="s">
        <v>6</v>
      </c>
      <c r="B31" t="s">
        <v>219</v>
      </c>
      <c r="C31" t="s">
        <v>131</v>
      </c>
      <c r="D31" t="s">
        <v>220</v>
      </c>
      <c r="E31" t="s">
        <v>132</v>
      </c>
      <c r="F31" t="n">
        <v>576.8</v>
      </c>
      <c r="G31" t="n">
        <v>598.4</v>
      </c>
      <c r="H31" t="n">
        <v>700.2</v>
      </c>
      <c r="I31" t="n">
        <v>933.1</v>
      </c>
      <c r="J31" t="n">
        <v>1181.3</v>
      </c>
      <c r="K31" t="n">
        <v>1310.3</v>
      </c>
      <c r="L31" t="n">
        <v>993.1</v>
      </c>
      <c r="M31" t="n">
        <v>1422.8</v>
      </c>
      <c r="N31" t="n">
        <v>1649.8</v>
      </c>
      <c r="O31" t="n">
        <v>1956.2</v>
      </c>
      <c r="P31" t="n">
        <v>2114.2</v>
      </c>
      <c r="Q31" t="n">
        <v>3124.5</v>
      </c>
      <c r="R31" t="n">
        <v>3705.9</v>
      </c>
      <c r="S31" t="n">
        <v>3784.4</v>
      </c>
      <c r="T31" t="n">
        <v>4232.7</v>
      </c>
      <c r="U31" t="n">
        <v>4571.1</v>
      </c>
      <c r="V31" t="n">
        <v>4073.1</v>
      </c>
      <c r="W31" t="n">
        <v>6691.3</v>
      </c>
      <c r="X31" t="n">
        <v>6728.6</v>
      </c>
      <c r="Y31" t="n">
        <v>7074.7</v>
      </c>
      <c r="Z31"/>
      <c r="AA31"/>
      <c r="AB31"/>
      <c r="AC31"/>
      <c r="AD31"/>
      <c r="AE31"/>
      <c r="AF31"/>
    </row>
    <row r="32">
      <c r="A32" t="s">
        <v>6</v>
      </c>
      <c r="B32" t="s">
        <v>221</v>
      </c>
      <c r="C32" t="s">
        <v>131</v>
      </c>
      <c r="D32" t="s">
        <v>222</v>
      </c>
      <c r="E32" t="s">
        <v>132</v>
      </c>
      <c r="F32" t="n">
        <v>565.5</v>
      </c>
      <c r="G32" t="n">
        <v>642.3</v>
      </c>
      <c r="H32" t="n">
        <v>747.1</v>
      </c>
      <c r="I32" t="n">
        <v>926.9</v>
      </c>
      <c r="J32" t="n">
        <v>1074.2</v>
      </c>
      <c r="K32" t="n">
        <v>1460</v>
      </c>
      <c r="L32" t="n">
        <v>1797.5</v>
      </c>
      <c r="M32" t="n">
        <v>1589.7</v>
      </c>
      <c r="N32" t="n">
        <v>2186.3</v>
      </c>
      <c r="O32" t="n">
        <v>1959.6</v>
      </c>
      <c r="P32" t="n">
        <v>2623.4</v>
      </c>
      <c r="Q32" t="n">
        <v>3009.9</v>
      </c>
      <c r="R32" t="n">
        <v>2535.9</v>
      </c>
      <c r="S32" t="n">
        <v>4196</v>
      </c>
      <c r="T32" t="n">
        <v>3538.2</v>
      </c>
      <c r="U32" t="n">
        <v>2854.1</v>
      </c>
      <c r="V32" t="n">
        <v>2160.5</v>
      </c>
      <c r="W32" t="n">
        <v>2216.6</v>
      </c>
      <c r="X32" t="n">
        <v>2402.9</v>
      </c>
      <c r="Y32" t="n">
        <v>2355.8</v>
      </c>
      <c r="Z32"/>
      <c r="AA32"/>
      <c r="AB32"/>
      <c r="AC32"/>
      <c r="AD32"/>
      <c r="AE32"/>
      <c r="AF32"/>
    </row>
    <row r="33">
      <c r="A33" t="s">
        <v>6</v>
      </c>
      <c r="B33" t="s">
        <v>223</v>
      </c>
      <c r="C33" t="s">
        <v>131</v>
      </c>
      <c r="D33" t="s">
        <v>224</v>
      </c>
      <c r="E33" t="s">
        <v>132</v>
      </c>
      <c r="F33" t="n">
        <v>615.8</v>
      </c>
      <c r="G33" t="n">
        <v>692.8</v>
      </c>
      <c r="H33" t="n">
        <v>783.3</v>
      </c>
      <c r="I33" t="n">
        <v>782.7</v>
      </c>
      <c r="J33" t="n">
        <v>810.5</v>
      </c>
      <c r="K33" t="n">
        <v>880.7</v>
      </c>
      <c r="L33" t="n">
        <v>1008.2</v>
      </c>
      <c r="M33" t="n">
        <v>1039.8</v>
      </c>
      <c r="N33" t="n">
        <v>951.2</v>
      </c>
      <c r="O33" t="n">
        <v>921.7</v>
      </c>
      <c r="P33" t="n">
        <v>1277.7</v>
      </c>
      <c r="Q33" t="n">
        <v>1662.5</v>
      </c>
      <c r="R33" t="n">
        <v>1613.9</v>
      </c>
      <c r="S33" t="n">
        <v>1718</v>
      </c>
      <c r="T33" t="n">
        <v>1387.8</v>
      </c>
      <c r="U33" t="n">
        <v>1590.3</v>
      </c>
      <c r="V33" t="n">
        <v>1175.8</v>
      </c>
      <c r="W33" t="n">
        <v>1159</v>
      </c>
      <c r="X33" t="n">
        <v>1144.5</v>
      </c>
      <c r="Y33" t="n">
        <v>1201.2</v>
      </c>
      <c r="Z33" t="n">
        <v>1235.6</v>
      </c>
      <c r="AA33" t="n">
        <v>1182.8</v>
      </c>
      <c r="AB33" t="n">
        <v>1225.1</v>
      </c>
      <c r="AC33" t="n">
        <v>1539.4</v>
      </c>
      <c r="AD33" t="n">
        <v>2263.3</v>
      </c>
      <c r="AE33" t="n">
        <v>1791.8</v>
      </c>
      <c r="AF33" t="n">
        <v>1680.8</v>
      </c>
    </row>
    <row r="34">
      <c r="A34" t="s">
        <v>6</v>
      </c>
      <c r="B34" t="s">
        <v>225</v>
      </c>
      <c r="C34" t="s">
        <v>131</v>
      </c>
      <c r="D34" t="s">
        <v>226</v>
      </c>
      <c r="E34" t="s">
        <v>132</v>
      </c>
      <c r="F34" t="n">
        <v>2453</v>
      </c>
      <c r="G34" t="n">
        <v>2742.4</v>
      </c>
      <c r="H34" t="n">
        <v>3449.8</v>
      </c>
      <c r="I34" t="n">
        <v>4946.3</v>
      </c>
      <c r="J34" t="n">
        <v>5370.9</v>
      </c>
      <c r="K34" t="n">
        <v>6705.6</v>
      </c>
      <c r="L34" t="n">
        <v>7039.7</v>
      </c>
      <c r="M34" t="n">
        <v>7081.4</v>
      </c>
      <c r="N34" t="n">
        <v>7631</v>
      </c>
      <c r="O34" t="n">
        <v>8195</v>
      </c>
      <c r="P34" t="n">
        <v>7995.3</v>
      </c>
      <c r="Q34" t="n">
        <v>8346</v>
      </c>
      <c r="R34" t="n">
        <v>9514.4</v>
      </c>
      <c r="S34" t="n">
        <v>10224.1</v>
      </c>
      <c r="T34" t="n">
        <v>8851.4</v>
      </c>
      <c r="U34" t="n">
        <v>7375.9</v>
      </c>
      <c r="V34" t="n">
        <v>5671.9</v>
      </c>
      <c r="W34" t="n">
        <v>6432</v>
      </c>
      <c r="X34" t="n">
        <v>6393.9</v>
      </c>
      <c r="Y34" t="n">
        <v>6665.3</v>
      </c>
      <c r="Z34" t="n">
        <v>6864.1</v>
      </c>
      <c r="AA34" t="n">
        <v>7716.7</v>
      </c>
      <c r="AB34" t="n">
        <v>7952</v>
      </c>
      <c r="AC34" t="n">
        <v>8659.3</v>
      </c>
      <c r="AD34" t="n">
        <v>8725.4</v>
      </c>
      <c r="AE34" t="n">
        <v>4691</v>
      </c>
      <c r="AF34" t="n">
        <v>6835.6</v>
      </c>
    </row>
    <row r="35">
      <c r="A35" t="s">
        <v>6</v>
      </c>
      <c r="B35" t="s">
        <v>227</v>
      </c>
      <c r="C35" t="s">
        <v>131</v>
      </c>
      <c r="D35" t="s">
        <v>228</v>
      </c>
      <c r="E35" t="s">
        <v>132</v>
      </c>
      <c r="F35" t="n">
        <v>11674</v>
      </c>
      <c r="G35" t="n">
        <v>12940.8</v>
      </c>
      <c r="H35" t="n">
        <v>16448.4</v>
      </c>
      <c r="I35" t="n">
        <v>19096.4</v>
      </c>
      <c r="J35" t="n">
        <v>22974.5</v>
      </c>
      <c r="K35" t="n">
        <v>24613.3</v>
      </c>
      <c r="L35" t="n">
        <v>25548.2</v>
      </c>
      <c r="M35" t="n">
        <v>25582.1</v>
      </c>
      <c r="N35" t="n">
        <v>27545.3</v>
      </c>
      <c r="O35" t="n">
        <v>26662.5</v>
      </c>
      <c r="P35" t="n">
        <v>31866.4</v>
      </c>
      <c r="Q35" t="n">
        <v>35936.7</v>
      </c>
      <c r="R35" t="n">
        <v>37108.5</v>
      </c>
      <c r="S35" t="n">
        <v>43194</v>
      </c>
      <c r="T35" t="n">
        <v>42958</v>
      </c>
      <c r="U35" t="n">
        <v>47990</v>
      </c>
      <c r="V35" t="n">
        <v>44014.5</v>
      </c>
      <c r="W35" t="n">
        <v>61889.2</v>
      </c>
      <c r="X35" t="n">
        <v>71503.5</v>
      </c>
      <c r="Y35" t="n">
        <v>77204.9</v>
      </c>
      <c r="Z35" t="n">
        <v>87464.2</v>
      </c>
      <c r="AA35" t="n">
        <v>82217.2</v>
      </c>
      <c r="AB35" t="n">
        <v>95777.3</v>
      </c>
      <c r="AC35" t="n">
        <v>120022.6</v>
      </c>
      <c r="AD35" t="n">
        <v>134108.9</v>
      </c>
      <c r="AE35" t="n">
        <v>157718.2</v>
      </c>
      <c r="AF35" t="n">
        <v>220647.6</v>
      </c>
    </row>
    <row r="36">
      <c r="A36" t="s">
        <v>6</v>
      </c>
      <c r="B36" t="s">
        <v>229</v>
      </c>
      <c r="C36" t="s">
        <v>131</v>
      </c>
      <c r="D36" t="s">
        <v>230</v>
      </c>
      <c r="E36" t="s">
        <v>132</v>
      </c>
      <c r="F36" t="n">
        <v>3831</v>
      </c>
      <c r="G36" t="n">
        <v>4057.9</v>
      </c>
      <c r="H36" t="n">
        <v>5345.9</v>
      </c>
      <c r="I36" t="n">
        <v>6776</v>
      </c>
      <c r="J36" t="n">
        <v>8220.7</v>
      </c>
      <c r="K36" t="n">
        <v>8992.4</v>
      </c>
      <c r="L36" t="n">
        <v>9777.7</v>
      </c>
      <c r="M36" t="n">
        <v>9796.1</v>
      </c>
      <c r="N36" t="n">
        <v>10035.1</v>
      </c>
      <c r="O36" t="n">
        <v>10483.1</v>
      </c>
      <c r="P36" t="n">
        <v>11089.6</v>
      </c>
      <c r="Q36" t="n">
        <v>12974.4</v>
      </c>
      <c r="R36" t="n">
        <v>14991</v>
      </c>
      <c r="S36" t="n">
        <v>16041.3</v>
      </c>
      <c r="T36" t="n">
        <v>13269.5</v>
      </c>
      <c r="U36" t="n">
        <v>18312.4</v>
      </c>
      <c r="V36" t="n">
        <v>14874</v>
      </c>
      <c r="W36" t="n">
        <v>18965.8</v>
      </c>
      <c r="X36" t="n">
        <v>20237</v>
      </c>
      <c r="Y36" t="n">
        <v>27322.2</v>
      </c>
      <c r="Z36"/>
      <c r="AA36"/>
      <c r="AB36"/>
      <c r="AC36"/>
      <c r="AD36"/>
      <c r="AE36"/>
      <c r="AF36"/>
    </row>
    <row r="37">
      <c r="A37" t="s">
        <v>6</v>
      </c>
      <c r="B37" t="s">
        <v>231</v>
      </c>
      <c r="C37" t="s">
        <v>131</v>
      </c>
      <c r="D37" t="s">
        <v>232</v>
      </c>
      <c r="E37" t="s">
        <v>132</v>
      </c>
      <c r="F37" t="n">
        <v>5824.3</v>
      </c>
      <c r="G37" t="n">
        <v>6646.1</v>
      </c>
      <c r="H37" t="n">
        <v>7918.1</v>
      </c>
      <c r="I37" t="n">
        <v>8079.5</v>
      </c>
      <c r="J37" t="n">
        <v>9116</v>
      </c>
      <c r="K37" t="n">
        <v>9176.6</v>
      </c>
      <c r="L37" t="n">
        <v>7928.7</v>
      </c>
      <c r="M37" t="n">
        <v>7254.7</v>
      </c>
      <c r="N37" t="n">
        <v>8643.3</v>
      </c>
      <c r="O37" t="n">
        <v>7067</v>
      </c>
      <c r="P37" t="n">
        <v>6895.8</v>
      </c>
      <c r="Q37" t="n">
        <v>6357.8</v>
      </c>
      <c r="R37" t="n">
        <v>7368.7</v>
      </c>
      <c r="S37" t="n">
        <v>6480.9</v>
      </c>
      <c r="T37" t="n">
        <v>5365.1</v>
      </c>
      <c r="U37" t="n">
        <v>5718.2</v>
      </c>
      <c r="V37" t="n">
        <v>3032.1</v>
      </c>
      <c r="W37" t="n">
        <v>3501.5</v>
      </c>
      <c r="X37" t="n">
        <v>3465.4</v>
      </c>
      <c r="Y37" t="n">
        <v>2954.4</v>
      </c>
      <c r="Z37" t="n">
        <v>3587.9</v>
      </c>
      <c r="AA37" t="n">
        <v>4329.3</v>
      </c>
      <c r="AB37" t="n">
        <v>5361.2</v>
      </c>
      <c r="AC37" t="n">
        <v>5451</v>
      </c>
      <c r="AD37" t="n">
        <v>6021.9</v>
      </c>
      <c r="AE37" t="n">
        <v>5529.3</v>
      </c>
      <c r="AF37" t="n">
        <v>6503.3</v>
      </c>
    </row>
    <row r="38">
      <c r="A38" t="s">
        <v>6</v>
      </c>
      <c r="B38" t="s">
        <v>233</v>
      </c>
      <c r="C38" t="s">
        <v>131</v>
      </c>
      <c r="D38" t="s">
        <v>234</v>
      </c>
      <c r="E38" t="s">
        <v>132</v>
      </c>
      <c r="F38" t="n">
        <v>2018.7</v>
      </c>
      <c r="G38" t="n">
        <v>2236.8</v>
      </c>
      <c r="H38" t="n">
        <v>3184.4</v>
      </c>
      <c r="I38" t="n">
        <v>4240.9</v>
      </c>
      <c r="J38" t="n">
        <v>5637.8</v>
      </c>
      <c r="K38" t="n">
        <v>6444.3</v>
      </c>
      <c r="L38" t="n">
        <v>7841.8</v>
      </c>
      <c r="M38" t="n">
        <v>8531.3</v>
      </c>
      <c r="N38" t="n">
        <v>8866.9</v>
      </c>
      <c r="O38" t="n">
        <v>9112.4</v>
      </c>
      <c r="P38" t="n">
        <v>13881</v>
      </c>
      <c r="Q38" t="n">
        <v>16604.5</v>
      </c>
      <c r="R38" t="n">
        <v>14748.8</v>
      </c>
      <c r="S38" t="n">
        <v>20671.8</v>
      </c>
      <c r="T38" t="n">
        <v>24323.4</v>
      </c>
      <c r="U38" t="n">
        <v>23959.4</v>
      </c>
      <c r="V38" t="n">
        <v>26108.4</v>
      </c>
      <c r="W38" t="n">
        <v>39421.9</v>
      </c>
      <c r="X38" t="n">
        <v>47801.1</v>
      </c>
      <c r="Y38" t="n">
        <v>46928.3</v>
      </c>
      <c r="Z38"/>
      <c r="AA38"/>
      <c r="AB38"/>
      <c r="AC38"/>
      <c r="AD38"/>
      <c r="AE38"/>
      <c r="AF38"/>
    </row>
    <row r="39">
      <c r="A39" t="s">
        <v>6</v>
      </c>
      <c r="B39" t="s">
        <v>235</v>
      </c>
      <c r="C39" t="s">
        <v>131</v>
      </c>
      <c r="D39" t="s">
        <v>236</v>
      </c>
      <c r="E39" t="s">
        <v>132</v>
      </c>
      <c r="F39" t="n">
        <v>9150.1</v>
      </c>
      <c r="G39" t="n">
        <v>8654.6</v>
      </c>
      <c r="H39" t="n">
        <v>8828.5</v>
      </c>
      <c r="I39" t="n">
        <v>10764.2</v>
      </c>
      <c r="J39" t="n">
        <v>12320.3</v>
      </c>
      <c r="K39" t="n">
        <v>15259.5</v>
      </c>
      <c r="L39" t="n">
        <v>17591.2</v>
      </c>
      <c r="M39" t="n">
        <v>20629.3</v>
      </c>
      <c r="N39" t="n">
        <v>24653.5</v>
      </c>
      <c r="O39" t="n">
        <v>27723.3</v>
      </c>
      <c r="P39" t="n">
        <v>35558.9</v>
      </c>
      <c r="Q39" t="n">
        <v>40786.5</v>
      </c>
      <c r="R39" t="n">
        <v>43762.5</v>
      </c>
      <c r="S39" t="n">
        <v>39559.8</v>
      </c>
      <c r="T39" t="n">
        <v>35634.4</v>
      </c>
      <c r="U39" t="n">
        <v>34153.8</v>
      </c>
      <c r="V39" t="n">
        <v>33119.6</v>
      </c>
      <c r="W39" t="n">
        <v>31429.6</v>
      </c>
      <c r="X39" t="n">
        <v>29553.6</v>
      </c>
      <c r="Y39" t="n">
        <v>32589.6</v>
      </c>
      <c r="Z39" t="n">
        <v>34529.5</v>
      </c>
      <c r="AA39" t="n">
        <v>33650.5</v>
      </c>
      <c r="AB39" t="n">
        <v>37522.3</v>
      </c>
      <c r="AC39" t="n">
        <v>39709.1</v>
      </c>
      <c r="AD39" t="n">
        <v>44803.3</v>
      </c>
      <c r="AE39" t="n">
        <v>43285.1</v>
      </c>
      <c r="AF39" t="n">
        <v>47796</v>
      </c>
    </row>
    <row r="40">
      <c r="A40" t="s">
        <v>6</v>
      </c>
      <c r="B40" t="s">
        <v>237</v>
      </c>
      <c r="C40" t="s">
        <v>131</v>
      </c>
      <c r="D40" t="s">
        <v>238</v>
      </c>
      <c r="E40" t="s">
        <v>132</v>
      </c>
      <c r="F40" t="n">
        <v>3936.7</v>
      </c>
      <c r="G40" t="n">
        <v>4521.2</v>
      </c>
      <c r="H40" t="n">
        <v>5618.1</v>
      </c>
      <c r="I40" t="n">
        <v>7050.4</v>
      </c>
      <c r="J40" t="n">
        <v>8040.3</v>
      </c>
      <c r="K40" t="n">
        <v>9723.6</v>
      </c>
      <c r="L40" t="n">
        <v>11392.4</v>
      </c>
      <c r="M40" t="n">
        <v>13117.3</v>
      </c>
      <c r="N40" t="n">
        <v>14476.4</v>
      </c>
      <c r="O40" t="n">
        <v>16263.9</v>
      </c>
      <c r="P40" t="n">
        <v>16048</v>
      </c>
      <c r="Q40" t="n">
        <v>17111.3</v>
      </c>
      <c r="R40" t="n">
        <v>21056</v>
      </c>
      <c r="S40" t="n">
        <v>17467.6</v>
      </c>
      <c r="T40" t="n">
        <v>15530</v>
      </c>
      <c r="U40" t="n">
        <v>17482.6</v>
      </c>
      <c r="V40" t="n">
        <v>15186.7</v>
      </c>
      <c r="W40" t="n">
        <v>15700.6</v>
      </c>
      <c r="X40" t="n">
        <v>15518.5</v>
      </c>
      <c r="Y40" t="n">
        <v>16910.9</v>
      </c>
      <c r="Z40" t="n">
        <v>18647.9</v>
      </c>
      <c r="AA40" t="n">
        <v>19681.7</v>
      </c>
      <c r="AB40" t="n">
        <v>21220.8</v>
      </c>
      <c r="AC40" t="n">
        <v>23923.2</v>
      </c>
      <c r="AD40" t="n">
        <v>25100.3</v>
      </c>
      <c r="AE40" t="n">
        <v>25014.6</v>
      </c>
      <c r="AF40" t="n">
        <v>26791.6</v>
      </c>
    </row>
    <row r="41">
      <c r="A41" t="s">
        <v>6</v>
      </c>
      <c r="B41" t="s">
        <v>239</v>
      </c>
      <c r="C41" t="s">
        <v>131</v>
      </c>
      <c r="D41" t="s">
        <v>240</v>
      </c>
      <c r="E41" t="s">
        <v>132</v>
      </c>
      <c r="F41" t="n">
        <v>2721.8</v>
      </c>
      <c r="G41" t="n">
        <v>3095.7</v>
      </c>
      <c r="H41" t="n">
        <v>3737.4</v>
      </c>
      <c r="I41" t="n">
        <v>4510.5</v>
      </c>
      <c r="J41" t="n">
        <v>5212.2</v>
      </c>
      <c r="K41" t="n">
        <v>6171.1</v>
      </c>
      <c r="L41" t="n">
        <v>7173.8</v>
      </c>
      <c r="M41" t="n">
        <v>8123.1</v>
      </c>
      <c r="N41" t="n">
        <v>8907.3</v>
      </c>
      <c r="O41" t="n">
        <v>9139.3</v>
      </c>
      <c r="P41" t="n">
        <v>9527.5</v>
      </c>
      <c r="Q41" t="n">
        <v>10270.2</v>
      </c>
      <c r="R41" t="n">
        <v>11650.1</v>
      </c>
      <c r="S41" t="n">
        <v>12505.7</v>
      </c>
      <c r="T41" t="n">
        <v>10498.3</v>
      </c>
      <c r="U41" t="n">
        <v>9959.5</v>
      </c>
      <c r="V41" t="n">
        <v>10128.6</v>
      </c>
      <c r="W41" t="n">
        <v>10199.6</v>
      </c>
      <c r="X41" t="n">
        <v>10561.4</v>
      </c>
      <c r="Y41" t="n">
        <v>11305.9</v>
      </c>
      <c r="Z41" t="n">
        <v>12315.1</v>
      </c>
      <c r="AA41" t="n">
        <v>12966</v>
      </c>
      <c r="AB41" t="n">
        <v>14078.2</v>
      </c>
      <c r="AC41" t="n">
        <v>15198.2</v>
      </c>
      <c r="AD41" t="n">
        <v>16335.9</v>
      </c>
      <c r="AE41" t="n">
        <v>16402.1</v>
      </c>
      <c r="AF41" t="n">
        <v>17180.1</v>
      </c>
    </row>
    <row r="42">
      <c r="A42" t="s">
        <v>6</v>
      </c>
      <c r="B42" t="s">
        <v>241</v>
      </c>
      <c r="C42" t="s">
        <v>131</v>
      </c>
      <c r="D42" t="s">
        <v>242</v>
      </c>
      <c r="E42" t="s">
        <v>132</v>
      </c>
      <c r="F42" t="n">
        <v>3262.4</v>
      </c>
      <c r="G42" t="n">
        <v>3708.4</v>
      </c>
      <c r="H42" t="n">
        <v>4543.5</v>
      </c>
      <c r="I42" t="n">
        <v>6017.1</v>
      </c>
      <c r="J42" t="n">
        <v>7147</v>
      </c>
      <c r="K42" t="n">
        <v>9339.5</v>
      </c>
      <c r="L42" t="n">
        <v>10147.9</v>
      </c>
      <c r="M42" t="n">
        <v>10708.1</v>
      </c>
      <c r="N42" t="n">
        <v>13291</v>
      </c>
      <c r="O42" t="n">
        <v>14772.2</v>
      </c>
      <c r="P42" t="n">
        <v>15230.2</v>
      </c>
      <c r="Q42" t="n">
        <v>15405.5</v>
      </c>
      <c r="R42" t="n">
        <v>19664</v>
      </c>
      <c r="S42" t="n">
        <v>21454.3</v>
      </c>
      <c r="T42" t="n">
        <v>18361.2</v>
      </c>
      <c r="U42" t="n">
        <v>16661.3</v>
      </c>
      <c r="V42" t="n">
        <v>10753.8</v>
      </c>
      <c r="W42" t="n">
        <v>16392.1</v>
      </c>
      <c r="X42" t="n">
        <v>15882.9</v>
      </c>
      <c r="Y42" t="n">
        <v>16873.8</v>
      </c>
      <c r="Z42" t="n">
        <v>18606</v>
      </c>
      <c r="AA42" t="n">
        <v>21981.1</v>
      </c>
      <c r="AB42" t="n">
        <v>22358.8</v>
      </c>
      <c r="AC42" t="n">
        <v>24611.2</v>
      </c>
      <c r="AD42" t="n">
        <v>29765.1</v>
      </c>
      <c r="AE42" t="n">
        <v>32269.3</v>
      </c>
      <c r="AF42" t="n">
        <v>40393.7</v>
      </c>
    </row>
    <row r="43">
      <c r="A43" t="s">
        <v>6</v>
      </c>
      <c r="B43" t="s">
        <v>243</v>
      </c>
      <c r="C43" t="s">
        <v>131</v>
      </c>
      <c r="D43" t="s">
        <v>244</v>
      </c>
      <c r="E43" t="s">
        <v>132</v>
      </c>
      <c r="F43" t="n">
        <v>6334.9</v>
      </c>
      <c r="G43" t="n">
        <v>7183.4</v>
      </c>
      <c r="H43" t="n">
        <v>8664.3</v>
      </c>
      <c r="I43" t="n">
        <v>11182.1</v>
      </c>
      <c r="J43" t="n">
        <v>13207.4</v>
      </c>
      <c r="K43" t="n">
        <v>15434</v>
      </c>
      <c r="L43" t="n">
        <v>17110</v>
      </c>
      <c r="M43" t="n">
        <v>17616.6</v>
      </c>
      <c r="N43" t="n">
        <v>20721.7</v>
      </c>
      <c r="O43" t="n">
        <v>22689.9</v>
      </c>
      <c r="P43" t="n">
        <v>25332.4</v>
      </c>
      <c r="Q43" t="n">
        <v>26157.5</v>
      </c>
      <c r="R43" t="n">
        <v>33950.4</v>
      </c>
      <c r="S43" t="n">
        <v>41657.5</v>
      </c>
      <c r="T43" t="n">
        <v>36682.6</v>
      </c>
      <c r="U43" t="n">
        <v>31903.6</v>
      </c>
      <c r="V43" t="n">
        <v>21819.2</v>
      </c>
      <c r="W43" t="n">
        <v>31559.4</v>
      </c>
      <c r="X43" t="n">
        <v>37795.9</v>
      </c>
      <c r="Y43" t="n">
        <v>37893</v>
      </c>
      <c r="Z43" t="n">
        <v>42735.7</v>
      </c>
      <c r="AA43" t="n">
        <v>48741</v>
      </c>
      <c r="AB43" t="n">
        <v>55058.2</v>
      </c>
      <c r="AC43" t="n">
        <v>57817.9</v>
      </c>
      <c r="AD43" t="n">
        <v>64776</v>
      </c>
      <c r="AE43" t="n">
        <v>62762</v>
      </c>
      <c r="AF43" t="n">
        <v>74401.3</v>
      </c>
    </row>
    <row r="44">
      <c r="A44" t="s">
        <v>6</v>
      </c>
      <c r="B44" t="s">
        <v>245</v>
      </c>
      <c r="C44" t="s">
        <v>131</v>
      </c>
      <c r="D44" t="s">
        <v>246</v>
      </c>
      <c r="E44" t="s">
        <v>132</v>
      </c>
      <c r="F44" t="n">
        <v>96975.5</v>
      </c>
      <c r="G44" t="n">
        <v>104176.3</v>
      </c>
      <c r="H44" t="n">
        <v>122285</v>
      </c>
      <c r="I44" t="n">
        <v>146436.2</v>
      </c>
      <c r="J44" t="n">
        <v>166296.2</v>
      </c>
      <c r="K44" t="n">
        <v>193547.7</v>
      </c>
      <c r="L44" t="n">
        <v>218936.2</v>
      </c>
      <c r="M44" t="n">
        <v>233338.6</v>
      </c>
      <c r="N44" t="n">
        <v>250404.1</v>
      </c>
      <c r="O44" t="n">
        <v>266373.7</v>
      </c>
      <c r="P44" t="n">
        <v>295557.1</v>
      </c>
      <c r="Q44" t="n">
        <v>332340.1</v>
      </c>
      <c r="R44" t="n">
        <v>357260.2</v>
      </c>
      <c r="S44" t="n">
        <v>360185.2</v>
      </c>
      <c r="T44" t="n">
        <v>313561.5</v>
      </c>
      <c r="U44" t="n">
        <v>292968.5</v>
      </c>
      <c r="V44" t="n">
        <v>280495.4</v>
      </c>
      <c r="W44" t="n">
        <v>319717.9</v>
      </c>
      <c r="X44" t="n">
        <v>335922.7</v>
      </c>
      <c r="Y44" t="n">
        <v>361345</v>
      </c>
      <c r="Z44" t="n">
        <v>458234.6</v>
      </c>
      <c r="AA44" t="n">
        <v>471110.3</v>
      </c>
      <c r="AB44" t="n">
        <v>509126.3</v>
      </c>
      <c r="AC44" t="n">
        <v>566347.8</v>
      </c>
      <c r="AD44" t="n">
        <v>608379</v>
      </c>
      <c r="AE44" t="n">
        <v>629385.1</v>
      </c>
      <c r="AF44" t="n">
        <v>773783.1</v>
      </c>
    </row>
    <row r="45">
      <c r="A45" t="s">
        <v>6</v>
      </c>
      <c r="B45" t="s">
        <v>247</v>
      </c>
      <c r="C45" t="s">
        <v>131</v>
      </c>
      <c r="D45" t="s">
        <v>248</v>
      </c>
      <c r="E45" t="s">
        <v>132</v>
      </c>
      <c r="F45" t="n">
        <v>89220.7</v>
      </c>
      <c r="G45" t="n">
        <v>96982.4</v>
      </c>
      <c r="H45" t="n">
        <v>115527</v>
      </c>
      <c r="I45" t="n">
        <v>139476.1</v>
      </c>
      <c r="J45" t="n">
        <v>160351.7</v>
      </c>
      <c r="K45" t="n">
        <v>186798.3</v>
      </c>
      <c r="L45" t="n">
        <v>212881.9</v>
      </c>
      <c r="M45" t="n">
        <v>227470.4</v>
      </c>
      <c r="N45" t="n">
        <v>244993.7</v>
      </c>
      <c r="O45" t="n">
        <v>260346.2</v>
      </c>
      <c r="P45" t="n">
        <v>290235.3</v>
      </c>
      <c r="Q45" t="n">
        <v>325790.8</v>
      </c>
      <c r="R45" t="n">
        <v>350171.4</v>
      </c>
      <c r="S45" t="n">
        <v>353289.6</v>
      </c>
      <c r="T45" t="n">
        <v>307982.5</v>
      </c>
      <c r="U45" t="n">
        <v>286757.2</v>
      </c>
      <c r="V45" t="n">
        <v>272802.2</v>
      </c>
      <c r="W45" t="n">
        <v>312309.9</v>
      </c>
      <c r="X45" t="n">
        <v>327776.2</v>
      </c>
      <c r="Y45" t="n">
        <v>353370</v>
      </c>
      <c r="Z45" t="n">
        <v>450383</v>
      </c>
      <c r="AA45" t="n">
        <v>462968.9</v>
      </c>
      <c r="AB45" t="n">
        <v>499868.8</v>
      </c>
      <c r="AC45" t="n">
        <v>557034.4</v>
      </c>
      <c r="AD45" t="n">
        <v>599153.7</v>
      </c>
      <c r="AE45" t="n">
        <v>619722.8</v>
      </c>
      <c r="AF45" t="n">
        <v>762791.8</v>
      </c>
    </row>
    <row r="46">
      <c r="A46" t="s">
        <v>6</v>
      </c>
      <c r="B46" t="s">
        <v>249</v>
      </c>
      <c r="C46" t="s">
        <v>131</v>
      </c>
      <c r="D46" t="s">
        <v>250</v>
      </c>
      <c r="E46" t="s">
        <v>132</v>
      </c>
      <c r="F46" t="n">
        <v>3072.5</v>
      </c>
      <c r="G46" t="n">
        <v>3475</v>
      </c>
      <c r="H46" t="n">
        <v>4120.8</v>
      </c>
      <c r="I46" t="n">
        <v>5165</v>
      </c>
      <c r="J46" t="n">
        <v>6060.4</v>
      </c>
      <c r="K46" t="n">
        <v>6094.5</v>
      </c>
      <c r="L46" t="n">
        <v>6962.1</v>
      </c>
      <c r="M46" t="n">
        <v>6908.5</v>
      </c>
      <c r="N46" t="n">
        <v>7430.7</v>
      </c>
      <c r="O46" t="n">
        <v>7917.7</v>
      </c>
      <c r="P46" t="n">
        <v>10102.2</v>
      </c>
      <c r="Q46" t="n">
        <v>10752</v>
      </c>
      <c r="R46" t="n">
        <v>14286.4</v>
      </c>
      <c r="S46" t="n">
        <v>20203.2</v>
      </c>
      <c r="T46" t="n">
        <v>18321.4</v>
      </c>
      <c r="U46" t="n">
        <v>15242.3</v>
      </c>
      <c r="V46" t="n">
        <v>11065.4</v>
      </c>
      <c r="W46" t="n">
        <v>15167.3</v>
      </c>
      <c r="X46" t="n">
        <v>21913</v>
      </c>
      <c r="Y46" t="n">
        <v>21019.2</v>
      </c>
      <c r="Z46" t="n">
        <v>24129.7</v>
      </c>
      <c r="AA46" t="n">
        <v>26759.9</v>
      </c>
      <c r="AB46" t="n">
        <v>32699.4</v>
      </c>
      <c r="AC46" t="n">
        <v>33206.7</v>
      </c>
      <c r="AD46" t="n">
        <v>35010.9</v>
      </c>
      <c r="AE46" t="n">
        <v>30492.7</v>
      </c>
      <c r="AF46" t="n">
        <v>34007.6</v>
      </c>
    </row>
    <row r="47">
      <c r="A47" t="s">
        <v>6</v>
      </c>
      <c r="B47" t="s">
        <v>251</v>
      </c>
      <c r="C47" t="s">
        <v>131</v>
      </c>
      <c r="D47" t="s">
        <v>252</v>
      </c>
      <c r="E47" t="s">
        <v>132</v>
      </c>
      <c r="F47" t="n">
        <v>3772.6</v>
      </c>
      <c r="G47" t="n">
        <v>3981.5</v>
      </c>
      <c r="H47" t="n">
        <v>4286.1</v>
      </c>
      <c r="I47" t="n">
        <v>4460.8</v>
      </c>
      <c r="J47" t="n">
        <v>4717.5</v>
      </c>
      <c r="K47" t="n">
        <v>5280.3</v>
      </c>
      <c r="L47" t="n">
        <v>5935.7</v>
      </c>
      <c r="M47" t="n">
        <v>6643.9</v>
      </c>
      <c r="N47" t="n">
        <v>7008.1</v>
      </c>
      <c r="O47" t="n">
        <v>8018.4</v>
      </c>
      <c r="P47" t="n">
        <v>7667.8</v>
      </c>
      <c r="Q47" t="n">
        <v>8096.7</v>
      </c>
      <c r="R47" t="n">
        <v>8833.2</v>
      </c>
      <c r="S47" t="n">
        <v>8654.5</v>
      </c>
      <c r="T47" t="n">
        <v>8452.1</v>
      </c>
      <c r="U47" t="n">
        <v>10605.5</v>
      </c>
      <c r="V47" t="n">
        <v>11746.3</v>
      </c>
      <c r="W47" t="n">
        <v>12145.1</v>
      </c>
      <c r="X47" t="n">
        <v>11586.9</v>
      </c>
      <c r="Y47" t="n">
        <v>12015.9</v>
      </c>
      <c r="Z47" t="n">
        <v>12451.1</v>
      </c>
      <c r="AA47" t="n">
        <v>12959.1</v>
      </c>
      <c r="AB47" t="n">
        <v>13343.7</v>
      </c>
      <c r="AC47" t="n">
        <v>14088.8</v>
      </c>
      <c r="AD47" t="n">
        <v>15211.3</v>
      </c>
      <c r="AE47" t="n">
        <v>15994.7</v>
      </c>
      <c r="AF47" t="n">
        <v>17024.8</v>
      </c>
    </row>
    <row r="48">
      <c r="A48" t="s">
        <v>6</v>
      </c>
      <c r="B48" t="s">
        <v>253</v>
      </c>
      <c r="C48" t="s">
        <v>131</v>
      </c>
      <c r="D48" t="s">
        <v>254</v>
      </c>
      <c r="E48" t="s">
        <v>132</v>
      </c>
      <c r="F48" t="n">
        <v>12934.1</v>
      </c>
      <c r="G48" t="n">
        <v>14088.2</v>
      </c>
      <c r="H48" t="n">
        <v>15074.7</v>
      </c>
      <c r="I48" t="n">
        <v>15737</v>
      </c>
      <c r="J48" t="n">
        <v>17155.4</v>
      </c>
      <c r="K48" t="n">
        <v>19882.1</v>
      </c>
      <c r="L48" t="n">
        <v>23044.5</v>
      </c>
      <c r="M48" t="n">
        <v>26105</v>
      </c>
      <c r="N48" t="n">
        <v>29013.3</v>
      </c>
      <c r="O48" t="n">
        <v>31691.2</v>
      </c>
      <c r="P48" t="n">
        <v>33083.2</v>
      </c>
      <c r="Q48" t="n">
        <v>36312.6</v>
      </c>
      <c r="R48" t="n">
        <v>40418.6</v>
      </c>
      <c r="S48" t="n">
        <v>43343.4</v>
      </c>
      <c r="T48" t="n">
        <v>43559.4</v>
      </c>
      <c r="U48" t="n">
        <v>40282.4</v>
      </c>
      <c r="V48" t="n">
        <v>37568.1</v>
      </c>
      <c r="W48" t="n">
        <v>38744.8</v>
      </c>
      <c r="X48" t="n">
        <v>37922.5</v>
      </c>
      <c r="Y48" t="n">
        <v>39326.5</v>
      </c>
      <c r="Z48" t="n">
        <v>40965</v>
      </c>
      <c r="AA48" t="n">
        <v>42540.1</v>
      </c>
      <c r="AB48" t="n">
        <v>44799.2</v>
      </c>
      <c r="AC48" t="n">
        <v>47380.4</v>
      </c>
      <c r="AD48" t="n">
        <v>51197.5</v>
      </c>
      <c r="AE48" t="n">
        <v>54181.3</v>
      </c>
      <c r="AF48" t="n">
        <v>59001.6</v>
      </c>
    </row>
    <row r="49">
      <c r="A49" t="s">
        <v>6</v>
      </c>
      <c r="B49" t="s">
        <v>255</v>
      </c>
      <c r="C49" t="s">
        <v>131</v>
      </c>
      <c r="D49" t="s">
        <v>256</v>
      </c>
      <c r="E49" t="s">
        <v>132</v>
      </c>
      <c r="F49" t="n">
        <v>3833.1</v>
      </c>
      <c r="G49" t="n">
        <v>4053.6</v>
      </c>
      <c r="H49" t="n">
        <v>4261.2</v>
      </c>
      <c r="I49" t="n">
        <v>4488.9</v>
      </c>
      <c r="J49" t="n">
        <v>4713.4</v>
      </c>
      <c r="K49" t="n">
        <v>5219.8</v>
      </c>
      <c r="L49" t="n">
        <v>6035.1</v>
      </c>
      <c r="M49" t="n">
        <v>7034.7</v>
      </c>
      <c r="N49" t="n">
        <v>7924.5</v>
      </c>
      <c r="O49" t="n">
        <v>8410</v>
      </c>
      <c r="P49" t="n">
        <v>9316.5</v>
      </c>
      <c r="Q49" t="n">
        <v>10343.7</v>
      </c>
      <c r="R49" t="n">
        <v>11401</v>
      </c>
      <c r="S49" t="n">
        <v>12285.3</v>
      </c>
      <c r="T49" t="n">
        <v>12960</v>
      </c>
      <c r="U49" t="n">
        <v>12409.4</v>
      </c>
      <c r="V49" t="n">
        <v>9994.4</v>
      </c>
      <c r="W49" t="n">
        <v>8814.7</v>
      </c>
      <c r="X49" t="n">
        <v>8866.8</v>
      </c>
      <c r="Y49" t="n">
        <v>9228.8</v>
      </c>
      <c r="Z49" t="n">
        <v>9524.4</v>
      </c>
      <c r="AA49" t="n">
        <v>9742.2</v>
      </c>
      <c r="AB49" t="n">
        <v>10350.4</v>
      </c>
      <c r="AC49" t="n">
        <v>10938.1</v>
      </c>
      <c r="AD49" t="n">
        <v>11654</v>
      </c>
      <c r="AE49" t="n">
        <v>11798.8</v>
      </c>
      <c r="AF49" t="n">
        <v>12465.9</v>
      </c>
    </row>
    <row r="50">
      <c r="A50" t="s">
        <v>6</v>
      </c>
      <c r="B50" t="s">
        <v>257</v>
      </c>
      <c r="C50" t="s">
        <v>131</v>
      </c>
      <c r="D50" t="s">
        <v>258</v>
      </c>
      <c r="E50" t="s">
        <v>132</v>
      </c>
      <c r="F50" t="n">
        <v>5328.4</v>
      </c>
      <c r="G50" t="n">
        <v>6053.2</v>
      </c>
      <c r="H50" t="n">
        <v>6527.4</v>
      </c>
      <c r="I50" t="n">
        <v>6787.4</v>
      </c>
      <c r="J50" t="n">
        <v>7724.5</v>
      </c>
      <c r="K50" t="n">
        <v>9382.1</v>
      </c>
      <c r="L50" t="n">
        <v>11073.7</v>
      </c>
      <c r="M50" t="n">
        <v>12426.4</v>
      </c>
      <c r="N50" t="n">
        <v>14080.7</v>
      </c>
      <c r="O50" t="n">
        <v>15262.9</v>
      </c>
      <c r="P50" t="n">
        <v>16098.9</v>
      </c>
      <c r="Q50" t="n">
        <v>17872.3</v>
      </c>
      <c r="R50" t="n">
        <v>20184.4</v>
      </c>
      <c r="S50" t="n">
        <v>22403.5</v>
      </c>
      <c r="T50" t="n">
        <v>22147.2</v>
      </c>
      <c r="U50" t="n">
        <v>17267.5</v>
      </c>
      <c r="V50" t="n">
        <v>15827.4</v>
      </c>
      <c r="W50" t="n">
        <v>17785</v>
      </c>
      <c r="X50" t="n">
        <v>17468.9</v>
      </c>
      <c r="Y50" t="n">
        <v>18081.8</v>
      </c>
      <c r="Z50" t="n">
        <v>18989.5</v>
      </c>
      <c r="AA50" t="n">
        <v>19838.8</v>
      </c>
      <c r="AB50" t="n">
        <v>21105.1</v>
      </c>
      <c r="AC50" t="n">
        <v>22353.5</v>
      </c>
      <c r="AD50" t="n">
        <v>24332.2</v>
      </c>
      <c r="AE50" t="n">
        <v>26387.7</v>
      </c>
      <c r="AF50" t="n">
        <v>29511</v>
      </c>
    </row>
    <row r="51">
      <c r="A51" t="s">
        <v>6</v>
      </c>
      <c r="B51" t="s">
        <v>259</v>
      </c>
      <c r="C51" t="s">
        <v>131</v>
      </c>
      <c r="D51" t="s">
        <v>260</v>
      </c>
      <c r="E51" t="s">
        <v>132</v>
      </c>
      <c r="F51" t="n">
        <v>4461.9</v>
      </c>
      <c r="G51" t="n">
        <v>5062.7</v>
      </c>
      <c r="H51" t="n">
        <v>5463</v>
      </c>
      <c r="I51" t="n">
        <v>5616.9</v>
      </c>
      <c r="J51" t="n">
        <v>6264.2</v>
      </c>
      <c r="K51" t="n">
        <v>8033.6</v>
      </c>
      <c r="L51" t="n">
        <v>9702.7</v>
      </c>
      <c r="M51" t="n">
        <v>10632.3</v>
      </c>
      <c r="N51" t="n">
        <v>11933.8</v>
      </c>
      <c r="O51" t="n">
        <v>12571.1</v>
      </c>
      <c r="P51" t="n">
        <v>12936.9</v>
      </c>
      <c r="Q51" t="n">
        <v>14198</v>
      </c>
      <c r="R51" t="n">
        <v>15575.7</v>
      </c>
      <c r="S51" t="n">
        <v>17750</v>
      </c>
      <c r="T51" t="n">
        <v>17609.8</v>
      </c>
      <c r="U51" t="n">
        <v>13864.2</v>
      </c>
      <c r="V51" t="n">
        <v>12089</v>
      </c>
      <c r="W51" t="n">
        <v>12814.6</v>
      </c>
      <c r="X51" t="n">
        <v>12395.4</v>
      </c>
      <c r="Y51" t="n">
        <v>12664.4</v>
      </c>
      <c r="Z51" t="n">
        <v>13245.3</v>
      </c>
      <c r="AA51" t="n">
        <v>13918.9</v>
      </c>
      <c r="AB51" t="n">
        <v>14853.6</v>
      </c>
      <c r="AC51" t="n">
        <v>15740.5</v>
      </c>
      <c r="AD51" t="n">
        <v>17402.6</v>
      </c>
      <c r="AE51" t="n">
        <v>19261.1</v>
      </c>
      <c r="AF51" t="n">
        <v>21856.3</v>
      </c>
    </row>
    <row r="52">
      <c r="A52" t="s">
        <v>6</v>
      </c>
      <c r="B52" t="s">
        <v>261</v>
      </c>
      <c r="C52" t="s">
        <v>131</v>
      </c>
      <c r="D52" t="s">
        <v>262</v>
      </c>
      <c r="E52" t="s">
        <v>132</v>
      </c>
      <c r="F52" t="n">
        <v>866.5</v>
      </c>
      <c r="G52" t="n">
        <v>990.5</v>
      </c>
      <c r="H52" t="n">
        <v>1064.4</v>
      </c>
      <c r="I52" t="n">
        <v>1170.5</v>
      </c>
      <c r="J52" t="n">
        <v>1460.3</v>
      </c>
      <c r="K52" t="n">
        <v>1348.5</v>
      </c>
      <c r="L52" t="n">
        <v>1371</v>
      </c>
      <c r="M52" t="n">
        <v>1794.1</v>
      </c>
      <c r="N52" t="n">
        <v>2146.9</v>
      </c>
      <c r="O52" t="n">
        <v>2691.8</v>
      </c>
      <c r="P52" t="n">
        <v>3162</v>
      </c>
      <c r="Q52" t="n">
        <v>3674.3</v>
      </c>
      <c r="R52" t="n">
        <v>4608.7</v>
      </c>
      <c r="S52" t="n">
        <v>4653.5</v>
      </c>
      <c r="T52" t="n">
        <v>4537.4</v>
      </c>
      <c r="U52" t="n">
        <v>3403.3</v>
      </c>
      <c r="V52" t="n">
        <v>3738.4</v>
      </c>
      <c r="W52" t="n">
        <v>4970.4</v>
      </c>
      <c r="X52" t="n">
        <v>5073.5</v>
      </c>
      <c r="Y52" t="n">
        <v>5417.4</v>
      </c>
      <c r="Z52" t="n">
        <v>5744.2</v>
      </c>
      <c r="AA52" t="n">
        <v>5919.9</v>
      </c>
      <c r="AB52" t="n">
        <v>6251.5</v>
      </c>
      <c r="AC52" t="n">
        <v>6613</v>
      </c>
      <c r="AD52" t="n">
        <v>6929.6</v>
      </c>
      <c r="AE52" t="n">
        <v>7126.6</v>
      </c>
      <c r="AF52" t="n">
        <v>7654.7</v>
      </c>
    </row>
    <row r="53">
      <c r="A53" t="s">
        <v>6</v>
      </c>
      <c r="B53" t="s">
        <v>263</v>
      </c>
      <c r="C53" t="s">
        <v>131</v>
      </c>
      <c r="D53" t="s">
        <v>264</v>
      </c>
      <c r="E53" t="s">
        <v>132</v>
      </c>
      <c r="F53" t="n">
        <v>1313.8</v>
      </c>
      <c r="G53" t="n">
        <v>1376.6</v>
      </c>
      <c r="H53" t="n">
        <v>1634</v>
      </c>
      <c r="I53" t="n">
        <v>1856.6</v>
      </c>
      <c r="J53" t="n">
        <v>2139.6</v>
      </c>
      <c r="K53" t="n">
        <v>2489.3</v>
      </c>
      <c r="L53" t="n">
        <v>2765.9</v>
      </c>
      <c r="M53" t="n">
        <v>2964.9</v>
      </c>
      <c r="N53" t="n">
        <v>3704.7</v>
      </c>
      <c r="O53" t="n">
        <v>3294.7</v>
      </c>
      <c r="P53" t="n">
        <v>3563.4</v>
      </c>
      <c r="Q53" t="n">
        <v>4135.2</v>
      </c>
      <c r="R53" t="n">
        <v>5235.9</v>
      </c>
      <c r="S53" t="n">
        <v>5889</v>
      </c>
      <c r="T53" t="n">
        <v>5306.2</v>
      </c>
      <c r="U53" t="n">
        <v>3274.3</v>
      </c>
      <c r="V53" t="n">
        <v>2936.5</v>
      </c>
      <c r="W53" t="n">
        <v>3161</v>
      </c>
      <c r="X53" t="n">
        <v>3319.1</v>
      </c>
      <c r="Y53" t="n">
        <v>3320.3</v>
      </c>
      <c r="Z53" t="n">
        <v>3316</v>
      </c>
      <c r="AA53" t="n">
        <v>3442.1</v>
      </c>
      <c r="AB53" t="n">
        <v>3815.7</v>
      </c>
      <c r="AC53" t="n">
        <v>4074.7</v>
      </c>
      <c r="AD53" t="n">
        <v>4244.7</v>
      </c>
      <c r="AE53" t="n">
        <v>3555.6</v>
      </c>
      <c r="AF53" t="n">
        <v>3752.4</v>
      </c>
    </row>
    <row r="54">
      <c r="A54" t="s">
        <v>6</v>
      </c>
      <c r="B54" t="s">
        <v>265</v>
      </c>
      <c r="C54" t="s">
        <v>131</v>
      </c>
      <c r="D54" t="s">
        <v>266</v>
      </c>
      <c r="E54" t="s">
        <v>132</v>
      </c>
      <c r="F54" t="n">
        <v>2573.6</v>
      </c>
      <c r="G54" t="n">
        <v>2752</v>
      </c>
      <c r="H54" t="n">
        <v>3032.5</v>
      </c>
      <c r="I54" t="n">
        <v>3203.1</v>
      </c>
      <c r="J54" t="n">
        <v>3772.8</v>
      </c>
      <c r="K54" t="n">
        <v>4210.9</v>
      </c>
      <c r="L54" t="n">
        <v>4901.7</v>
      </c>
      <c r="M54" t="n">
        <v>5576.7</v>
      </c>
      <c r="N54" t="n">
        <v>6327.6</v>
      </c>
      <c r="O54" t="n">
        <v>5426</v>
      </c>
      <c r="P54" t="n">
        <v>5767.1</v>
      </c>
      <c r="Q54" t="n">
        <v>6422.2</v>
      </c>
      <c r="R54" t="n">
        <v>7774.3</v>
      </c>
      <c r="S54" t="n">
        <v>8269</v>
      </c>
      <c r="T54" t="n">
        <v>7587.8</v>
      </c>
      <c r="U54" t="n">
        <v>6808.3</v>
      </c>
      <c r="V54" t="n">
        <v>7911.3</v>
      </c>
      <c r="W54" t="n">
        <v>7015.5</v>
      </c>
      <c r="X54" t="n">
        <v>7178.5</v>
      </c>
      <c r="Y54" t="n">
        <v>7328.9</v>
      </c>
      <c r="Z54" t="n">
        <v>7087.2</v>
      </c>
      <c r="AA54" t="n">
        <v>7197.4</v>
      </c>
      <c r="AB54" t="n">
        <v>7864.1</v>
      </c>
      <c r="AC54" t="n">
        <v>8355.8</v>
      </c>
      <c r="AD54" t="n">
        <v>8744.5</v>
      </c>
      <c r="AE54" t="n">
        <v>7894.5</v>
      </c>
      <c r="AF54" t="n">
        <v>8125.2</v>
      </c>
    </row>
    <row r="55">
      <c r="A55" t="s">
        <v>6</v>
      </c>
      <c r="B55" t="s">
        <v>267</v>
      </c>
      <c r="C55" t="s">
        <v>131</v>
      </c>
      <c r="D55" t="s">
        <v>268</v>
      </c>
      <c r="E55" t="s">
        <v>132</v>
      </c>
      <c r="F55" t="n">
        <v>1259.8</v>
      </c>
      <c r="G55" t="n">
        <v>1375.4</v>
      </c>
      <c r="H55" t="n">
        <v>1398.5</v>
      </c>
      <c r="I55" t="n">
        <v>1346.5</v>
      </c>
      <c r="J55" t="n">
        <v>1633.2</v>
      </c>
      <c r="K55" t="n">
        <v>1721.6</v>
      </c>
      <c r="L55" t="n">
        <v>2135.8</v>
      </c>
      <c r="M55" t="n">
        <v>2611.8</v>
      </c>
      <c r="N55" t="n">
        <v>2622.9</v>
      </c>
      <c r="O55" t="n">
        <v>2131.3</v>
      </c>
      <c r="P55" t="n">
        <v>2203.7</v>
      </c>
      <c r="Q55" t="n">
        <v>2287</v>
      </c>
      <c r="R55" t="n">
        <v>2538.4</v>
      </c>
      <c r="S55" t="n">
        <v>2380</v>
      </c>
      <c r="T55" t="n">
        <v>2281.6</v>
      </c>
      <c r="U55" t="n">
        <v>3534</v>
      </c>
      <c r="V55" t="n">
        <v>4974.8</v>
      </c>
      <c r="W55" t="n">
        <v>3854.5</v>
      </c>
      <c r="X55" t="n">
        <v>3859.4</v>
      </c>
      <c r="Y55" t="n">
        <v>4008.6</v>
      </c>
      <c r="Z55" t="n">
        <v>3771.2</v>
      </c>
      <c r="AA55" t="n">
        <v>3755.3</v>
      </c>
      <c r="AB55" t="n">
        <v>4048.4</v>
      </c>
      <c r="AC55" t="n">
        <v>4281.1</v>
      </c>
      <c r="AD55" t="n">
        <v>4499.8</v>
      </c>
      <c r="AE55" t="n">
        <v>4338.9</v>
      </c>
      <c r="AF55" t="n">
        <v>4372.8</v>
      </c>
    </row>
    <row r="56">
      <c r="A56" t="s">
        <v>6</v>
      </c>
      <c r="B56" t="s">
        <v>269</v>
      </c>
      <c r="C56" t="s">
        <v>131</v>
      </c>
      <c r="D56" t="s">
        <v>270</v>
      </c>
      <c r="E56" t="s">
        <v>132</v>
      </c>
      <c r="F56" t="n">
        <v>240.4</v>
      </c>
      <c r="G56" t="n">
        <v>248</v>
      </c>
      <c r="H56" t="n">
        <v>328.8</v>
      </c>
      <c r="I56" t="n">
        <v>320</v>
      </c>
      <c r="J56" t="n">
        <v>339.7</v>
      </c>
      <c r="K56" t="n">
        <v>267</v>
      </c>
      <c r="L56" t="n">
        <v>285.3</v>
      </c>
      <c r="M56" t="n">
        <v>289</v>
      </c>
      <c r="N56" t="n">
        <v>351.5</v>
      </c>
      <c r="O56" t="n">
        <v>425.9</v>
      </c>
      <c r="P56" t="n">
        <v>444.6</v>
      </c>
      <c r="Q56" t="n">
        <v>623.5</v>
      </c>
      <c r="R56" t="n">
        <v>706.6</v>
      </c>
      <c r="S56" t="n">
        <v>618.5</v>
      </c>
      <c r="T56" t="n">
        <v>403.2</v>
      </c>
      <c r="U56" t="n">
        <v>35</v>
      </c>
      <c r="V56" t="n">
        <v>56</v>
      </c>
      <c r="W56" t="n">
        <v>62.4</v>
      </c>
      <c r="X56" t="n">
        <v>53.4</v>
      </c>
      <c r="Y56" t="n">
        <v>60.3</v>
      </c>
      <c r="Z56" t="n">
        <v>60.3</v>
      </c>
      <c r="AA56" t="n">
        <v>70.1</v>
      </c>
      <c r="AB56" t="n">
        <v>163.9</v>
      </c>
      <c r="AC56" t="n">
        <v>184.3</v>
      </c>
      <c r="AD56" t="n">
        <v>189.4</v>
      </c>
      <c r="AE56" t="n">
        <v>179.4</v>
      </c>
      <c r="AF56" t="n">
        <v>203.2</v>
      </c>
    </row>
    <row r="57">
      <c r="A57" t="s">
        <v>6</v>
      </c>
      <c r="B57" t="s">
        <v>271</v>
      </c>
      <c r="C57" t="s">
        <v>131</v>
      </c>
      <c r="D57" t="s">
        <v>272</v>
      </c>
      <c r="E57" t="s">
        <v>132</v>
      </c>
      <c r="F57" t="n">
        <v>114086.7</v>
      </c>
      <c r="G57" t="n">
        <v>123033.8</v>
      </c>
      <c r="H57" t="n">
        <v>143306.6</v>
      </c>
      <c r="I57" t="n">
        <v>169543.7</v>
      </c>
      <c r="J57" t="n">
        <v>191831.6</v>
      </c>
      <c r="K57" t="n">
        <v>223420.5</v>
      </c>
      <c r="L57" t="n">
        <v>253658.4</v>
      </c>
      <c r="M57" t="n">
        <v>272849.9</v>
      </c>
      <c r="N57" t="n">
        <v>294245.3</v>
      </c>
      <c r="O57" t="n">
        <v>314754.8</v>
      </c>
      <c r="P57" t="n">
        <v>345132.9</v>
      </c>
      <c r="Q57" t="n">
        <v>386387.6</v>
      </c>
      <c r="R57" t="n">
        <v>419441.4</v>
      </c>
      <c r="S57" t="n">
        <v>421614.6</v>
      </c>
      <c r="T57" t="n">
        <v>373054</v>
      </c>
      <c r="U57" t="n">
        <v>350768.5</v>
      </c>
      <c r="V57" t="n">
        <v>333306.2</v>
      </c>
      <c r="W57" t="n">
        <v>374225.7</v>
      </c>
      <c r="X57" t="n">
        <v>389417.2</v>
      </c>
      <c r="Y57" t="n">
        <v>417642.7</v>
      </c>
      <c r="Z57" t="n">
        <v>517907.8</v>
      </c>
      <c r="AA57" t="n">
        <v>533402.2</v>
      </c>
      <c r="AB57" t="n">
        <v>575310.2</v>
      </c>
      <c r="AC57" t="n">
        <v>637835.7</v>
      </c>
      <c r="AD57" t="n">
        <v>684866.2</v>
      </c>
      <c r="AE57" t="n">
        <v>708760.3</v>
      </c>
      <c r="AF57" t="n">
        <v>859779.6</v>
      </c>
    </row>
    <row r="58">
      <c r="A58" t="s">
        <v>6</v>
      </c>
      <c r="B58" t="s">
        <v>273</v>
      </c>
      <c r="C58" t="s">
        <v>131</v>
      </c>
      <c r="D58" t="s">
        <v>274</v>
      </c>
      <c r="E58" t="s">
        <v>132</v>
      </c>
      <c r="F58" t="n">
        <v>113846.3</v>
      </c>
      <c r="G58" t="n">
        <v>122785.8</v>
      </c>
      <c r="H58" t="n">
        <v>142977.8</v>
      </c>
      <c r="I58" t="n">
        <v>169223.7</v>
      </c>
      <c r="J58" t="n">
        <v>191491.9</v>
      </c>
      <c r="K58" t="n">
        <v>223153.5</v>
      </c>
      <c r="L58" t="n">
        <v>253373.1</v>
      </c>
      <c r="M58" t="n">
        <v>272560.9</v>
      </c>
      <c r="N58" t="n">
        <v>293893.8</v>
      </c>
      <c r="O58" t="n">
        <v>314328.9</v>
      </c>
      <c r="P58" t="n">
        <v>344688.3</v>
      </c>
      <c r="Q58" t="n">
        <v>385764.1</v>
      </c>
      <c r="R58" t="n">
        <v>418734.8</v>
      </c>
      <c r="S58" t="n">
        <v>420996.1</v>
      </c>
      <c r="T58" t="n">
        <v>372650.8</v>
      </c>
      <c r="U58" t="n">
        <v>350733.5</v>
      </c>
      <c r="V58" t="n">
        <v>333250.2</v>
      </c>
      <c r="W58" t="n">
        <v>374163.3</v>
      </c>
      <c r="X58" t="n">
        <v>389363.8</v>
      </c>
      <c r="Y58" t="n">
        <v>417582.4</v>
      </c>
      <c r="Z58" t="n">
        <v>517847.5</v>
      </c>
      <c r="AA58" t="n">
        <v>533332.1</v>
      </c>
      <c r="AB58" t="n">
        <v>575146.3</v>
      </c>
      <c r="AC58" t="n">
        <v>637651.4</v>
      </c>
      <c r="AD58" t="n">
        <v>684676.8</v>
      </c>
      <c r="AE58" t="n">
        <v>708580.9</v>
      </c>
      <c r="AF58" t="n">
        <v>859576.4</v>
      </c>
    </row>
    <row r="59">
      <c r="A59" t="s">
        <v>6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8</v>
      </c>
      <c r="B2" t="s">
        <v>84</v>
      </c>
      <c r="C2" t="s">
        <v>131</v>
      </c>
      <c r="D2" t="s">
        <v>86</v>
      </c>
      <c r="E2" t="s">
        <v>132</v>
      </c>
      <c r="F2" t="n">
        <v>4699.1</v>
      </c>
      <c r="G2" t="n">
        <v>4372.9</v>
      </c>
      <c r="H2" t="n">
        <v>4046.7</v>
      </c>
      <c r="I2" t="n">
        <v>4164.9</v>
      </c>
      <c r="J2" t="n">
        <v>3557.6</v>
      </c>
      <c r="K2" t="n">
        <v>4031.6</v>
      </c>
      <c r="L2" t="n">
        <v>3620</v>
      </c>
      <c r="M2" t="n">
        <v>3508.2</v>
      </c>
      <c r="N2" t="n">
        <v>3255.9</v>
      </c>
      <c r="O2" t="n">
        <v>3567.8</v>
      </c>
      <c r="P2" t="n">
        <v>3561.6</v>
      </c>
      <c r="Q2" t="n">
        <v>4845.9</v>
      </c>
      <c r="R2" t="n">
        <v>5032.9</v>
      </c>
      <c r="S2" t="n">
        <v>5303.6</v>
      </c>
      <c r="T2" t="n">
        <v>4633.2</v>
      </c>
      <c r="U2" t="n">
        <v>4613.3</v>
      </c>
      <c r="V2" t="n">
        <v>5607.4</v>
      </c>
      <c r="W2" t="n">
        <v>5666</v>
      </c>
      <c r="X2" t="n">
        <v>6189.4</v>
      </c>
      <c r="Y2" t="n">
        <v>5533.2</v>
      </c>
      <c r="Z2" t="n">
        <v>5486.3</v>
      </c>
      <c r="AA2" t="n">
        <v>5586.5</v>
      </c>
      <c r="AB2" t="n">
        <v>5804.4</v>
      </c>
      <c r="AC2" t="n">
        <v>6532.3</v>
      </c>
      <c r="AD2" t="n">
        <v>6012.8</v>
      </c>
      <c r="AE2" t="n">
        <v>6071.2</v>
      </c>
      <c r="AF2" t="n">
        <v>6646</v>
      </c>
    </row>
    <row r="3">
      <c r="A3" t="s">
        <v>8</v>
      </c>
      <c r="B3" t="s">
        <v>163</v>
      </c>
      <c r="C3" t="s">
        <v>131</v>
      </c>
      <c r="D3" t="s">
        <v>164</v>
      </c>
      <c r="E3" t="s">
        <v>132</v>
      </c>
      <c r="F3" t="n">
        <v>442.8</v>
      </c>
      <c r="G3" t="n">
        <v>438.9</v>
      </c>
      <c r="H3" t="n">
        <v>644.7</v>
      </c>
      <c r="I3" t="n">
        <v>555.3</v>
      </c>
      <c r="J3" t="n">
        <v>548.9</v>
      </c>
      <c r="K3" t="n">
        <v>673.8</v>
      </c>
      <c r="L3" t="n">
        <v>856.7</v>
      </c>
      <c r="M3" t="n">
        <v>778.2</v>
      </c>
      <c r="N3" t="n">
        <v>783.1</v>
      </c>
      <c r="O3" t="n">
        <v>669.8</v>
      </c>
      <c r="P3" t="n">
        <v>943.6</v>
      </c>
      <c r="Q3" t="n">
        <v>1063.3</v>
      </c>
      <c r="R3" t="n">
        <v>1317.5</v>
      </c>
      <c r="S3" t="n">
        <v>1931.7</v>
      </c>
      <c r="T3" t="n">
        <v>1109.5</v>
      </c>
      <c r="U3" t="n">
        <v>884.8</v>
      </c>
      <c r="V3" t="n">
        <v>1139.1</v>
      </c>
      <c r="W3" t="n">
        <v>629.2</v>
      </c>
      <c r="X3" t="n">
        <v>455.6</v>
      </c>
      <c r="Y3" t="n">
        <v>362</v>
      </c>
      <c r="Z3" t="n">
        <v>542.4</v>
      </c>
      <c r="AA3" t="n">
        <v>759</v>
      </c>
      <c r="AB3" t="n">
        <v>1099.4</v>
      </c>
      <c r="AC3" t="n">
        <v>557.1</v>
      </c>
      <c r="AD3" t="n">
        <v>958.6</v>
      </c>
      <c r="AE3" t="n">
        <v>452.2</v>
      </c>
      <c r="AF3" t="n">
        <v>482.4</v>
      </c>
    </row>
    <row r="4">
      <c r="A4" t="s">
        <v>8</v>
      </c>
      <c r="B4" t="s">
        <v>165</v>
      </c>
      <c r="C4" t="s">
        <v>131</v>
      </c>
      <c r="D4" t="s">
        <v>166</v>
      </c>
      <c r="E4" t="s">
        <v>132</v>
      </c>
      <c r="F4" t="n">
        <v>21566.4</v>
      </c>
      <c r="G4" t="n">
        <v>23395.9</v>
      </c>
      <c r="H4" t="n">
        <v>28538.5</v>
      </c>
      <c r="I4" t="n">
        <v>35171.5</v>
      </c>
      <c r="J4" t="n">
        <v>39620.4</v>
      </c>
      <c r="K4" t="n">
        <v>45548</v>
      </c>
      <c r="L4" t="n">
        <v>55883.2</v>
      </c>
      <c r="M4" t="n">
        <v>56354.3</v>
      </c>
      <c r="N4" t="n">
        <v>59340.6</v>
      </c>
      <c r="O4" t="n">
        <v>62201</v>
      </c>
      <c r="P4" t="n">
        <v>66558.2</v>
      </c>
      <c r="Q4" t="n">
        <v>72914.5</v>
      </c>
      <c r="R4" t="n">
        <v>74638.8</v>
      </c>
      <c r="S4" t="n">
        <v>73284.4</v>
      </c>
      <c r="T4" t="n">
        <v>69910.8</v>
      </c>
      <c r="U4" t="n">
        <v>57474.4</v>
      </c>
      <c r="V4" t="n">
        <v>58827.9</v>
      </c>
      <c r="W4" t="n">
        <v>69716.5</v>
      </c>
      <c r="X4" t="n">
        <v>70143.1</v>
      </c>
      <c r="Y4" t="n">
        <v>78604.3</v>
      </c>
      <c r="Z4" t="n">
        <v>100410.7</v>
      </c>
      <c r="AA4" t="n">
        <v>103234</v>
      </c>
      <c r="AB4" t="n">
        <v>99653.9</v>
      </c>
      <c r="AC4" t="n">
        <v>111318.5</v>
      </c>
      <c r="AD4" t="n">
        <v>115299</v>
      </c>
      <c r="AE4" t="n">
        <v>116294.5</v>
      </c>
      <c r="AF4" t="n">
        <v>136097.9</v>
      </c>
    </row>
    <row r="5">
      <c r="A5" t="s">
        <v>8</v>
      </c>
      <c r="B5" t="s">
        <v>167</v>
      </c>
      <c r="C5" t="s">
        <v>131</v>
      </c>
      <c r="D5" t="s">
        <v>168</v>
      </c>
      <c r="E5" t="s">
        <v>132</v>
      </c>
      <c r="F5" t="n">
        <v>4519.6</v>
      </c>
      <c r="G5" t="n">
        <v>5125.1</v>
      </c>
      <c r="H5" t="n">
        <v>5724.3</v>
      </c>
      <c r="I5" t="n">
        <v>6773.7</v>
      </c>
      <c r="J5" t="n">
        <v>7451.4</v>
      </c>
      <c r="K5" t="n">
        <v>8631.4</v>
      </c>
      <c r="L5" t="n">
        <v>10885.4</v>
      </c>
      <c r="M5" t="n">
        <v>12045.8</v>
      </c>
      <c r="N5" t="n">
        <v>12638.7</v>
      </c>
      <c r="O5" t="n">
        <v>14235</v>
      </c>
      <c r="P5" t="n">
        <v>14383.7</v>
      </c>
      <c r="Q5" t="n">
        <v>14563.8</v>
      </c>
      <c r="R5" t="n">
        <v>15927.9</v>
      </c>
      <c r="S5" t="n">
        <v>15697</v>
      </c>
      <c r="T5" t="n">
        <v>14578.3</v>
      </c>
      <c r="U5" t="n">
        <v>15293.2</v>
      </c>
      <c r="V5" t="n">
        <v>15612.5</v>
      </c>
      <c r="W5" t="n">
        <v>18592.5</v>
      </c>
      <c r="X5" t="n">
        <v>15734.5</v>
      </c>
      <c r="Y5" t="n">
        <v>16566.5</v>
      </c>
      <c r="Z5" t="n">
        <v>17915.2</v>
      </c>
      <c r="AA5" t="n">
        <v>16536.9</v>
      </c>
      <c r="AB5" t="n">
        <v>18019.6</v>
      </c>
      <c r="AC5" t="n">
        <v>16491.5</v>
      </c>
      <c r="AD5" t="n">
        <v>15479.1</v>
      </c>
      <c r="AE5" t="n">
        <v>16184.8</v>
      </c>
      <c r="AF5" t="n">
        <v>20130.5</v>
      </c>
    </row>
    <row r="6">
      <c r="A6" t="s">
        <v>8</v>
      </c>
      <c r="B6" t="s">
        <v>169</v>
      </c>
      <c r="C6" t="s">
        <v>131</v>
      </c>
      <c r="D6" t="s">
        <v>170</v>
      </c>
      <c r="E6" t="s">
        <v>132</v>
      </c>
      <c r="F6" t="n">
        <v>734.3</v>
      </c>
      <c r="G6" t="n">
        <v>685.5</v>
      </c>
      <c r="H6" t="n">
        <v>680.5</v>
      </c>
      <c r="I6" t="n">
        <v>708.9</v>
      </c>
      <c r="J6" t="n">
        <v>635.1</v>
      </c>
      <c r="K6" t="n">
        <v>621.1</v>
      </c>
      <c r="L6" t="n">
        <v>677.6</v>
      </c>
      <c r="M6" t="n">
        <v>583.2</v>
      </c>
      <c r="N6" t="n">
        <v>631.4</v>
      </c>
      <c r="O6" t="n">
        <v>472.9</v>
      </c>
      <c r="P6" t="n">
        <v>393.2</v>
      </c>
      <c r="Q6" t="n">
        <v>374.9</v>
      </c>
      <c r="R6" t="n">
        <v>431.3</v>
      </c>
      <c r="S6" t="n">
        <v>394</v>
      </c>
      <c r="T6" t="n">
        <v>343.7</v>
      </c>
      <c r="U6" t="n">
        <v>286.3</v>
      </c>
      <c r="V6" t="n">
        <v>169.7</v>
      </c>
      <c r="W6" t="n">
        <v>272.2</v>
      </c>
      <c r="X6" t="n">
        <v>276.5</v>
      </c>
      <c r="Y6" t="n">
        <v>243</v>
      </c>
      <c r="Z6" t="n">
        <v>225.9</v>
      </c>
      <c r="AA6" t="n">
        <v>229.3</v>
      </c>
      <c r="AB6" t="n">
        <v>269.5</v>
      </c>
      <c r="AC6" t="n">
        <v>245.2</v>
      </c>
      <c r="AD6" t="n">
        <v>170.7</v>
      </c>
      <c r="AE6" t="n">
        <v>147.4</v>
      </c>
      <c r="AF6" t="n">
        <v>157</v>
      </c>
    </row>
    <row r="7">
      <c r="A7" t="s">
        <v>8</v>
      </c>
      <c r="B7" t="s">
        <v>171</v>
      </c>
      <c r="C7" t="s">
        <v>131</v>
      </c>
      <c r="D7" t="s">
        <v>172</v>
      </c>
      <c r="E7" t="s">
        <v>132</v>
      </c>
      <c r="F7" t="n">
        <v>1312.4</v>
      </c>
      <c r="G7" t="n">
        <v>1433.4</v>
      </c>
      <c r="H7" t="n">
        <v>1692.7</v>
      </c>
      <c r="I7" t="n">
        <v>1882.4</v>
      </c>
      <c r="J7" t="n">
        <v>2109.2</v>
      </c>
      <c r="K7" t="n">
        <v>2339.9</v>
      </c>
      <c r="L7" t="n">
        <v>2733.1</v>
      </c>
      <c r="M7" t="n">
        <v>2775</v>
      </c>
      <c r="N7" t="n">
        <v>3108.3</v>
      </c>
      <c r="O7" t="n">
        <v>2756.5</v>
      </c>
      <c r="P7" t="n">
        <v>3139.9</v>
      </c>
      <c r="Q7" t="n">
        <v>4247.2</v>
      </c>
      <c r="R7" t="n">
        <v>2873.8</v>
      </c>
      <c r="S7" t="n">
        <v>2980.8</v>
      </c>
      <c r="T7" t="n">
        <v>2141.8</v>
      </c>
      <c r="U7" t="n">
        <v>1633.8</v>
      </c>
      <c r="V7" t="n">
        <v>1242.7</v>
      </c>
      <c r="W7" t="n">
        <v>1789.5</v>
      </c>
      <c r="X7" t="n">
        <v>1556.9</v>
      </c>
      <c r="Y7" t="n">
        <v>1559.3</v>
      </c>
      <c r="Z7" t="n">
        <v>1459.5</v>
      </c>
      <c r="AA7" t="n">
        <v>1381.9</v>
      </c>
      <c r="AB7" t="n">
        <v>1636.9</v>
      </c>
      <c r="AC7" t="n">
        <v>1524.1</v>
      </c>
      <c r="AD7" t="n">
        <v>1345.1</v>
      </c>
      <c r="AE7" t="n">
        <v>1337.9</v>
      </c>
      <c r="AF7" t="n">
        <v>1650.4</v>
      </c>
    </row>
    <row r="8">
      <c r="A8" t="s">
        <v>8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</v>
      </c>
      <c r="B10" t="s">
        <v>177</v>
      </c>
      <c r="C10" t="s">
        <v>131</v>
      </c>
      <c r="D10" t="s">
        <v>178</v>
      </c>
      <c r="E10" t="s">
        <v>132</v>
      </c>
      <c r="F10" t="n">
        <v>2404.8</v>
      </c>
      <c r="G10" t="n">
        <v>2511.9</v>
      </c>
      <c r="H10" t="n">
        <v>3485.9</v>
      </c>
      <c r="I10" t="n">
        <v>4461.2</v>
      </c>
      <c r="J10" t="n">
        <v>5621</v>
      </c>
      <c r="K10" t="n">
        <v>6701.6</v>
      </c>
      <c r="L10" t="n">
        <v>9710.7</v>
      </c>
      <c r="M10" t="n">
        <v>10003.9</v>
      </c>
      <c r="N10" t="n">
        <v>10706.4</v>
      </c>
      <c r="O10" t="n">
        <v>11573.5</v>
      </c>
      <c r="P10" t="n">
        <v>12040.7</v>
      </c>
      <c r="Q10" t="n">
        <v>12843.7</v>
      </c>
      <c r="R10" t="n">
        <v>15802.9</v>
      </c>
      <c r="S10" t="n">
        <v>17364</v>
      </c>
      <c r="T10" t="n">
        <v>20224.8</v>
      </c>
      <c r="U10" t="n">
        <v>22039.2</v>
      </c>
      <c r="V10" t="n">
        <v>23175.9</v>
      </c>
      <c r="W10" t="n">
        <v>18518.3</v>
      </c>
      <c r="X10" t="n">
        <v>20604.3</v>
      </c>
      <c r="Y10" t="n">
        <v>30525.2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</v>
      </c>
      <c r="B11" t="s">
        <v>179</v>
      </c>
      <c r="C11" t="s">
        <v>131</v>
      </c>
      <c r="D11" t="s">
        <v>180</v>
      </c>
      <c r="E11" t="s">
        <v>132</v>
      </c>
      <c r="F11" t="n">
        <v>2404.8</v>
      </c>
      <c r="G11" t="n">
        <v>2511.9</v>
      </c>
      <c r="H11" t="n">
        <v>3485.9</v>
      </c>
      <c r="I11" t="n">
        <v>4461.2</v>
      </c>
      <c r="J11" t="n">
        <v>5621</v>
      </c>
      <c r="K11" t="n">
        <v>6701.6</v>
      </c>
      <c r="L11" t="n">
        <v>9710.7</v>
      </c>
      <c r="M11" t="n">
        <v>10003.9</v>
      </c>
      <c r="N11" t="n">
        <v>10706.4</v>
      </c>
      <c r="O11" t="n">
        <v>11573.5</v>
      </c>
      <c r="P11" t="n">
        <v>12040.7</v>
      </c>
      <c r="Q11" t="n">
        <v>12843.7</v>
      </c>
      <c r="R11" t="n">
        <v>15802.9</v>
      </c>
      <c r="S11" t="n">
        <v>17364</v>
      </c>
      <c r="T11" t="n">
        <v>20224.8</v>
      </c>
      <c r="U11" t="n">
        <v>22039.2</v>
      </c>
      <c r="V11" t="n">
        <v>23175.9</v>
      </c>
      <c r="W11" t="n">
        <v>18518.3</v>
      </c>
      <c r="X11" t="n">
        <v>20604.3</v>
      </c>
      <c r="Y11" t="n">
        <v>30525.2</v>
      </c>
      <c r="Z11"/>
      <c r="AA11"/>
      <c r="AB11"/>
      <c r="AC11"/>
      <c r="AD11"/>
      <c r="AE11"/>
      <c r="AF11"/>
    </row>
    <row r="12">
      <c r="A12" t="s">
        <v>8</v>
      </c>
      <c r="B12" t="s">
        <v>181</v>
      </c>
      <c r="C12" t="s">
        <v>131</v>
      </c>
      <c r="D12" t="s">
        <v>182</v>
      </c>
      <c r="E12" t="s">
        <v>132</v>
      </c>
      <c r="F12" t="n">
        <v>1182.3</v>
      </c>
      <c r="G12" t="n">
        <v>1226.9</v>
      </c>
      <c r="H12" t="n">
        <v>1382.9</v>
      </c>
      <c r="I12" t="n">
        <v>1610.7</v>
      </c>
      <c r="J12" t="n">
        <v>1759.1</v>
      </c>
      <c r="K12" t="n">
        <v>1964.2</v>
      </c>
      <c r="L12" t="n">
        <v>2098.2</v>
      </c>
      <c r="M12" t="n">
        <v>2063.6</v>
      </c>
      <c r="N12" t="n">
        <v>2211.1</v>
      </c>
      <c r="O12" t="n">
        <v>2470.3</v>
      </c>
      <c r="P12" t="n">
        <v>2746.9</v>
      </c>
      <c r="Q12" t="n">
        <v>2928.7</v>
      </c>
      <c r="R12" t="n">
        <v>3439.7</v>
      </c>
      <c r="S12" t="n">
        <v>2691.5</v>
      </c>
      <c r="T12" t="n">
        <v>2190.4</v>
      </c>
      <c r="U12" t="n">
        <v>1493.1</v>
      </c>
      <c r="V12" t="n">
        <v>1698.3</v>
      </c>
      <c r="W12" t="n">
        <v>1688.6</v>
      </c>
      <c r="X12" t="n">
        <v>1778.5</v>
      </c>
      <c r="Y12" t="n">
        <v>1946</v>
      </c>
      <c r="Z12" t="n">
        <v>2096.8</v>
      </c>
      <c r="AA12" t="n">
        <v>2311.7</v>
      </c>
      <c r="AB12" t="n">
        <v>2494.1</v>
      </c>
      <c r="AC12" t="n">
        <v>2737.9</v>
      </c>
      <c r="AD12" t="n">
        <v>2204.5</v>
      </c>
      <c r="AE12" t="n">
        <v>2253.2</v>
      </c>
      <c r="AF12" t="n">
        <v>3191.6</v>
      </c>
    </row>
    <row r="13">
      <c r="A13" t="s">
        <v>8</v>
      </c>
      <c r="B13" t="s">
        <v>183</v>
      </c>
      <c r="C13" t="s">
        <v>131</v>
      </c>
      <c r="D13" t="s">
        <v>184</v>
      </c>
      <c r="E13" t="s">
        <v>132</v>
      </c>
      <c r="F13" t="n">
        <v>845.7</v>
      </c>
      <c r="G13" t="n">
        <v>913.5</v>
      </c>
      <c r="H13" t="n">
        <v>1005.2</v>
      </c>
      <c r="I13" t="n">
        <v>1160.3</v>
      </c>
      <c r="J13" t="n">
        <v>1308.4</v>
      </c>
      <c r="K13" t="n">
        <v>1433.5</v>
      </c>
      <c r="L13" t="n">
        <v>1522.6</v>
      </c>
      <c r="M13" t="n">
        <v>1466.2</v>
      </c>
      <c r="N13" t="n">
        <v>1629.2</v>
      </c>
      <c r="O13" t="n">
        <v>1736.5</v>
      </c>
      <c r="P13" t="n">
        <v>2246.2</v>
      </c>
      <c r="Q13" t="n">
        <v>2291.2</v>
      </c>
      <c r="R13" t="n">
        <v>2285.1</v>
      </c>
      <c r="S13" t="n">
        <v>2733.4</v>
      </c>
      <c r="T13" t="n">
        <v>1625.7</v>
      </c>
      <c r="U13" t="n">
        <v>1319.6</v>
      </c>
      <c r="V13" t="n">
        <v>1361.2</v>
      </c>
      <c r="W13" t="n">
        <v>1452.3</v>
      </c>
      <c r="X13" t="n">
        <v>1617.9</v>
      </c>
      <c r="Y13" t="n">
        <v>1622.1</v>
      </c>
      <c r="Z13" t="n">
        <v>1853.5</v>
      </c>
      <c r="AA13" t="n">
        <v>2083.2</v>
      </c>
      <c r="AB13" t="n">
        <v>2608.1</v>
      </c>
      <c r="AC13" t="n">
        <v>2264.2</v>
      </c>
      <c r="AD13" t="n">
        <v>2536.2</v>
      </c>
      <c r="AE13" t="n">
        <v>2500.5</v>
      </c>
      <c r="AF13" t="n">
        <v>2731.5</v>
      </c>
    </row>
    <row r="14">
      <c r="A14" t="s">
        <v>8</v>
      </c>
      <c r="B14" t="s">
        <v>185</v>
      </c>
      <c r="C14" t="s">
        <v>131</v>
      </c>
      <c r="D14" t="s">
        <v>186</v>
      </c>
      <c r="E14" t="s">
        <v>132</v>
      </c>
      <c r="F14" t="n">
        <v>6341</v>
      </c>
      <c r="G14" t="n">
        <v>7247.9</v>
      </c>
      <c r="H14" t="n">
        <v>9358.4</v>
      </c>
      <c r="I14" t="n">
        <v>11753.6</v>
      </c>
      <c r="J14" t="n">
        <v>13396.1</v>
      </c>
      <c r="K14" t="n">
        <v>15686.8</v>
      </c>
      <c r="L14" t="n">
        <v>20328.4</v>
      </c>
      <c r="M14" t="n">
        <v>19224.1</v>
      </c>
      <c r="N14" t="n">
        <v>19080.6</v>
      </c>
      <c r="O14" t="n">
        <v>20063.2</v>
      </c>
      <c r="P14" t="n">
        <v>22000.4</v>
      </c>
      <c r="Q14" t="n">
        <v>25830.4</v>
      </c>
      <c r="R14" t="n">
        <v>19542</v>
      </c>
      <c r="S14" t="n">
        <v>16860.3</v>
      </c>
      <c r="T14" t="n">
        <v>16439.6</v>
      </c>
      <c r="U14" t="n">
        <v>7300.5</v>
      </c>
      <c r="V14" t="n">
        <v>6109.4</v>
      </c>
      <c r="W14" t="n">
        <v>8443.9</v>
      </c>
      <c r="X14" t="n">
        <v>9032.2</v>
      </c>
      <c r="Y14" t="n">
        <v>9178.9</v>
      </c>
      <c r="Z14"/>
      <c r="AA14"/>
      <c r="AB14"/>
      <c r="AC14"/>
      <c r="AD14"/>
      <c r="AE14"/>
      <c r="AF14"/>
    </row>
    <row r="15">
      <c r="A15" t="s">
        <v>8</v>
      </c>
      <c r="B15" t="s">
        <v>187</v>
      </c>
      <c r="C15" t="s">
        <v>131</v>
      </c>
      <c r="D15" t="s">
        <v>188</v>
      </c>
      <c r="E15" t="s">
        <v>132</v>
      </c>
      <c r="F15" t="n">
        <v>6863.5</v>
      </c>
      <c r="G15" t="n">
        <v>7900.9</v>
      </c>
      <c r="H15" t="n">
        <v>10111.6</v>
      </c>
      <c r="I15" t="n">
        <v>12691.6</v>
      </c>
      <c r="J15" t="n">
        <v>14398.1</v>
      </c>
      <c r="K15" t="n">
        <v>16861.8</v>
      </c>
      <c r="L15" t="n">
        <v>21551</v>
      </c>
      <c r="M15" t="n">
        <v>20306.5</v>
      </c>
      <c r="N15" t="n">
        <v>19891.3</v>
      </c>
      <c r="O15" t="n">
        <v>20362.6</v>
      </c>
      <c r="P15" t="n">
        <v>22507.3</v>
      </c>
      <c r="Q15" t="n">
        <v>26498.5</v>
      </c>
      <c r="R15" t="n">
        <v>20454.7</v>
      </c>
      <c r="S15" t="n">
        <v>17687.5</v>
      </c>
      <c r="T15" t="n">
        <v>16763.4</v>
      </c>
      <c r="U15" t="n">
        <v>7622.8</v>
      </c>
      <c r="V15" t="n">
        <v>6624.7</v>
      </c>
      <c r="W15" t="n">
        <v>9017.5</v>
      </c>
      <c r="X15" t="n">
        <v>9602.7</v>
      </c>
      <c r="Y15" t="n">
        <v>9727.2</v>
      </c>
      <c r="Z15" t="n">
        <v>764.1</v>
      </c>
      <c r="AA15" t="n">
        <v>1046.1</v>
      </c>
      <c r="AB15" t="n">
        <v>1088.4</v>
      </c>
      <c r="AC15" t="n">
        <v>684</v>
      </c>
      <c r="AD15" t="n">
        <v>982.5</v>
      </c>
      <c r="AE15" t="n">
        <v>546.8</v>
      </c>
      <c r="AF15" t="n">
        <v>628</v>
      </c>
    </row>
    <row r="16">
      <c r="A16" t="s">
        <v>8</v>
      </c>
      <c r="B16" t="s">
        <v>189</v>
      </c>
      <c r="C16" t="s">
        <v>131</v>
      </c>
      <c r="D16" t="s">
        <v>190</v>
      </c>
      <c r="E16" t="s">
        <v>132</v>
      </c>
      <c r="F16" t="n">
        <v>522.5</v>
      </c>
      <c r="G16" t="n">
        <v>653</v>
      </c>
      <c r="H16" t="n">
        <v>753.2</v>
      </c>
      <c r="I16" t="n">
        <v>938</v>
      </c>
      <c r="J16" t="n">
        <v>1002</v>
      </c>
      <c r="K16" t="n">
        <v>1175</v>
      </c>
      <c r="L16" t="n">
        <v>1222.6</v>
      </c>
      <c r="M16" t="n">
        <v>1082.4</v>
      </c>
      <c r="N16" t="n">
        <v>810.7</v>
      </c>
      <c r="O16" t="n">
        <v>299.4</v>
      </c>
      <c r="P16" t="n">
        <v>506.9</v>
      </c>
      <c r="Q16" t="n">
        <v>668.1</v>
      </c>
      <c r="R16" t="n">
        <v>912.7</v>
      </c>
      <c r="S16" t="n">
        <v>827.2</v>
      </c>
      <c r="T16" t="n">
        <v>323.8</v>
      </c>
      <c r="U16" t="n">
        <v>322.3</v>
      </c>
      <c r="V16" t="n">
        <v>515.3</v>
      </c>
      <c r="W16" t="n">
        <v>573.6</v>
      </c>
      <c r="X16" t="n">
        <v>570.5</v>
      </c>
      <c r="Y16" t="n">
        <v>548.3</v>
      </c>
      <c r="Z16" t="n">
        <v>764.1</v>
      </c>
      <c r="AA16" t="n">
        <v>1046.1</v>
      </c>
      <c r="AB16" t="n">
        <v>1088.4</v>
      </c>
      <c r="AC16" t="n">
        <v>684</v>
      </c>
      <c r="AD16" t="n">
        <v>982.5</v>
      </c>
      <c r="AE16" t="n">
        <v>546.8</v>
      </c>
      <c r="AF16" t="n">
        <v>628</v>
      </c>
    </row>
    <row r="17">
      <c r="A17" t="s">
        <v>8</v>
      </c>
      <c r="B17" t="s">
        <v>191</v>
      </c>
      <c r="C17" t="s">
        <v>131</v>
      </c>
      <c r="D17" t="s">
        <v>192</v>
      </c>
      <c r="E17" t="s">
        <v>132</v>
      </c>
      <c r="F17" t="n">
        <v>611.7</v>
      </c>
      <c r="G17" t="n">
        <v>658</v>
      </c>
      <c r="H17" t="n">
        <v>710.2</v>
      </c>
      <c r="I17" t="n">
        <v>690.9</v>
      </c>
      <c r="J17" t="n">
        <v>937.7</v>
      </c>
      <c r="K17" t="n">
        <v>914.1</v>
      </c>
      <c r="L17" t="n">
        <v>1033.6</v>
      </c>
      <c r="M17" t="n">
        <v>1676.7</v>
      </c>
      <c r="N17" t="n">
        <v>1705.8</v>
      </c>
      <c r="O17" t="n">
        <v>1785.4</v>
      </c>
      <c r="P17" t="n">
        <v>2059.3</v>
      </c>
      <c r="Q17" t="n">
        <v>1796.6</v>
      </c>
      <c r="R17" t="n">
        <v>2412.3</v>
      </c>
      <c r="S17" t="n">
        <v>1915.8</v>
      </c>
      <c r="T17" t="n">
        <v>1586.7</v>
      </c>
      <c r="U17" t="n">
        <v>1034.3</v>
      </c>
      <c r="V17" t="n">
        <v>1122.5</v>
      </c>
      <c r="W17" t="n">
        <v>1697.7</v>
      </c>
      <c r="X17" t="n">
        <v>1597.4</v>
      </c>
      <c r="Y17" t="n">
        <v>1549.9</v>
      </c>
      <c r="Z17" t="n">
        <v>1580.9</v>
      </c>
      <c r="AA17" t="n">
        <v>1962.7</v>
      </c>
      <c r="AB17" t="n">
        <v>1819.9</v>
      </c>
      <c r="AC17" t="n">
        <v>2023.1</v>
      </c>
      <c r="AD17" t="n">
        <v>1655.1</v>
      </c>
      <c r="AE17" t="n">
        <v>1227.5</v>
      </c>
      <c r="AF17" t="n">
        <v>1628.3</v>
      </c>
    </row>
    <row r="18">
      <c r="A18" t="s">
        <v>8</v>
      </c>
      <c r="B18" t="s">
        <v>193</v>
      </c>
      <c r="C18" t="s">
        <v>131</v>
      </c>
      <c r="D18" t="s">
        <v>194</v>
      </c>
      <c r="E18" t="s">
        <v>132</v>
      </c>
      <c r="F18" t="n">
        <v>529.1</v>
      </c>
      <c r="G18" t="n">
        <v>614.5</v>
      </c>
      <c r="H18" t="n">
        <v>631.4</v>
      </c>
      <c r="I18" t="n">
        <v>916</v>
      </c>
      <c r="J18" t="n">
        <v>561</v>
      </c>
      <c r="K18" t="n">
        <v>673.2</v>
      </c>
      <c r="L18" t="n">
        <v>689.4</v>
      </c>
      <c r="M18" t="n">
        <v>686.7</v>
      </c>
      <c r="N18" t="n">
        <v>882.9</v>
      </c>
      <c r="O18" t="n">
        <v>652</v>
      </c>
      <c r="P18" t="n">
        <v>748.4</v>
      </c>
      <c r="Q18" t="n">
        <v>823.6</v>
      </c>
      <c r="R18" t="n">
        <v>1000.3</v>
      </c>
      <c r="S18" t="n">
        <v>971.9</v>
      </c>
      <c r="T18" t="n">
        <v>584</v>
      </c>
      <c r="U18" t="n">
        <v>538.8</v>
      </c>
      <c r="V18" t="n">
        <v>563.5</v>
      </c>
      <c r="W18" t="n">
        <v>552.8</v>
      </c>
      <c r="X18" t="n">
        <v>511.3</v>
      </c>
      <c r="Y18" t="n">
        <v>483.4</v>
      </c>
      <c r="Z18" t="n">
        <v>502.5</v>
      </c>
      <c r="AA18" t="n">
        <v>496.1</v>
      </c>
      <c r="AB18" t="n">
        <v>520.1</v>
      </c>
      <c r="AC18" t="n">
        <v>687.4</v>
      </c>
      <c r="AD18" t="n">
        <v>938.7</v>
      </c>
      <c r="AE18" t="n">
        <v>736.7</v>
      </c>
      <c r="AF18" t="n">
        <v>545.1</v>
      </c>
    </row>
    <row r="19">
      <c r="A19" t="s">
        <v>8</v>
      </c>
      <c r="B19" t="s">
        <v>195</v>
      </c>
      <c r="C19" t="s">
        <v>131</v>
      </c>
      <c r="D19" t="s">
        <v>196</v>
      </c>
      <c r="E19" t="s">
        <v>132</v>
      </c>
      <c r="F19" t="n">
        <v>1038.5</v>
      </c>
      <c r="G19" t="n">
        <v>1136.7</v>
      </c>
      <c r="H19" t="n">
        <v>1386.3</v>
      </c>
      <c r="I19" t="n">
        <v>1924</v>
      </c>
      <c r="J19" t="n">
        <v>2442.8</v>
      </c>
      <c r="K19" t="n">
        <v>2565.6</v>
      </c>
      <c r="L19" t="n">
        <v>3125</v>
      </c>
      <c r="M19" t="n">
        <v>3252.4</v>
      </c>
      <c r="N19" t="n">
        <v>4061.3</v>
      </c>
      <c r="O19" t="n">
        <v>4178</v>
      </c>
      <c r="P19" t="n">
        <v>4713.9</v>
      </c>
      <c r="Q19" t="n">
        <v>4431.3</v>
      </c>
      <c r="R19" t="n">
        <v>5524.4</v>
      </c>
      <c r="S19" t="n">
        <v>6303.9</v>
      </c>
      <c r="T19" t="n">
        <v>5843.2</v>
      </c>
      <c r="U19" t="n">
        <v>3428.9</v>
      </c>
      <c r="V19" t="n">
        <v>4130.9</v>
      </c>
      <c r="W19" t="n">
        <v>8153.7</v>
      </c>
      <c r="X19" t="n">
        <v>7450.6</v>
      </c>
      <c r="Y19" t="n">
        <v>7617.7</v>
      </c>
      <c r="Z19" t="n">
        <v>6016.9</v>
      </c>
      <c r="AA19" t="n">
        <v>8960.4</v>
      </c>
      <c r="AB19" t="n">
        <v>8935.1</v>
      </c>
      <c r="AC19" t="n">
        <v>10592.1</v>
      </c>
      <c r="AD19" t="n">
        <v>11949.4</v>
      </c>
      <c r="AE19" t="n">
        <v>11699.7</v>
      </c>
      <c r="AF19" t="n">
        <v>11294</v>
      </c>
    </row>
    <row r="20">
      <c r="A20" t="s">
        <v>8</v>
      </c>
      <c r="B20" t="s">
        <v>197</v>
      </c>
      <c r="C20" t="s">
        <v>131</v>
      </c>
      <c r="D20" t="s">
        <v>198</v>
      </c>
      <c r="E20" t="s">
        <v>132</v>
      </c>
      <c r="F20" t="n">
        <v>988.5</v>
      </c>
      <c r="G20" t="n">
        <v>881</v>
      </c>
      <c r="H20" t="n">
        <v>968.4</v>
      </c>
      <c r="I20" t="n">
        <v>1093.8</v>
      </c>
      <c r="J20" t="n">
        <v>862.5</v>
      </c>
      <c r="K20" t="n">
        <v>1188.7</v>
      </c>
      <c r="L20" t="n">
        <v>1486</v>
      </c>
      <c r="M20" t="n">
        <v>1491.3</v>
      </c>
      <c r="N20" t="n">
        <v>1516.6</v>
      </c>
      <c r="O20" t="n">
        <v>1951.3</v>
      </c>
      <c r="P20" t="n">
        <v>2810.2</v>
      </c>
      <c r="Q20" t="n">
        <v>3636.6</v>
      </c>
      <c r="R20" t="n">
        <v>3885.5</v>
      </c>
      <c r="S20" t="n">
        <v>4779.9</v>
      </c>
      <c r="T20" t="n">
        <v>3635.5</v>
      </c>
      <c r="U20" t="n">
        <v>3262.8</v>
      </c>
      <c r="V20" t="n">
        <v>2221.6</v>
      </c>
      <c r="W20" t="n">
        <v>3566.7</v>
      </c>
      <c r="X20" t="n">
        <v>3642.5</v>
      </c>
      <c r="Y20" t="n">
        <v>3214.3</v>
      </c>
      <c r="Z20" t="n">
        <v>3400.6</v>
      </c>
      <c r="AA20" t="n">
        <v>3158.3</v>
      </c>
      <c r="AB20" t="n">
        <v>3663.6</v>
      </c>
      <c r="AC20" t="n">
        <v>3859.8</v>
      </c>
      <c r="AD20" t="n">
        <v>4985.9</v>
      </c>
      <c r="AE20" t="n">
        <v>4935.3</v>
      </c>
      <c r="AF20" t="n">
        <v>7449.6</v>
      </c>
    </row>
    <row r="21">
      <c r="A21" t="s">
        <v>8</v>
      </c>
      <c r="B21" t="s">
        <v>199</v>
      </c>
      <c r="C21" t="s">
        <v>131</v>
      </c>
      <c r="D21" t="s">
        <v>200</v>
      </c>
      <c r="E21" t="s">
        <v>132</v>
      </c>
      <c r="F21" t="n">
        <v>1438.7</v>
      </c>
      <c r="G21" t="n">
        <v>1386.6</v>
      </c>
      <c r="H21" t="n">
        <v>1425.6</v>
      </c>
      <c r="I21" t="n">
        <v>1668</v>
      </c>
      <c r="J21" t="n">
        <v>1482.3</v>
      </c>
      <c r="K21" t="n">
        <v>1915.5</v>
      </c>
      <c r="L21" t="n">
        <v>2378.5</v>
      </c>
      <c r="M21" t="n">
        <v>2438.7</v>
      </c>
      <c r="N21" t="n">
        <v>2647</v>
      </c>
      <c r="O21" t="n">
        <v>2812.7</v>
      </c>
      <c r="P21" t="n">
        <v>4108.7</v>
      </c>
      <c r="Q21" t="n">
        <v>5221.1</v>
      </c>
      <c r="R21" t="n">
        <v>5964.3</v>
      </c>
      <c r="S21" t="n">
        <v>6942</v>
      </c>
      <c r="T21" t="n">
        <v>5503.7</v>
      </c>
      <c r="U21" t="n">
        <v>4018.3</v>
      </c>
      <c r="V21" t="n">
        <v>2973.6</v>
      </c>
      <c r="W21" t="n">
        <v>4937.8</v>
      </c>
      <c r="X21" t="n">
        <v>5133.1</v>
      </c>
      <c r="Y21" t="n">
        <v>4532</v>
      </c>
      <c r="Z21" t="n">
        <v>4565.9</v>
      </c>
      <c r="AA21" t="n">
        <v>4420.7</v>
      </c>
      <c r="AB21" t="n">
        <v>5116.5</v>
      </c>
      <c r="AC21" t="n">
        <v>5199.8</v>
      </c>
      <c r="AD21" t="n">
        <v>6578.5</v>
      </c>
      <c r="AE21" t="n">
        <v>6166.2</v>
      </c>
      <c r="AF21" t="n">
        <v>9150</v>
      </c>
    </row>
    <row r="22">
      <c r="A22" t="s">
        <v>8</v>
      </c>
      <c r="B22" t="s">
        <v>201</v>
      </c>
      <c r="C22" t="s">
        <v>131</v>
      </c>
      <c r="D22" t="s">
        <v>202</v>
      </c>
      <c r="E22" t="s">
        <v>132</v>
      </c>
      <c r="F22" t="n">
        <v>450.2</v>
      </c>
      <c r="G22" t="n">
        <v>505.6</v>
      </c>
      <c r="H22" t="n">
        <v>457.2</v>
      </c>
      <c r="I22" t="n">
        <v>574.2</v>
      </c>
      <c r="J22" t="n">
        <v>619.8</v>
      </c>
      <c r="K22" t="n">
        <v>726.8</v>
      </c>
      <c r="L22" t="n">
        <v>892.5</v>
      </c>
      <c r="M22" t="n">
        <v>947.4</v>
      </c>
      <c r="N22" t="n">
        <v>1130.4</v>
      </c>
      <c r="O22" t="n">
        <v>861.4</v>
      </c>
      <c r="P22" t="n">
        <v>1298.5</v>
      </c>
      <c r="Q22" t="n">
        <v>1584.5</v>
      </c>
      <c r="R22" t="n">
        <v>2078.8</v>
      </c>
      <c r="S22" t="n">
        <v>2162.1</v>
      </c>
      <c r="T22" t="n">
        <v>1868.2</v>
      </c>
      <c r="U22" t="n">
        <v>755.5</v>
      </c>
      <c r="V22" t="n">
        <v>752</v>
      </c>
      <c r="W22" t="n">
        <v>1371.1</v>
      </c>
      <c r="X22" t="n">
        <v>1490.6</v>
      </c>
      <c r="Y22" t="n">
        <v>1317.7</v>
      </c>
      <c r="Z22" t="n">
        <v>1165.3</v>
      </c>
      <c r="AA22" t="n">
        <v>1262.4</v>
      </c>
      <c r="AB22" t="n">
        <v>1452.9</v>
      </c>
      <c r="AC22" t="n">
        <v>1340</v>
      </c>
      <c r="AD22" t="n">
        <v>1592.6</v>
      </c>
      <c r="AE22" t="n">
        <v>1230.9</v>
      </c>
      <c r="AF22" t="n">
        <v>1700.4</v>
      </c>
    </row>
    <row r="23">
      <c r="A23" t="s">
        <v>8</v>
      </c>
      <c r="B23" t="s">
        <v>203</v>
      </c>
      <c r="C23" t="s">
        <v>131</v>
      </c>
      <c r="D23" t="s">
        <v>204</v>
      </c>
      <c r="E23" t="s">
        <v>132</v>
      </c>
      <c r="F23" t="n">
        <v>5928.4</v>
      </c>
      <c r="G23" t="n">
        <v>6461.4</v>
      </c>
      <c r="H23" t="n">
        <v>7628.5</v>
      </c>
      <c r="I23" t="n">
        <v>9322.5</v>
      </c>
      <c r="J23" t="n">
        <v>11322.6</v>
      </c>
      <c r="K23" t="n">
        <v>14056.6</v>
      </c>
      <c r="L23" t="n">
        <v>16389.6</v>
      </c>
      <c r="M23" t="n">
        <v>17586.9</v>
      </c>
      <c r="N23" t="n">
        <v>19090.6</v>
      </c>
      <c r="O23" t="n">
        <v>22556.3</v>
      </c>
      <c r="P23" t="n">
        <v>25604</v>
      </c>
      <c r="Q23" t="n">
        <v>30539.3</v>
      </c>
      <c r="R23" t="n">
        <v>33803.8</v>
      </c>
      <c r="S23" t="n">
        <v>30207.7</v>
      </c>
      <c r="T23" t="n">
        <v>12594.7</v>
      </c>
      <c r="U23" t="n">
        <v>10432.5</v>
      </c>
      <c r="V23" t="n">
        <v>7516.7</v>
      </c>
      <c r="W23" t="n">
        <v>4756</v>
      </c>
      <c r="X23" t="n">
        <v>5712.6</v>
      </c>
      <c r="Y23" t="n">
        <v>8817.7</v>
      </c>
      <c r="Z23" t="n">
        <v>9954.8</v>
      </c>
      <c r="AA23" t="n">
        <v>13350.9</v>
      </c>
      <c r="AB23" t="n">
        <v>16761.2</v>
      </c>
      <c r="AC23" t="n">
        <v>18019.3</v>
      </c>
      <c r="AD23" t="n">
        <v>17966.1</v>
      </c>
      <c r="AE23" t="n">
        <v>19282.6</v>
      </c>
      <c r="AF23" t="n">
        <v>26182.7</v>
      </c>
    </row>
    <row r="24">
      <c r="A24" t="s">
        <v>8</v>
      </c>
      <c r="B24" t="s">
        <v>205</v>
      </c>
      <c r="C24" t="s">
        <v>131</v>
      </c>
      <c r="D24" t="s">
        <v>206</v>
      </c>
      <c r="E24" t="s">
        <v>132</v>
      </c>
      <c r="F24" t="n">
        <v>3177.3</v>
      </c>
      <c r="G24" t="n">
        <v>3900</v>
      </c>
      <c r="H24" t="n">
        <v>4515.9</v>
      </c>
      <c r="I24" t="n">
        <v>5002.3</v>
      </c>
      <c r="J24" t="n">
        <v>5550.6</v>
      </c>
      <c r="K24" t="n">
        <v>6491</v>
      </c>
      <c r="L24" t="n">
        <v>5921.5</v>
      </c>
      <c r="M24" t="n">
        <v>6814.2</v>
      </c>
      <c r="N24" t="n">
        <v>7700.5</v>
      </c>
      <c r="O24" t="n">
        <v>9925.7</v>
      </c>
      <c r="P24" t="n">
        <v>9339.3</v>
      </c>
      <c r="Q24" t="n">
        <v>13303.1</v>
      </c>
      <c r="R24" t="n">
        <v>14187.4</v>
      </c>
      <c r="S24" t="n">
        <v>15937.1</v>
      </c>
      <c r="T24" t="n">
        <v>14453.6</v>
      </c>
      <c r="U24" t="n">
        <v>15441.9</v>
      </c>
      <c r="V24" t="n">
        <v>17830</v>
      </c>
      <c r="W24" t="n">
        <v>17206.6</v>
      </c>
      <c r="X24" t="n">
        <v>15273.9</v>
      </c>
      <c r="Y24" t="n">
        <v>14722.9</v>
      </c>
      <c r="Z24" t="n">
        <v>15831.8</v>
      </c>
      <c r="AA24" t="n">
        <v>19999.2</v>
      </c>
      <c r="AB24" t="n">
        <v>19094.6</v>
      </c>
      <c r="AC24" t="n">
        <v>18929</v>
      </c>
      <c r="AD24" t="n">
        <v>19632.6</v>
      </c>
      <c r="AE24" t="n">
        <v>19641.2</v>
      </c>
      <c r="AF24" t="n">
        <v>18576.5</v>
      </c>
    </row>
    <row r="25">
      <c r="A25" t="s">
        <v>8</v>
      </c>
      <c r="B25" t="s">
        <v>207</v>
      </c>
      <c r="C25" t="s">
        <v>131</v>
      </c>
      <c r="D25" t="s">
        <v>208</v>
      </c>
      <c r="E25" t="s">
        <v>132</v>
      </c>
      <c r="F25" t="n">
        <v>320.2</v>
      </c>
      <c r="G25" t="n">
        <v>356.1</v>
      </c>
      <c r="H25" t="n">
        <v>410.3</v>
      </c>
      <c r="I25" t="n">
        <v>449.9</v>
      </c>
      <c r="J25" t="n">
        <v>514.9</v>
      </c>
      <c r="K25" t="n">
        <v>626.2</v>
      </c>
      <c r="L25" t="n">
        <v>599.5</v>
      </c>
      <c r="M25" t="n">
        <v>598.3</v>
      </c>
      <c r="N25" t="n">
        <v>508</v>
      </c>
      <c r="O25" t="n">
        <v>1017.1</v>
      </c>
      <c r="P25" t="n">
        <v>563.1</v>
      </c>
      <c r="Q25" t="n">
        <v>860.8</v>
      </c>
      <c r="R25" t="n">
        <v>1042.9</v>
      </c>
      <c r="S25" t="n">
        <v>1328.6</v>
      </c>
      <c r="T25" t="n">
        <v>980.5</v>
      </c>
      <c r="U25" t="n">
        <v>958.1</v>
      </c>
      <c r="V25" t="n">
        <v>420.3</v>
      </c>
      <c r="W25" t="n">
        <v>776.7</v>
      </c>
      <c r="X25" t="n">
        <v>811.8</v>
      </c>
      <c r="Y25" t="n">
        <v>525.5</v>
      </c>
      <c r="Z25" t="n">
        <v>848.7</v>
      </c>
      <c r="AA25" t="n">
        <v>916.3</v>
      </c>
      <c r="AB25" t="n">
        <v>1004.3</v>
      </c>
      <c r="AC25" t="n">
        <v>1548.1</v>
      </c>
      <c r="AD25" t="n">
        <v>795.4</v>
      </c>
      <c r="AE25" t="n">
        <v>688.6</v>
      </c>
      <c r="AF25" t="n">
        <v>778.9</v>
      </c>
    </row>
    <row r="26">
      <c r="A26" t="s">
        <v>8</v>
      </c>
      <c r="B26" t="s">
        <v>209</v>
      </c>
      <c r="C26" t="s">
        <v>131</v>
      </c>
      <c r="D26" t="s">
        <v>210</v>
      </c>
      <c r="E26" t="s">
        <v>132</v>
      </c>
      <c r="F26" t="n">
        <v>1492.8</v>
      </c>
      <c r="G26" t="n">
        <v>2017.1</v>
      </c>
      <c r="H26" t="n">
        <v>2365.5</v>
      </c>
      <c r="I26" t="n">
        <v>2764.2</v>
      </c>
      <c r="J26" t="n">
        <v>2978.1</v>
      </c>
      <c r="K26" t="n">
        <v>3638.9</v>
      </c>
      <c r="L26" t="n">
        <v>2956</v>
      </c>
      <c r="M26" t="n">
        <v>3768.6</v>
      </c>
      <c r="N26" t="n">
        <v>4305.6</v>
      </c>
      <c r="O26" t="n">
        <v>4832.7</v>
      </c>
      <c r="P26" t="n">
        <v>5995.9</v>
      </c>
      <c r="Q26" t="n">
        <v>7898.4</v>
      </c>
      <c r="R26" t="n">
        <v>7559.1</v>
      </c>
      <c r="S26" t="n">
        <v>8603.5</v>
      </c>
      <c r="T26" t="n">
        <v>7046.3</v>
      </c>
      <c r="U26" t="n">
        <v>9635.6</v>
      </c>
      <c r="V26" t="n">
        <v>12428.4</v>
      </c>
      <c r="W26" t="n">
        <v>11889.4</v>
      </c>
      <c r="X26" t="n">
        <v>9838.1</v>
      </c>
      <c r="Y26" t="n">
        <v>8999.5</v>
      </c>
      <c r="Z26" t="n">
        <v>10473.7</v>
      </c>
      <c r="AA26" t="n">
        <v>13695.4</v>
      </c>
      <c r="AB26" t="n">
        <v>11917.9</v>
      </c>
      <c r="AC26" t="n">
        <v>12397.1</v>
      </c>
      <c r="AD26" t="n">
        <v>14104.1</v>
      </c>
      <c r="AE26" t="n">
        <v>13337.1</v>
      </c>
      <c r="AF26" t="n">
        <v>12450.8</v>
      </c>
    </row>
    <row r="27">
      <c r="A27" t="s">
        <v>8</v>
      </c>
      <c r="B27" t="s">
        <v>211</v>
      </c>
      <c r="C27" t="s">
        <v>131</v>
      </c>
      <c r="D27" t="s">
        <v>212</v>
      </c>
      <c r="E27" t="s">
        <v>132</v>
      </c>
      <c r="F27" t="n">
        <v>1364.3</v>
      </c>
      <c r="G27" t="n">
        <v>1526.8</v>
      </c>
      <c r="H27" t="n">
        <v>1740.1</v>
      </c>
      <c r="I27" t="n">
        <v>1788.2</v>
      </c>
      <c r="J27" t="n">
        <v>2057.6</v>
      </c>
      <c r="K27" t="n">
        <v>2225.9</v>
      </c>
      <c r="L27" t="n">
        <v>2366</v>
      </c>
      <c r="M27" t="n">
        <v>2447.3</v>
      </c>
      <c r="N27" t="n">
        <v>2886.9</v>
      </c>
      <c r="O27" t="n">
        <v>4075.9</v>
      </c>
      <c r="P27" t="n">
        <v>2780.3</v>
      </c>
      <c r="Q27" t="n">
        <v>4543.9</v>
      </c>
      <c r="R27" t="n">
        <v>5585.4</v>
      </c>
      <c r="S27" t="n">
        <v>6005</v>
      </c>
      <c r="T27" t="n">
        <v>6426.8</v>
      </c>
      <c r="U27" t="n">
        <v>4848.2</v>
      </c>
      <c r="V27" t="n">
        <v>4981.3</v>
      </c>
      <c r="W27" t="n">
        <v>4540.5</v>
      </c>
      <c r="X27" t="n">
        <v>4624</v>
      </c>
      <c r="Y27" t="n">
        <v>5197.9</v>
      </c>
      <c r="Z27" t="n">
        <v>4509.4</v>
      </c>
      <c r="AA27" t="n">
        <v>5387.5</v>
      </c>
      <c r="AB27" t="n">
        <v>6172.4</v>
      </c>
      <c r="AC27" t="n">
        <v>4983.8</v>
      </c>
      <c r="AD27" t="n">
        <v>4733.1</v>
      </c>
      <c r="AE27" t="n">
        <v>5615.5</v>
      </c>
      <c r="AF27" t="n">
        <v>5346.8</v>
      </c>
    </row>
    <row r="28">
      <c r="A28" t="s">
        <v>8</v>
      </c>
      <c r="B28" t="s">
        <v>213</v>
      </c>
      <c r="C28" t="s">
        <v>131</v>
      </c>
      <c r="D28" t="s">
        <v>214</v>
      </c>
      <c r="E28" t="s">
        <v>132</v>
      </c>
      <c r="F28" t="n">
        <v>1547.8</v>
      </c>
      <c r="G28" t="n">
        <v>1734.5</v>
      </c>
      <c r="H28" t="n">
        <v>2045.2</v>
      </c>
      <c r="I28" t="n">
        <v>2553.2</v>
      </c>
      <c r="J28" t="n">
        <v>2916</v>
      </c>
      <c r="K28" t="n">
        <v>3549.9</v>
      </c>
      <c r="L28" t="n">
        <v>3868.2</v>
      </c>
      <c r="M28" t="n">
        <v>4036.7</v>
      </c>
      <c r="N28" t="n">
        <v>4451.4</v>
      </c>
      <c r="O28" t="n">
        <v>5272.5</v>
      </c>
      <c r="P28" t="n">
        <v>5816.1</v>
      </c>
      <c r="Q28" t="n">
        <v>7146.3</v>
      </c>
      <c r="R28" t="n">
        <v>7398.1</v>
      </c>
      <c r="S28" t="n">
        <v>10208.6</v>
      </c>
      <c r="T28" t="n">
        <v>8325.1</v>
      </c>
      <c r="U28" t="n">
        <v>9649.9</v>
      </c>
      <c r="V28" t="n">
        <v>6573.1</v>
      </c>
      <c r="W28" t="n">
        <v>10225.5</v>
      </c>
      <c r="X28" t="n">
        <v>9063.9</v>
      </c>
      <c r="Y28" t="n">
        <v>9275.1</v>
      </c>
      <c r="Z28" t="n">
        <v>8700.4</v>
      </c>
      <c r="AA28" t="n">
        <v>12167.6</v>
      </c>
      <c r="AB28" t="n">
        <v>11894.2</v>
      </c>
      <c r="AC28" t="n">
        <v>14049</v>
      </c>
      <c r="AD28" t="n">
        <v>15087.3</v>
      </c>
      <c r="AE28" t="n">
        <v>8739.7</v>
      </c>
      <c r="AF28" t="n">
        <v>9408</v>
      </c>
    </row>
    <row r="29">
      <c r="A29" t="s">
        <v>8</v>
      </c>
      <c r="B29" t="s">
        <v>215</v>
      </c>
      <c r="C29" t="s">
        <v>131</v>
      </c>
      <c r="D29" t="s">
        <v>216</v>
      </c>
      <c r="E29" t="s">
        <v>132</v>
      </c>
      <c r="F29" t="n">
        <v>730.9</v>
      </c>
      <c r="G29" t="n">
        <v>830.7</v>
      </c>
      <c r="H29" t="n">
        <v>992.8</v>
      </c>
      <c r="I29" t="n">
        <v>1243.5</v>
      </c>
      <c r="J29" t="n">
        <v>1376.8</v>
      </c>
      <c r="K29" t="n">
        <v>1695</v>
      </c>
      <c r="L29" t="n">
        <v>1924.3</v>
      </c>
      <c r="M29" t="n">
        <v>1954.3</v>
      </c>
      <c r="N29" t="n">
        <v>1887.5</v>
      </c>
      <c r="O29" t="n">
        <v>2550.9</v>
      </c>
      <c r="P29" t="n">
        <v>2468.2</v>
      </c>
      <c r="Q29" t="n">
        <v>2274.3</v>
      </c>
      <c r="R29" t="n">
        <v>2683.2</v>
      </c>
      <c r="S29" t="n">
        <v>3369.9</v>
      </c>
      <c r="T29" t="n">
        <v>2321.2</v>
      </c>
      <c r="U29" t="n">
        <v>3788.6</v>
      </c>
      <c r="V29" t="n">
        <v>2481</v>
      </c>
      <c r="W29" t="n">
        <v>3136.2</v>
      </c>
      <c r="X29" t="n">
        <v>2086.2</v>
      </c>
      <c r="Y29" t="n">
        <v>2216.8</v>
      </c>
      <c r="Z29" t="n">
        <v>2445.1</v>
      </c>
      <c r="AA29" t="n">
        <v>2551.4</v>
      </c>
      <c r="AB29" t="n">
        <v>1555.8</v>
      </c>
      <c r="AC29" t="n">
        <v>2319.5</v>
      </c>
      <c r="AD29" t="n">
        <v>2359.4</v>
      </c>
      <c r="AE29" t="n">
        <v>2466.3</v>
      </c>
      <c r="AF29" t="n">
        <v>2395.4</v>
      </c>
    </row>
    <row r="30">
      <c r="A30" t="s">
        <v>8</v>
      </c>
      <c r="B30" t="s">
        <v>217</v>
      </c>
      <c r="C30" t="s">
        <v>131</v>
      </c>
      <c r="D30" t="s">
        <v>218</v>
      </c>
      <c r="E30" t="s">
        <v>132</v>
      </c>
      <c r="F30" t="n">
        <v>93.3</v>
      </c>
      <c r="G30" t="n">
        <v>109.3</v>
      </c>
      <c r="H30" t="n">
        <v>131.5</v>
      </c>
      <c r="I30" t="n">
        <v>180.9</v>
      </c>
      <c r="J30" t="n">
        <v>207.5</v>
      </c>
      <c r="K30" t="n">
        <v>229.7</v>
      </c>
      <c r="L30" t="n">
        <v>242.9</v>
      </c>
      <c r="M30" t="n">
        <v>296.2</v>
      </c>
      <c r="N30" t="n">
        <v>316.7</v>
      </c>
      <c r="O30" t="n">
        <v>342.1</v>
      </c>
      <c r="P30" t="n">
        <v>128.6</v>
      </c>
      <c r="Q30" t="n">
        <v>385.6</v>
      </c>
      <c r="R30" t="n">
        <v>415.6</v>
      </c>
      <c r="S30" t="n">
        <v>288.4</v>
      </c>
      <c r="T30" t="n">
        <v>438</v>
      </c>
      <c r="U30" t="n">
        <v>280.5</v>
      </c>
      <c r="V30" t="n">
        <v>177.3</v>
      </c>
      <c r="W30" t="n">
        <v>517.6</v>
      </c>
      <c r="X30" t="n">
        <v>435.3</v>
      </c>
      <c r="Y30" t="n">
        <v>442.3</v>
      </c>
      <c r="Z30" t="n">
        <v>430.5</v>
      </c>
      <c r="AA30" t="n">
        <v>416.5</v>
      </c>
      <c r="AB30" t="n">
        <v>432.5</v>
      </c>
      <c r="AC30" t="n">
        <v>466.1</v>
      </c>
      <c r="AD30" t="n">
        <v>626.2</v>
      </c>
      <c r="AE30" t="n">
        <v>497.2</v>
      </c>
      <c r="AF30" t="n">
        <v>480.2</v>
      </c>
    </row>
    <row r="31">
      <c r="A31" t="s">
        <v>8</v>
      </c>
      <c r="B31" t="s">
        <v>219</v>
      </c>
      <c r="C31" t="s">
        <v>131</v>
      </c>
      <c r="D31" t="s">
        <v>220</v>
      </c>
      <c r="E31" t="s">
        <v>132</v>
      </c>
      <c r="F31" t="n">
        <v>262.8</v>
      </c>
      <c r="G31" t="n">
        <v>272.6</v>
      </c>
      <c r="H31" t="n">
        <v>319</v>
      </c>
      <c r="I31" t="n">
        <v>425.1</v>
      </c>
      <c r="J31" t="n">
        <v>538.2</v>
      </c>
      <c r="K31" t="n">
        <v>597</v>
      </c>
      <c r="L31" t="n">
        <v>452.4</v>
      </c>
      <c r="M31" t="n">
        <v>648.2</v>
      </c>
      <c r="N31" t="n">
        <v>855.8</v>
      </c>
      <c r="O31" t="n">
        <v>1113.2</v>
      </c>
      <c r="P31" t="n">
        <v>1274</v>
      </c>
      <c r="Q31" t="n">
        <v>2038.9</v>
      </c>
      <c r="R31" t="n">
        <v>2356.5</v>
      </c>
      <c r="S31" t="n">
        <v>2936.6</v>
      </c>
      <c r="T31" t="n">
        <v>2846.4</v>
      </c>
      <c r="U31" t="n">
        <v>3127.8</v>
      </c>
      <c r="V31" t="n">
        <v>2719.9</v>
      </c>
      <c r="W31" t="n">
        <v>5287.7</v>
      </c>
      <c r="X31" t="n">
        <v>5280.4</v>
      </c>
      <c r="Y31" t="n">
        <v>5275.1</v>
      </c>
      <c r="Z31"/>
      <c r="AA31"/>
      <c r="AB31"/>
      <c r="AC31"/>
      <c r="AD31"/>
      <c r="AE31"/>
      <c r="AF31"/>
    </row>
    <row r="32">
      <c r="A32" t="s">
        <v>8</v>
      </c>
      <c r="B32" t="s">
        <v>221</v>
      </c>
      <c r="C32" t="s">
        <v>131</v>
      </c>
      <c r="D32" t="s">
        <v>222</v>
      </c>
      <c r="E32" t="s">
        <v>132</v>
      </c>
      <c r="F32" t="n">
        <v>320.5</v>
      </c>
      <c r="G32" t="n">
        <v>364</v>
      </c>
      <c r="H32" t="n">
        <v>423.4</v>
      </c>
      <c r="I32" t="n">
        <v>525.3</v>
      </c>
      <c r="J32" t="n">
        <v>608.8</v>
      </c>
      <c r="K32" t="n">
        <v>827.5</v>
      </c>
      <c r="L32" t="n">
        <v>1018.8</v>
      </c>
      <c r="M32" t="n">
        <v>901</v>
      </c>
      <c r="N32" t="n">
        <v>1226.9</v>
      </c>
      <c r="O32" t="n">
        <v>1025.2</v>
      </c>
      <c r="P32" t="n">
        <v>1475.1</v>
      </c>
      <c r="Q32" t="n">
        <v>1769.2</v>
      </c>
      <c r="R32" t="n">
        <v>1309.9</v>
      </c>
      <c r="S32" t="n">
        <v>2790.7</v>
      </c>
      <c r="T32" t="n">
        <v>2183.9</v>
      </c>
      <c r="U32" t="n">
        <v>1717.8</v>
      </c>
      <c r="V32" t="n">
        <v>803.5</v>
      </c>
      <c r="W32" t="n">
        <v>856.9</v>
      </c>
      <c r="X32" t="n">
        <v>876.8</v>
      </c>
      <c r="Y32" t="n">
        <v>932.6</v>
      </c>
      <c r="Z32"/>
      <c r="AA32"/>
      <c r="AB32"/>
      <c r="AC32"/>
      <c r="AD32"/>
      <c r="AE32"/>
      <c r="AF32"/>
    </row>
    <row r="33">
      <c r="A33" t="s">
        <v>8</v>
      </c>
      <c r="B33" t="s">
        <v>223</v>
      </c>
      <c r="C33" t="s">
        <v>131</v>
      </c>
      <c r="D33" t="s">
        <v>224</v>
      </c>
      <c r="E33" t="s">
        <v>132</v>
      </c>
      <c r="F33" t="n">
        <v>140.3</v>
      </c>
      <c r="G33" t="n">
        <v>157.9</v>
      </c>
      <c r="H33" t="n">
        <v>178.5</v>
      </c>
      <c r="I33" t="n">
        <v>178.4</v>
      </c>
      <c r="J33" t="n">
        <v>184.7</v>
      </c>
      <c r="K33" t="n">
        <v>200.7</v>
      </c>
      <c r="L33" t="n">
        <v>229.8</v>
      </c>
      <c r="M33" t="n">
        <v>237</v>
      </c>
      <c r="N33" t="n">
        <v>164.5</v>
      </c>
      <c r="O33" t="n">
        <v>241.1</v>
      </c>
      <c r="P33" t="n">
        <v>470.2</v>
      </c>
      <c r="Q33" t="n">
        <v>678.3</v>
      </c>
      <c r="R33" t="n">
        <v>632.9</v>
      </c>
      <c r="S33" t="n">
        <v>823</v>
      </c>
      <c r="T33" t="n">
        <v>535.6</v>
      </c>
      <c r="U33" t="n">
        <v>735.2</v>
      </c>
      <c r="V33" t="n">
        <v>391.4</v>
      </c>
      <c r="W33" t="n">
        <v>427.1</v>
      </c>
      <c r="X33" t="n">
        <v>385.2</v>
      </c>
      <c r="Y33" t="n">
        <v>408.3</v>
      </c>
      <c r="Z33" t="n">
        <v>467.1</v>
      </c>
      <c r="AA33" t="n">
        <v>391.8</v>
      </c>
      <c r="AB33" t="n">
        <v>409.8</v>
      </c>
      <c r="AC33" t="n">
        <v>668.4</v>
      </c>
      <c r="AD33" t="n">
        <v>1329.6</v>
      </c>
      <c r="AE33" t="n">
        <v>808.9</v>
      </c>
      <c r="AF33" t="n">
        <v>605.3</v>
      </c>
    </row>
    <row r="34">
      <c r="A34" t="s">
        <v>8</v>
      </c>
      <c r="B34" t="s">
        <v>225</v>
      </c>
      <c r="C34" t="s">
        <v>131</v>
      </c>
      <c r="D34" t="s">
        <v>226</v>
      </c>
      <c r="E34" t="s">
        <v>132</v>
      </c>
      <c r="F34" t="n">
        <v>1478.9</v>
      </c>
      <c r="G34" t="n">
        <v>1653.4</v>
      </c>
      <c r="H34" t="n">
        <v>2079.9</v>
      </c>
      <c r="I34" t="n">
        <v>2982.2</v>
      </c>
      <c r="J34" t="n">
        <v>3238.1</v>
      </c>
      <c r="K34" t="n">
        <v>4042.9</v>
      </c>
      <c r="L34" t="n">
        <v>4244.3</v>
      </c>
      <c r="M34" t="n">
        <v>4269.5</v>
      </c>
      <c r="N34" t="n">
        <v>4506.8</v>
      </c>
      <c r="O34" t="n">
        <v>5017.5</v>
      </c>
      <c r="P34" t="n">
        <v>4509.6</v>
      </c>
      <c r="Q34" t="n">
        <v>4586.3</v>
      </c>
      <c r="R34" t="n">
        <v>5184.3</v>
      </c>
      <c r="S34" t="n">
        <v>6290.4</v>
      </c>
      <c r="T34" t="n">
        <v>5165.8</v>
      </c>
      <c r="U34" t="n">
        <v>4040.2</v>
      </c>
      <c r="V34" t="n">
        <v>2295.7</v>
      </c>
      <c r="W34" t="n">
        <v>2883.9</v>
      </c>
      <c r="X34" t="n">
        <v>2584.8</v>
      </c>
      <c r="Y34" t="n">
        <v>2625.4</v>
      </c>
      <c r="Z34" t="n">
        <v>2390</v>
      </c>
      <c r="AA34" t="n">
        <v>2947.9</v>
      </c>
      <c r="AB34" t="n">
        <v>2694.2</v>
      </c>
      <c r="AC34" t="n">
        <v>3072</v>
      </c>
      <c r="AD34" t="n">
        <v>3015.4</v>
      </c>
      <c r="AE34" t="n">
        <v>1849.8</v>
      </c>
      <c r="AF34" t="n">
        <v>2974.3</v>
      </c>
    </row>
    <row r="35">
      <c r="A35" t="s">
        <v>8</v>
      </c>
      <c r="B35" t="s">
        <v>227</v>
      </c>
      <c r="C35" t="s">
        <v>131</v>
      </c>
      <c r="D35" t="s">
        <v>228</v>
      </c>
      <c r="E35" t="s">
        <v>132</v>
      </c>
      <c r="F35" t="n">
        <v>8424.3</v>
      </c>
      <c r="G35" t="n">
        <v>9355</v>
      </c>
      <c r="H35" t="n">
        <v>11828.8</v>
      </c>
      <c r="I35" t="n">
        <v>13384.3</v>
      </c>
      <c r="J35" t="n">
        <v>16060.6</v>
      </c>
      <c r="K35" t="n">
        <v>16849.1</v>
      </c>
      <c r="L35" t="n">
        <v>17704.2</v>
      </c>
      <c r="M35" t="n">
        <v>17797.4</v>
      </c>
      <c r="N35" t="n">
        <v>19107</v>
      </c>
      <c r="O35" t="n">
        <v>17167.1</v>
      </c>
      <c r="P35" t="n">
        <v>21628.1</v>
      </c>
      <c r="Q35" t="n">
        <v>25641.8</v>
      </c>
      <c r="R35" t="n">
        <v>25726.4</v>
      </c>
      <c r="S35" t="n">
        <v>30442.2</v>
      </c>
      <c r="T35" t="n">
        <v>30205.5</v>
      </c>
      <c r="U35" t="n">
        <v>33981.6</v>
      </c>
      <c r="V35" t="n">
        <v>29701.3</v>
      </c>
      <c r="W35" t="n">
        <v>46125.9</v>
      </c>
      <c r="X35" t="n">
        <v>54304.2</v>
      </c>
      <c r="Y35" t="n">
        <v>57728.6</v>
      </c>
      <c r="Z35" t="n">
        <v>64023.2</v>
      </c>
      <c r="AA35" t="n">
        <v>56832.4</v>
      </c>
      <c r="AB35" t="n">
        <v>63702.5</v>
      </c>
      <c r="AC35" t="n">
        <v>79934</v>
      </c>
      <c r="AD35" t="n">
        <v>82937.4</v>
      </c>
      <c r="AE35" t="n">
        <v>96822</v>
      </c>
      <c r="AF35" t="n">
        <v>141769.9</v>
      </c>
    </row>
    <row r="36">
      <c r="A36" t="s">
        <v>8</v>
      </c>
      <c r="B36" t="s">
        <v>229</v>
      </c>
      <c r="C36" t="s">
        <v>131</v>
      </c>
      <c r="D36" t="s">
        <v>230</v>
      </c>
      <c r="E36" t="s">
        <v>132</v>
      </c>
      <c r="F36" t="n">
        <v>2623.6</v>
      </c>
      <c r="G36" t="n">
        <v>2778.8</v>
      </c>
      <c r="H36" t="n">
        <v>3660.2</v>
      </c>
      <c r="I36" t="n">
        <v>4638.8</v>
      </c>
      <c r="J36" t="n">
        <v>5616.1</v>
      </c>
      <c r="K36" t="n">
        <v>5839.6</v>
      </c>
      <c r="L36" t="n">
        <v>6535.1</v>
      </c>
      <c r="M36" t="n">
        <v>6706.5</v>
      </c>
      <c r="N36" t="n">
        <v>6920.3</v>
      </c>
      <c r="O36" t="n">
        <v>6640</v>
      </c>
      <c r="P36" t="n">
        <v>7352.5</v>
      </c>
      <c r="Q36" t="n">
        <v>8812.3</v>
      </c>
      <c r="R36" t="n">
        <v>9966.2</v>
      </c>
      <c r="S36" t="n">
        <v>10989.9</v>
      </c>
      <c r="T36" t="n">
        <v>7421.2</v>
      </c>
      <c r="U36" t="n">
        <v>11031.6</v>
      </c>
      <c r="V36" t="n">
        <v>6995.5</v>
      </c>
      <c r="W36" t="n">
        <v>10353</v>
      </c>
      <c r="X36" t="n">
        <v>10851.1</v>
      </c>
      <c r="Y36" t="n">
        <v>16524.7</v>
      </c>
      <c r="Z36"/>
      <c r="AA36"/>
      <c r="AB36"/>
      <c r="AC36"/>
      <c r="AD36"/>
      <c r="AE36"/>
      <c r="AF36"/>
    </row>
    <row r="37">
      <c r="A37" t="s">
        <v>8</v>
      </c>
      <c r="B37" t="s">
        <v>231</v>
      </c>
      <c r="C37" t="s">
        <v>131</v>
      </c>
      <c r="D37" t="s">
        <v>232</v>
      </c>
      <c r="E37" t="s">
        <v>132</v>
      </c>
      <c r="F37" t="n">
        <v>4503.7</v>
      </c>
      <c r="G37" t="n">
        <v>5139.1</v>
      </c>
      <c r="H37" t="n">
        <v>6122.7</v>
      </c>
      <c r="I37" t="n">
        <v>6020.8</v>
      </c>
      <c r="J37" t="n">
        <v>6822.3</v>
      </c>
      <c r="K37" t="n">
        <v>6869.1</v>
      </c>
      <c r="L37" t="n">
        <v>6130.9</v>
      </c>
      <c r="M37" t="n">
        <v>5609.7</v>
      </c>
      <c r="N37" t="n">
        <v>6450.9</v>
      </c>
      <c r="O37" t="n">
        <v>4626.6</v>
      </c>
      <c r="P37" t="n">
        <v>4282.8</v>
      </c>
      <c r="Q37" t="n">
        <v>4186.6</v>
      </c>
      <c r="R37" t="n">
        <v>5122.2</v>
      </c>
      <c r="S37" t="n">
        <v>3715.6</v>
      </c>
      <c r="T37" t="n">
        <v>2777.2</v>
      </c>
      <c r="U37" t="n">
        <v>3457.6</v>
      </c>
      <c r="V37" t="n">
        <v>828.7</v>
      </c>
      <c r="W37" t="n">
        <v>1470.2</v>
      </c>
      <c r="X37" t="n">
        <v>1402.3</v>
      </c>
      <c r="Y37" t="n">
        <v>1036.1</v>
      </c>
      <c r="Z37" t="n">
        <v>1752.2</v>
      </c>
      <c r="AA37" t="n">
        <v>2435.9</v>
      </c>
      <c r="AB37" t="n">
        <v>2540.7</v>
      </c>
      <c r="AC37" t="n">
        <v>2344.2</v>
      </c>
      <c r="AD37" t="n">
        <v>2731.2</v>
      </c>
      <c r="AE37" t="n">
        <v>2138.7</v>
      </c>
      <c r="AF37" t="n">
        <v>2695.3</v>
      </c>
    </row>
    <row r="38">
      <c r="A38" t="s">
        <v>8</v>
      </c>
      <c r="B38" t="s">
        <v>233</v>
      </c>
      <c r="C38" t="s">
        <v>131</v>
      </c>
      <c r="D38" t="s">
        <v>234</v>
      </c>
      <c r="E38" t="s">
        <v>132</v>
      </c>
      <c r="F38" t="n">
        <v>1297</v>
      </c>
      <c r="G38" t="n">
        <v>1437.1</v>
      </c>
      <c r="H38" t="n">
        <v>2045.9</v>
      </c>
      <c r="I38" t="n">
        <v>2724.7</v>
      </c>
      <c r="J38" t="n">
        <v>3622.2</v>
      </c>
      <c r="K38" t="n">
        <v>4140.4</v>
      </c>
      <c r="L38" t="n">
        <v>5038.2</v>
      </c>
      <c r="M38" t="n">
        <v>5481.2</v>
      </c>
      <c r="N38" t="n">
        <v>5735.8</v>
      </c>
      <c r="O38" t="n">
        <v>5900.5</v>
      </c>
      <c r="P38" t="n">
        <v>9992.8</v>
      </c>
      <c r="Q38" t="n">
        <v>12642.9</v>
      </c>
      <c r="R38" t="n">
        <v>10638</v>
      </c>
      <c r="S38" t="n">
        <v>15736.7</v>
      </c>
      <c r="T38" t="n">
        <v>20007.1</v>
      </c>
      <c r="U38" t="n">
        <v>19492.4</v>
      </c>
      <c r="V38" t="n">
        <v>21877.1</v>
      </c>
      <c r="W38" t="n">
        <v>34302.7</v>
      </c>
      <c r="X38" t="n">
        <v>42050.8</v>
      </c>
      <c r="Y38" t="n">
        <v>40167.8</v>
      </c>
      <c r="Z38"/>
      <c r="AA38"/>
      <c r="AB38"/>
      <c r="AC38"/>
      <c r="AD38"/>
      <c r="AE38"/>
      <c r="AF38"/>
    </row>
    <row r="39">
      <c r="A39" t="s">
        <v>8</v>
      </c>
      <c r="B39" t="s">
        <v>235</v>
      </c>
      <c r="C39" t="s">
        <v>131</v>
      </c>
      <c r="D39" t="s">
        <v>236</v>
      </c>
      <c r="E39" t="s">
        <v>132</v>
      </c>
      <c r="F39" t="n">
        <v>4994.6</v>
      </c>
      <c r="G39" t="n">
        <v>4662.1</v>
      </c>
      <c r="H39" t="n">
        <v>4785.5</v>
      </c>
      <c r="I39" t="n">
        <v>5854.1</v>
      </c>
      <c r="J39" t="n">
        <v>6385.7</v>
      </c>
      <c r="K39" t="n">
        <v>8058.8</v>
      </c>
      <c r="L39" t="n">
        <v>9440</v>
      </c>
      <c r="M39" t="n">
        <v>11762.4</v>
      </c>
      <c r="N39" t="n">
        <v>13209.3</v>
      </c>
      <c r="O39" t="n">
        <v>14893.5</v>
      </c>
      <c r="P39" t="n">
        <v>20954.6</v>
      </c>
      <c r="Q39" t="n">
        <v>24917</v>
      </c>
      <c r="R39" t="n">
        <v>26355.6</v>
      </c>
      <c r="S39" t="n">
        <v>23138.7</v>
      </c>
      <c r="T39" t="n">
        <v>19590.7</v>
      </c>
      <c r="U39" t="n">
        <v>16674.6</v>
      </c>
      <c r="V39" t="n">
        <v>17510.8</v>
      </c>
      <c r="W39" t="n">
        <v>16410</v>
      </c>
      <c r="X39" t="n">
        <v>16176.3</v>
      </c>
      <c r="Y39" t="n">
        <v>16915.2</v>
      </c>
      <c r="Z39" t="n">
        <v>17798.2</v>
      </c>
      <c r="AA39" t="n">
        <v>18282.1</v>
      </c>
      <c r="AB39" t="n">
        <v>21177</v>
      </c>
      <c r="AC39" t="n">
        <v>22673.7</v>
      </c>
      <c r="AD39" t="n">
        <v>27764.1</v>
      </c>
      <c r="AE39" t="n">
        <v>27278.5</v>
      </c>
      <c r="AF39" t="n">
        <v>27430.6</v>
      </c>
    </row>
    <row r="40">
      <c r="A40" t="s">
        <v>8</v>
      </c>
      <c r="B40" t="s">
        <v>237</v>
      </c>
      <c r="C40" t="s">
        <v>131</v>
      </c>
      <c r="D40" t="s">
        <v>238</v>
      </c>
      <c r="E40" t="s">
        <v>132</v>
      </c>
      <c r="F40" t="n">
        <v>1156.2</v>
      </c>
      <c r="G40" t="n">
        <v>1327.9</v>
      </c>
      <c r="H40" t="n">
        <v>1650.1</v>
      </c>
      <c r="I40" t="n">
        <v>2070.7</v>
      </c>
      <c r="J40" t="n">
        <v>2361.5</v>
      </c>
      <c r="K40" t="n">
        <v>2855.9</v>
      </c>
      <c r="L40" t="n">
        <v>3346</v>
      </c>
      <c r="M40" t="n">
        <v>3852.6</v>
      </c>
      <c r="N40" t="n">
        <v>4833.9</v>
      </c>
      <c r="O40" t="n">
        <v>6528.5</v>
      </c>
      <c r="P40" t="n">
        <v>6033.9</v>
      </c>
      <c r="Q40" t="n">
        <v>6028.2</v>
      </c>
      <c r="R40" t="n">
        <v>8171.7</v>
      </c>
      <c r="S40" t="n">
        <v>4678.1</v>
      </c>
      <c r="T40" t="n">
        <v>7254</v>
      </c>
      <c r="U40" t="n">
        <v>7628.2</v>
      </c>
      <c r="V40" t="n">
        <v>4906.2</v>
      </c>
      <c r="W40" t="n">
        <v>4378.7</v>
      </c>
      <c r="X40" t="n">
        <v>3452.2</v>
      </c>
      <c r="Y40" t="n">
        <v>3652.3</v>
      </c>
      <c r="Z40" t="n">
        <v>4030.4</v>
      </c>
      <c r="AA40" t="n">
        <v>4099.8</v>
      </c>
      <c r="AB40" t="n">
        <v>4515.7</v>
      </c>
      <c r="AC40" t="n">
        <v>5054.4</v>
      </c>
      <c r="AD40" t="n">
        <v>4783.5</v>
      </c>
      <c r="AE40" t="n">
        <v>4643.2</v>
      </c>
      <c r="AF40" t="n">
        <v>4533.7</v>
      </c>
    </row>
    <row r="41">
      <c r="A41" t="s">
        <v>8</v>
      </c>
      <c r="B41" t="s">
        <v>239</v>
      </c>
      <c r="C41" t="s">
        <v>131</v>
      </c>
      <c r="D41" t="s">
        <v>240</v>
      </c>
      <c r="E41" t="s">
        <v>132</v>
      </c>
      <c r="F41" t="n">
        <v>693.7</v>
      </c>
      <c r="G41" t="n">
        <v>744.9</v>
      </c>
      <c r="H41" t="n">
        <v>749.7</v>
      </c>
      <c r="I41" t="n">
        <v>766</v>
      </c>
      <c r="J41" t="n">
        <v>929.7</v>
      </c>
      <c r="K41" t="n">
        <v>811.2</v>
      </c>
      <c r="L41" t="n">
        <v>896.4</v>
      </c>
      <c r="M41" t="n">
        <v>941.9</v>
      </c>
      <c r="N41" t="n">
        <v>1299.2</v>
      </c>
      <c r="O41" t="n">
        <v>1524.7</v>
      </c>
      <c r="P41" t="n">
        <v>1812.2</v>
      </c>
      <c r="Q41" t="n">
        <v>1743.9</v>
      </c>
      <c r="R41" t="n">
        <v>1767.8</v>
      </c>
      <c r="S41" t="n">
        <v>1724.2</v>
      </c>
      <c r="T41" t="n">
        <v>3104.6</v>
      </c>
      <c r="U41" t="n">
        <v>2005.4</v>
      </c>
      <c r="V41" t="n">
        <v>2050.2</v>
      </c>
      <c r="W41" t="n">
        <v>1708</v>
      </c>
      <c r="X41" t="n">
        <v>1816.6</v>
      </c>
      <c r="Y41" t="n">
        <v>1779.6</v>
      </c>
      <c r="Z41" t="n">
        <v>1840.6</v>
      </c>
      <c r="AA41" t="n">
        <v>2105.4</v>
      </c>
      <c r="AB41" t="n">
        <v>2505.9</v>
      </c>
      <c r="AC41" t="n">
        <v>2485.5</v>
      </c>
      <c r="AD41" t="n">
        <v>2349.7</v>
      </c>
      <c r="AE41" t="n">
        <v>1990.8</v>
      </c>
      <c r="AF41" t="n">
        <v>1753.9</v>
      </c>
    </row>
    <row r="42">
      <c r="A42" t="s">
        <v>8</v>
      </c>
      <c r="B42" t="s">
        <v>241</v>
      </c>
      <c r="C42" t="s">
        <v>131</v>
      </c>
      <c r="D42" t="s">
        <v>242</v>
      </c>
      <c r="E42" t="s">
        <v>132</v>
      </c>
      <c r="F42" t="n">
        <v>1983.3</v>
      </c>
      <c r="G42" t="n">
        <v>2248.9</v>
      </c>
      <c r="H42" t="n">
        <v>2753.7</v>
      </c>
      <c r="I42" t="n">
        <v>3652.7</v>
      </c>
      <c r="J42" t="n">
        <v>4325.2</v>
      </c>
      <c r="K42" t="n">
        <v>5595.9</v>
      </c>
      <c r="L42" t="n">
        <v>6043.9</v>
      </c>
      <c r="M42" t="n">
        <v>6421.7</v>
      </c>
      <c r="N42" t="n">
        <v>8391.1</v>
      </c>
      <c r="O42" t="n">
        <v>8894.1</v>
      </c>
      <c r="P42" t="n">
        <v>8641</v>
      </c>
      <c r="Q42" t="n">
        <v>8215</v>
      </c>
      <c r="R42" t="n">
        <v>11705.7</v>
      </c>
      <c r="S42" t="n">
        <v>13888.6</v>
      </c>
      <c r="T42" t="n">
        <v>11766.7</v>
      </c>
      <c r="U42" t="n">
        <v>10269.3</v>
      </c>
      <c r="V42" t="n">
        <v>3362</v>
      </c>
      <c r="W42" t="n">
        <v>9032.8</v>
      </c>
      <c r="X42" t="n">
        <v>7785.6</v>
      </c>
      <c r="Y42" t="n">
        <v>7619</v>
      </c>
      <c r="Z42" t="n">
        <v>8096.5</v>
      </c>
      <c r="AA42" t="n">
        <v>11927.3</v>
      </c>
      <c r="AB42" t="n">
        <v>9393.9</v>
      </c>
      <c r="AC42" t="n">
        <v>9029.8</v>
      </c>
      <c r="AD42" t="n">
        <v>11704.8</v>
      </c>
      <c r="AE42" t="n">
        <v>10627.8</v>
      </c>
      <c r="AF42" t="n">
        <v>16003.8</v>
      </c>
    </row>
    <row r="43">
      <c r="A43" t="s">
        <v>8</v>
      </c>
      <c r="B43" t="s">
        <v>243</v>
      </c>
      <c r="C43" t="s">
        <v>131</v>
      </c>
      <c r="D43" t="s">
        <v>244</v>
      </c>
      <c r="E43" t="s">
        <v>132</v>
      </c>
      <c r="F43" t="n">
        <v>3788.2</v>
      </c>
      <c r="G43" t="n">
        <v>4292.3</v>
      </c>
      <c r="H43" t="n">
        <v>5193.9</v>
      </c>
      <c r="I43" t="n">
        <v>6709</v>
      </c>
      <c r="J43" t="n">
        <v>7872.5</v>
      </c>
      <c r="K43" t="n">
        <v>9189.9</v>
      </c>
      <c r="L43" t="n">
        <v>10186.1</v>
      </c>
      <c r="M43" t="n">
        <v>10565.5</v>
      </c>
      <c r="N43" t="n">
        <v>12550.6</v>
      </c>
      <c r="O43" t="n">
        <v>13162.9</v>
      </c>
      <c r="P43" t="n">
        <v>13150.6</v>
      </c>
      <c r="Q43" t="n">
        <v>12769.2</v>
      </c>
      <c r="R43" t="n">
        <v>19022.2</v>
      </c>
      <c r="S43" t="n">
        <v>27169.6</v>
      </c>
      <c r="T43" t="n">
        <v>23521.3</v>
      </c>
      <c r="U43" t="n">
        <v>17985.3</v>
      </c>
      <c r="V43" t="n">
        <v>6075.3</v>
      </c>
      <c r="W43" t="n">
        <v>15501.7</v>
      </c>
      <c r="X43" t="n">
        <v>18018.5</v>
      </c>
      <c r="Y43" t="n">
        <v>13949.1</v>
      </c>
      <c r="Z43" t="n">
        <v>14198.6</v>
      </c>
      <c r="AA43" t="n">
        <v>18669.5</v>
      </c>
      <c r="AB43" t="n">
        <v>20552.2</v>
      </c>
      <c r="AC43" t="n">
        <v>20068.5</v>
      </c>
      <c r="AD43" t="n">
        <v>22446</v>
      </c>
      <c r="AE43" t="n">
        <v>19879.5</v>
      </c>
      <c r="AF43" t="n">
        <v>29404.6</v>
      </c>
    </row>
    <row r="44">
      <c r="A44" t="s">
        <v>8</v>
      </c>
      <c r="B44" t="s">
        <v>245</v>
      </c>
      <c r="C44" t="s">
        <v>131</v>
      </c>
      <c r="D44" t="s">
        <v>246</v>
      </c>
      <c r="E44" t="s">
        <v>132</v>
      </c>
      <c r="F44" t="n">
        <v>58885.8</v>
      </c>
      <c r="G44" t="n">
        <v>63151.1</v>
      </c>
      <c r="H44" t="n">
        <v>74367.7</v>
      </c>
      <c r="I44" t="n">
        <v>89058</v>
      </c>
      <c r="J44" t="n">
        <v>100579</v>
      </c>
      <c r="K44" t="n">
        <v>116634.8</v>
      </c>
      <c r="L44" t="n">
        <v>133121.5</v>
      </c>
      <c r="M44" t="n">
        <v>138953.9</v>
      </c>
      <c r="N44" t="n">
        <v>150205.5</v>
      </c>
      <c r="O44" t="n">
        <v>159764.5</v>
      </c>
      <c r="P44" t="n">
        <v>178878.5</v>
      </c>
      <c r="Q44" t="n">
        <v>205898.2</v>
      </c>
      <c r="R44" t="n">
        <v>222561.1</v>
      </c>
      <c r="S44" t="n">
        <v>235402.7</v>
      </c>
      <c r="T44" t="n">
        <v>199179.6</v>
      </c>
      <c r="U44" t="n">
        <v>178457.4</v>
      </c>
      <c r="V44" t="n">
        <v>160630.5</v>
      </c>
      <c r="W44" t="n">
        <v>197845</v>
      </c>
      <c r="X44" t="n">
        <v>206800.5</v>
      </c>
      <c r="Y44" t="n">
        <v>216882.5</v>
      </c>
      <c r="Z44" t="n">
        <v>247459.1</v>
      </c>
      <c r="AA44" t="n">
        <v>259838.4</v>
      </c>
      <c r="AB44" t="n">
        <v>271288.6</v>
      </c>
      <c r="AC44" t="n">
        <v>304345.8</v>
      </c>
      <c r="AD44" t="n">
        <v>321895.9</v>
      </c>
      <c r="AE44" t="n">
        <v>326726.6</v>
      </c>
      <c r="AF44" t="n">
        <v>412027.6</v>
      </c>
    </row>
    <row r="45">
      <c r="A45" t="s">
        <v>8</v>
      </c>
      <c r="B45" t="s">
        <v>247</v>
      </c>
      <c r="C45" t="s">
        <v>131</v>
      </c>
      <c r="D45" t="s">
        <v>248</v>
      </c>
      <c r="E45" t="s">
        <v>132</v>
      </c>
      <c r="F45" t="n">
        <v>54186.7</v>
      </c>
      <c r="G45" t="n">
        <v>58778.2</v>
      </c>
      <c r="H45" t="n">
        <v>70321</v>
      </c>
      <c r="I45" t="n">
        <v>84893.1</v>
      </c>
      <c r="J45" t="n">
        <v>97021.4</v>
      </c>
      <c r="K45" t="n">
        <v>112603.2</v>
      </c>
      <c r="L45" t="n">
        <v>129501.5</v>
      </c>
      <c r="M45" t="n">
        <v>135445.7</v>
      </c>
      <c r="N45" t="n">
        <v>146949.6</v>
      </c>
      <c r="O45" t="n">
        <v>156196.7</v>
      </c>
      <c r="P45" t="n">
        <v>175316.9</v>
      </c>
      <c r="Q45" t="n">
        <v>201052.3</v>
      </c>
      <c r="R45" t="n">
        <v>217528.2</v>
      </c>
      <c r="S45" t="n">
        <v>230099.1</v>
      </c>
      <c r="T45" t="n">
        <v>194546.4</v>
      </c>
      <c r="U45" t="n">
        <v>173844.1</v>
      </c>
      <c r="V45" t="n">
        <v>155023.1</v>
      </c>
      <c r="W45" t="n">
        <v>192179</v>
      </c>
      <c r="X45" t="n">
        <v>200611.1</v>
      </c>
      <c r="Y45" t="n">
        <v>211349.3</v>
      </c>
      <c r="Z45" t="n">
        <v>241972.8</v>
      </c>
      <c r="AA45" t="n">
        <v>254251.9</v>
      </c>
      <c r="AB45" t="n">
        <v>265484.2</v>
      </c>
      <c r="AC45" t="n">
        <v>297813.5</v>
      </c>
      <c r="AD45" t="n">
        <v>315883.1</v>
      </c>
      <c r="AE45" t="n">
        <v>320655.4</v>
      </c>
      <c r="AF45" t="n">
        <v>405381.6</v>
      </c>
    </row>
    <row r="46">
      <c r="A46" t="s">
        <v>8</v>
      </c>
      <c r="B46" t="s">
        <v>249</v>
      </c>
      <c r="C46" t="s">
        <v>131</v>
      </c>
      <c r="D46" t="s">
        <v>250</v>
      </c>
      <c r="E46" t="s">
        <v>132</v>
      </c>
      <c r="F46" t="n">
        <v>1804.9</v>
      </c>
      <c r="G46" t="n">
        <v>2043.4</v>
      </c>
      <c r="H46" t="n">
        <v>2440.2</v>
      </c>
      <c r="I46" t="n">
        <v>3056.3</v>
      </c>
      <c r="J46" t="n">
        <v>3547.3</v>
      </c>
      <c r="K46" t="n">
        <v>3594</v>
      </c>
      <c r="L46" t="n">
        <v>4142.2</v>
      </c>
      <c r="M46" t="n">
        <v>4143.8</v>
      </c>
      <c r="N46" t="n">
        <v>4159.5</v>
      </c>
      <c r="O46" t="n">
        <v>4268.8</v>
      </c>
      <c r="P46" t="n">
        <v>4509.6</v>
      </c>
      <c r="Q46" t="n">
        <v>4554.2</v>
      </c>
      <c r="R46" t="n">
        <v>7316.5</v>
      </c>
      <c r="S46" t="n">
        <v>13281</v>
      </c>
      <c r="T46" t="n">
        <v>11754.6</v>
      </c>
      <c r="U46" t="n">
        <v>7716</v>
      </c>
      <c r="V46" t="n">
        <v>2713.3</v>
      </c>
      <c r="W46" t="n">
        <v>6468.9</v>
      </c>
      <c r="X46" t="n">
        <v>10232.9</v>
      </c>
      <c r="Y46" t="n">
        <v>6330.1</v>
      </c>
      <c r="Z46" t="n">
        <v>6102.1</v>
      </c>
      <c r="AA46" t="n">
        <v>6742.2</v>
      </c>
      <c r="AB46" t="n">
        <v>11158.3</v>
      </c>
      <c r="AC46" t="n">
        <v>11038.7</v>
      </c>
      <c r="AD46" t="n">
        <v>10741.2</v>
      </c>
      <c r="AE46" t="n">
        <v>9251.7</v>
      </c>
      <c r="AF46" t="n">
        <v>13400.8</v>
      </c>
    </row>
    <row r="47">
      <c r="A47" t="s">
        <v>8</v>
      </c>
      <c r="B47" t="s">
        <v>251</v>
      </c>
      <c r="C47" t="s">
        <v>131</v>
      </c>
      <c r="D47" t="s">
        <v>252</v>
      </c>
      <c r="E47" t="s">
        <v>132</v>
      </c>
      <c r="F47" t="n">
        <v>1036.4</v>
      </c>
      <c r="G47" t="n">
        <v>1093.8</v>
      </c>
      <c r="H47" t="n">
        <v>1177.5</v>
      </c>
      <c r="I47" t="n">
        <v>1225.5</v>
      </c>
      <c r="J47" t="n">
        <v>1296</v>
      </c>
      <c r="K47" t="n">
        <v>1450.6</v>
      </c>
      <c r="L47" t="n">
        <v>1630.6</v>
      </c>
      <c r="M47" t="n">
        <v>1825.2</v>
      </c>
      <c r="N47" t="n">
        <v>1821.8</v>
      </c>
      <c r="O47" t="n">
        <v>2257.8</v>
      </c>
      <c r="P47" t="n">
        <v>1644.3</v>
      </c>
      <c r="Q47" t="n">
        <v>1813.7</v>
      </c>
      <c r="R47" t="n">
        <v>1953.5</v>
      </c>
      <c r="S47" t="n">
        <v>1373.9</v>
      </c>
      <c r="T47" t="n">
        <v>1573.1</v>
      </c>
      <c r="U47" t="n">
        <v>3802.8</v>
      </c>
      <c r="V47" t="n">
        <v>3749.3</v>
      </c>
      <c r="W47" t="n">
        <v>4283.7</v>
      </c>
      <c r="X47" t="n">
        <v>3845.4</v>
      </c>
      <c r="Y47" t="n">
        <v>4150</v>
      </c>
      <c r="Z47" t="n">
        <v>4442.5</v>
      </c>
      <c r="AA47" t="n">
        <v>4697.3</v>
      </c>
      <c r="AB47" t="n">
        <v>4729.6</v>
      </c>
      <c r="AC47" t="n">
        <v>5063</v>
      </c>
      <c r="AD47" t="n">
        <v>5597.1</v>
      </c>
      <c r="AE47" t="n">
        <v>5849.3</v>
      </c>
      <c r="AF47" t="n">
        <v>6253</v>
      </c>
    </row>
    <row r="48">
      <c r="A48" t="s">
        <v>8</v>
      </c>
      <c r="B48" t="s">
        <v>253</v>
      </c>
      <c r="C48" t="s">
        <v>131</v>
      </c>
      <c r="D48" t="s">
        <v>254</v>
      </c>
      <c r="E48" t="s">
        <v>132</v>
      </c>
      <c r="F48" t="n">
        <v>4431.4</v>
      </c>
      <c r="G48" t="n">
        <v>4870.8</v>
      </c>
      <c r="H48" t="n">
        <v>5221.4</v>
      </c>
      <c r="I48" t="n">
        <v>5444.5</v>
      </c>
      <c r="J48" t="n">
        <v>5990.3</v>
      </c>
      <c r="K48" t="n">
        <v>7027.3</v>
      </c>
      <c r="L48" t="n">
        <v>8184.1</v>
      </c>
      <c r="M48" t="n">
        <v>9243.4</v>
      </c>
      <c r="N48" t="n">
        <v>9980.6</v>
      </c>
      <c r="O48" t="n">
        <v>10720.3</v>
      </c>
      <c r="P48" t="n">
        <v>10397.6</v>
      </c>
      <c r="Q48" t="n">
        <v>11455.3</v>
      </c>
      <c r="R48" t="n">
        <v>13172.3</v>
      </c>
      <c r="S48" t="n">
        <v>13806.7</v>
      </c>
      <c r="T48" t="n">
        <v>14072.6</v>
      </c>
      <c r="U48" t="n">
        <v>12359.1</v>
      </c>
      <c r="V48" t="n">
        <v>9491.1</v>
      </c>
      <c r="W48" t="n">
        <v>10542.3</v>
      </c>
      <c r="X48" t="n">
        <v>10069.4</v>
      </c>
      <c r="Y48" t="n">
        <v>10939.9</v>
      </c>
      <c r="Z48" t="n">
        <v>11754.7</v>
      </c>
      <c r="AA48" t="n">
        <v>12398</v>
      </c>
      <c r="AB48" t="n">
        <v>12792.9</v>
      </c>
      <c r="AC48" t="n">
        <v>13696.7</v>
      </c>
      <c r="AD48" t="n">
        <v>15236.4</v>
      </c>
      <c r="AE48" t="n">
        <v>17331.4</v>
      </c>
      <c r="AF48" t="n">
        <v>18976.1</v>
      </c>
    </row>
    <row r="49">
      <c r="A49" t="s">
        <v>8</v>
      </c>
      <c r="B49" t="s">
        <v>255</v>
      </c>
      <c r="C49" t="s">
        <v>131</v>
      </c>
      <c r="D49" t="s">
        <v>256</v>
      </c>
      <c r="E49" t="s">
        <v>132</v>
      </c>
      <c r="F49" t="n">
        <v>1014.1</v>
      </c>
      <c r="G49" t="n">
        <v>1072.4</v>
      </c>
      <c r="H49" t="n">
        <v>1127.3</v>
      </c>
      <c r="I49" t="n">
        <v>1187.6</v>
      </c>
      <c r="J49" t="n">
        <v>1247</v>
      </c>
      <c r="K49" t="n">
        <v>1380.9</v>
      </c>
      <c r="L49" t="n">
        <v>1596.6</v>
      </c>
      <c r="M49" t="n">
        <v>1861.1</v>
      </c>
      <c r="N49" t="n">
        <v>2028</v>
      </c>
      <c r="O49" t="n">
        <v>2091.4</v>
      </c>
      <c r="P49" t="n">
        <v>2366.9</v>
      </c>
      <c r="Q49" t="n">
        <v>2595.4</v>
      </c>
      <c r="R49" t="n">
        <v>2925.2</v>
      </c>
      <c r="S49" t="n">
        <v>3074.7</v>
      </c>
      <c r="T49" t="n">
        <v>3292.8</v>
      </c>
      <c r="U49" t="n">
        <v>3179.5</v>
      </c>
      <c r="V49" t="n">
        <v>2251.7</v>
      </c>
      <c r="W49" t="n">
        <v>968.4</v>
      </c>
      <c r="X49" t="n">
        <v>1032.2</v>
      </c>
      <c r="Y49" t="n">
        <v>1096.7</v>
      </c>
      <c r="Z49" t="n">
        <v>1175.2</v>
      </c>
      <c r="AA49" t="n">
        <v>1250.6</v>
      </c>
      <c r="AB49" t="n">
        <v>1282.9</v>
      </c>
      <c r="AC49" t="n">
        <v>1378.1</v>
      </c>
      <c r="AD49" t="n">
        <v>1585.3</v>
      </c>
      <c r="AE49" t="n">
        <v>1624.8</v>
      </c>
      <c r="AF49" t="n">
        <v>1626.5</v>
      </c>
    </row>
    <row r="50">
      <c r="A50" t="s">
        <v>8</v>
      </c>
      <c r="B50" t="s">
        <v>257</v>
      </c>
      <c r="C50" t="s">
        <v>131</v>
      </c>
      <c r="D50" t="s">
        <v>258</v>
      </c>
      <c r="E50" t="s">
        <v>132</v>
      </c>
      <c r="F50" t="n">
        <v>2380.9</v>
      </c>
      <c r="G50" t="n">
        <v>2704.7</v>
      </c>
      <c r="H50" t="n">
        <v>2916.6</v>
      </c>
      <c r="I50" t="n">
        <v>3031.4</v>
      </c>
      <c r="J50" t="n">
        <v>3447.4</v>
      </c>
      <c r="K50" t="n">
        <v>4195.8</v>
      </c>
      <c r="L50" t="n">
        <v>4956.9</v>
      </c>
      <c r="M50" t="n">
        <v>5557.1</v>
      </c>
      <c r="N50" t="n">
        <v>6130.7</v>
      </c>
      <c r="O50" t="n">
        <v>6371.2</v>
      </c>
      <c r="P50" t="n">
        <v>6386.3</v>
      </c>
      <c r="Q50" t="n">
        <v>7046.2</v>
      </c>
      <c r="R50" t="n">
        <v>8293.6</v>
      </c>
      <c r="S50" t="n">
        <v>9358.1</v>
      </c>
      <c r="T50" t="n">
        <v>9206.6</v>
      </c>
      <c r="U50" t="n">
        <v>5376.8</v>
      </c>
      <c r="V50" t="n">
        <v>3490.1</v>
      </c>
      <c r="W50" t="n">
        <v>5290.3</v>
      </c>
      <c r="X50" t="n">
        <v>5191.9</v>
      </c>
      <c r="Y50" t="n">
        <v>5693.1</v>
      </c>
      <c r="Z50" t="n">
        <v>6137</v>
      </c>
      <c r="AA50" t="n">
        <v>6450.1</v>
      </c>
      <c r="AB50" t="n">
        <v>6780.4</v>
      </c>
      <c r="AC50" t="n">
        <v>7255.7</v>
      </c>
      <c r="AD50" t="n">
        <v>8054</v>
      </c>
      <c r="AE50" t="n">
        <v>9857.3</v>
      </c>
      <c r="AF50" t="n">
        <v>11096.6</v>
      </c>
    </row>
    <row r="51">
      <c r="A51" t="s">
        <v>8</v>
      </c>
      <c r="B51" t="s">
        <v>259</v>
      </c>
      <c r="C51" t="s">
        <v>131</v>
      </c>
      <c r="D51" t="s">
        <v>260</v>
      </c>
      <c r="E51" t="s">
        <v>132</v>
      </c>
      <c r="F51" t="n">
        <v>2008.5</v>
      </c>
      <c r="G51" t="n">
        <v>2279</v>
      </c>
      <c r="H51" t="n">
        <v>2459.2</v>
      </c>
      <c r="I51" t="n">
        <v>2528.4</v>
      </c>
      <c r="J51" t="n">
        <v>2819.8</v>
      </c>
      <c r="K51" t="n">
        <v>3616.3</v>
      </c>
      <c r="L51" t="n">
        <v>4367.7</v>
      </c>
      <c r="M51" t="n">
        <v>4786.1</v>
      </c>
      <c r="N51" t="n">
        <v>5301.2</v>
      </c>
      <c r="O51" t="n">
        <v>5355.9</v>
      </c>
      <c r="P51" t="n">
        <v>5078.6</v>
      </c>
      <c r="Q51" t="n">
        <v>5590.3</v>
      </c>
      <c r="R51" t="n">
        <v>6316.1</v>
      </c>
      <c r="S51" t="n">
        <v>7627.9</v>
      </c>
      <c r="T51" t="n">
        <v>7609.7</v>
      </c>
      <c r="U51" t="n">
        <v>4871.8</v>
      </c>
      <c r="V51" t="n">
        <v>3087.9</v>
      </c>
      <c r="W51" t="n">
        <v>3811.8</v>
      </c>
      <c r="X51" t="n">
        <v>3684</v>
      </c>
      <c r="Y51" t="n">
        <v>3987.4</v>
      </c>
      <c r="Z51" t="n">
        <v>4280.6</v>
      </c>
      <c r="AA51" t="n">
        <v>4525.4</v>
      </c>
      <c r="AB51" t="n">
        <v>4772</v>
      </c>
      <c r="AC51" t="n">
        <v>5109.2</v>
      </c>
      <c r="AD51" t="n">
        <v>5760.3</v>
      </c>
      <c r="AE51" t="n">
        <v>7195.1</v>
      </c>
      <c r="AF51" t="n">
        <v>8218.3</v>
      </c>
    </row>
    <row r="52">
      <c r="A52" t="s">
        <v>8</v>
      </c>
      <c r="B52" t="s">
        <v>261</v>
      </c>
      <c r="C52" t="s">
        <v>131</v>
      </c>
      <c r="D52" t="s">
        <v>262</v>
      </c>
      <c r="E52" t="s">
        <v>132</v>
      </c>
      <c r="F52" t="n">
        <v>372.4</v>
      </c>
      <c r="G52" t="n">
        <v>425.7</v>
      </c>
      <c r="H52" t="n">
        <v>457.4</v>
      </c>
      <c r="I52" t="n">
        <v>503</v>
      </c>
      <c r="J52" t="n">
        <v>627.6</v>
      </c>
      <c r="K52" t="n">
        <v>579.5</v>
      </c>
      <c r="L52" t="n">
        <v>589.2</v>
      </c>
      <c r="M52" t="n">
        <v>771</v>
      </c>
      <c r="N52" t="n">
        <v>829.5</v>
      </c>
      <c r="O52" t="n">
        <v>1015.3</v>
      </c>
      <c r="P52" t="n">
        <v>1307.7</v>
      </c>
      <c r="Q52" t="n">
        <v>1455.9</v>
      </c>
      <c r="R52" t="n">
        <v>1977.5</v>
      </c>
      <c r="S52" t="n">
        <v>1730.2</v>
      </c>
      <c r="T52" t="n">
        <v>1596.9</v>
      </c>
      <c r="U52" t="n">
        <v>505</v>
      </c>
      <c r="V52" t="n">
        <v>402.2</v>
      </c>
      <c r="W52" t="n">
        <v>1478.5</v>
      </c>
      <c r="X52" t="n">
        <v>1507.9</v>
      </c>
      <c r="Y52" t="n">
        <v>1705.7</v>
      </c>
      <c r="Z52" t="n">
        <v>1856.4</v>
      </c>
      <c r="AA52" t="n">
        <v>1924.7</v>
      </c>
      <c r="AB52" t="n">
        <v>2008.4</v>
      </c>
      <c r="AC52" t="n">
        <v>2146.5</v>
      </c>
      <c r="AD52" t="n">
        <v>2293.7</v>
      </c>
      <c r="AE52" t="n">
        <v>2662.2</v>
      </c>
      <c r="AF52" t="n">
        <v>2878.3</v>
      </c>
    </row>
    <row r="53">
      <c r="A53" t="s">
        <v>8</v>
      </c>
      <c r="B53" t="s">
        <v>263</v>
      </c>
      <c r="C53" t="s">
        <v>131</v>
      </c>
      <c r="D53" t="s">
        <v>264</v>
      </c>
      <c r="E53" t="s">
        <v>132</v>
      </c>
      <c r="F53" t="n">
        <v>579.2</v>
      </c>
      <c r="G53" t="n">
        <v>606.1</v>
      </c>
      <c r="H53" t="n">
        <v>725.4</v>
      </c>
      <c r="I53" t="n">
        <v>818.1</v>
      </c>
      <c r="J53" t="n">
        <v>951.3</v>
      </c>
      <c r="K53" t="n">
        <v>1099.1</v>
      </c>
      <c r="L53" t="n">
        <v>1228.2</v>
      </c>
      <c r="M53" t="n">
        <v>1330.7</v>
      </c>
      <c r="N53" t="n">
        <v>1850.7</v>
      </c>
      <c r="O53" t="n">
        <v>1416.4</v>
      </c>
      <c r="P53" t="n">
        <v>1560</v>
      </c>
      <c r="Q53" t="n">
        <v>1764.8</v>
      </c>
      <c r="R53" t="n">
        <v>2523</v>
      </c>
      <c r="S53" t="n">
        <v>3269.2</v>
      </c>
      <c r="T53" t="n">
        <v>2943.9</v>
      </c>
      <c r="U53" t="n">
        <v>946.4</v>
      </c>
      <c r="V53" t="n">
        <v>879.6</v>
      </c>
      <c r="W53" t="n">
        <v>1237.8</v>
      </c>
      <c r="X53" t="n">
        <v>1279.6</v>
      </c>
      <c r="Y53" t="n">
        <v>1240.6</v>
      </c>
      <c r="Z53" t="n">
        <v>1259.1</v>
      </c>
      <c r="AA53" t="n">
        <v>1352.9</v>
      </c>
      <c r="AB53" t="n">
        <v>1408.2</v>
      </c>
      <c r="AC53" t="n">
        <v>1516</v>
      </c>
      <c r="AD53" t="n">
        <v>1558.4</v>
      </c>
      <c r="AE53" t="n">
        <v>1411.9</v>
      </c>
      <c r="AF53" t="n">
        <v>1172.3</v>
      </c>
    </row>
    <row r="54">
      <c r="A54" t="s">
        <v>8</v>
      </c>
      <c r="B54" t="s">
        <v>265</v>
      </c>
      <c r="C54" t="s">
        <v>131</v>
      </c>
      <c r="D54" t="s">
        <v>266</v>
      </c>
      <c r="E54" t="s">
        <v>132</v>
      </c>
      <c r="F54" t="n">
        <v>1399.3</v>
      </c>
      <c r="G54" t="n">
        <v>1498.1</v>
      </c>
      <c r="H54" t="n">
        <v>1634.5</v>
      </c>
      <c r="I54" t="n">
        <v>1690.7</v>
      </c>
      <c r="J54" t="n">
        <v>2023.7</v>
      </c>
      <c r="K54" t="n">
        <v>2227.7</v>
      </c>
      <c r="L54" t="n">
        <v>2629.2</v>
      </c>
      <c r="M54" t="n">
        <v>3041.9</v>
      </c>
      <c r="N54" t="n">
        <v>3562.7</v>
      </c>
      <c r="O54" t="n">
        <v>2517.7</v>
      </c>
      <c r="P54" t="n">
        <v>2704.1</v>
      </c>
      <c r="Q54" t="n">
        <v>2950.4</v>
      </c>
      <c r="R54" t="n">
        <v>3929.8</v>
      </c>
      <c r="S54" t="n">
        <v>4546.7</v>
      </c>
      <c r="T54" t="n">
        <v>4165.7</v>
      </c>
      <c r="U54" t="n">
        <v>3260.6</v>
      </c>
      <c r="V54" t="n">
        <v>4579.6</v>
      </c>
      <c r="W54" t="n">
        <v>3785.9</v>
      </c>
      <c r="X54" t="n">
        <v>3745.1</v>
      </c>
      <c r="Y54" t="n">
        <v>3817</v>
      </c>
      <c r="Z54" t="n">
        <v>3556.8</v>
      </c>
      <c r="AA54" t="n">
        <v>3588.6</v>
      </c>
      <c r="AB54" t="n">
        <v>3738.5</v>
      </c>
      <c r="AC54" t="n">
        <v>3992.6</v>
      </c>
      <c r="AD54" t="n">
        <v>4198.1</v>
      </c>
      <c r="AE54" t="n">
        <v>4249.2</v>
      </c>
      <c r="AF54" t="n">
        <v>3904.7</v>
      </c>
    </row>
    <row r="55">
      <c r="A55" t="s">
        <v>8</v>
      </c>
      <c r="B55" t="s">
        <v>267</v>
      </c>
      <c r="C55" t="s">
        <v>131</v>
      </c>
      <c r="D55" t="s">
        <v>268</v>
      </c>
      <c r="E55" t="s">
        <v>132</v>
      </c>
      <c r="F55" t="n">
        <v>820.1</v>
      </c>
      <c r="G55" t="n">
        <v>892</v>
      </c>
      <c r="H55" t="n">
        <v>909.1</v>
      </c>
      <c r="I55" t="n">
        <v>872.6</v>
      </c>
      <c r="J55" t="n">
        <v>1072.4</v>
      </c>
      <c r="K55" t="n">
        <v>1128.6</v>
      </c>
      <c r="L55" t="n">
        <v>1401</v>
      </c>
      <c r="M55" t="n">
        <v>1711.2</v>
      </c>
      <c r="N55" t="n">
        <v>1712</v>
      </c>
      <c r="O55" t="n">
        <v>1101.3</v>
      </c>
      <c r="P55" t="n">
        <v>1144.1</v>
      </c>
      <c r="Q55" t="n">
        <v>1185.6</v>
      </c>
      <c r="R55" t="n">
        <v>1406.8</v>
      </c>
      <c r="S55" t="n">
        <v>1277.5</v>
      </c>
      <c r="T55" t="n">
        <v>1221.8</v>
      </c>
      <c r="U55" t="n">
        <v>2314.2</v>
      </c>
      <c r="V55" t="n">
        <v>3700</v>
      </c>
      <c r="W55" t="n">
        <v>2548.1</v>
      </c>
      <c r="X55" t="n">
        <v>2465.5</v>
      </c>
      <c r="Y55" t="n">
        <v>2576.4</v>
      </c>
      <c r="Z55" t="n">
        <v>2297.7</v>
      </c>
      <c r="AA55" t="n">
        <v>2235.7</v>
      </c>
      <c r="AB55" t="n">
        <v>2330.3</v>
      </c>
      <c r="AC55" t="n">
        <v>2476.6</v>
      </c>
      <c r="AD55" t="n">
        <v>2639.7</v>
      </c>
      <c r="AE55" t="n">
        <v>2837.3</v>
      </c>
      <c r="AF55" t="n">
        <v>2732.4</v>
      </c>
    </row>
    <row r="56">
      <c r="A56" t="s">
        <v>8</v>
      </c>
      <c r="B56" t="s">
        <v>269</v>
      </c>
      <c r="C56" t="s">
        <v>131</v>
      </c>
      <c r="D56" t="s">
        <v>270</v>
      </c>
      <c r="E56" t="s">
        <v>132</v>
      </c>
      <c r="F56" t="n">
        <v>162.5</v>
      </c>
      <c r="G56" t="n">
        <v>167.7</v>
      </c>
      <c r="H56" t="n">
        <v>222.3</v>
      </c>
      <c r="I56" t="n">
        <v>216.4</v>
      </c>
      <c r="J56" t="n">
        <v>229.6</v>
      </c>
      <c r="K56" t="n">
        <v>180.5</v>
      </c>
      <c r="L56" t="n">
        <v>192.9</v>
      </c>
      <c r="M56" t="n">
        <v>195.3</v>
      </c>
      <c r="N56" t="n">
        <v>238.5</v>
      </c>
      <c r="O56" t="n">
        <v>312.2</v>
      </c>
      <c r="P56" t="n">
        <v>300.3</v>
      </c>
      <c r="Q56" t="n">
        <v>427.6</v>
      </c>
      <c r="R56" t="n">
        <v>470.2</v>
      </c>
      <c r="S56" t="n">
        <v>392.6</v>
      </c>
      <c r="T56" t="n">
        <v>211.8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</v>
      </c>
      <c r="B57" t="s">
        <v>271</v>
      </c>
      <c r="C57" t="s">
        <v>131</v>
      </c>
      <c r="D57" t="s">
        <v>272</v>
      </c>
      <c r="E57" t="s">
        <v>132</v>
      </c>
      <c r="F57" t="n">
        <v>64635.9</v>
      </c>
      <c r="G57" t="n">
        <v>69517.6</v>
      </c>
      <c r="H57" t="n">
        <v>81461.5</v>
      </c>
      <c r="I57" t="n">
        <v>96789.6</v>
      </c>
      <c r="J57" t="n">
        <v>109160.5</v>
      </c>
      <c r="K57" t="n">
        <v>126698.5</v>
      </c>
      <c r="L57" t="n">
        <v>144844.5</v>
      </c>
      <c r="M57" t="n">
        <v>152245.2</v>
      </c>
      <c r="N57" t="n">
        <v>165258.4</v>
      </c>
      <c r="O57" t="n">
        <v>177325.6</v>
      </c>
      <c r="P57" t="n">
        <v>195610.2</v>
      </c>
      <c r="Q57" t="n">
        <v>223809.3</v>
      </c>
      <c r="R57" t="n">
        <v>244375.3</v>
      </c>
      <c r="S57" t="n">
        <v>254280.1</v>
      </c>
      <c r="T57" t="n">
        <v>220717.9</v>
      </c>
      <c r="U57" t="n">
        <v>198444.7</v>
      </c>
      <c r="V57" t="n">
        <v>175027.8</v>
      </c>
      <c r="W57" t="n">
        <v>212766.1</v>
      </c>
      <c r="X57" t="n">
        <v>220322.2</v>
      </c>
      <c r="Y57" t="n">
        <v>231474.6</v>
      </c>
      <c r="Z57" t="n">
        <v>263244.2</v>
      </c>
      <c r="AA57" t="n">
        <v>276336.2</v>
      </c>
      <c r="AB57" t="n">
        <v>288597.2</v>
      </c>
      <c r="AC57" t="n">
        <v>323097</v>
      </c>
      <c r="AD57" t="n">
        <v>341915.8</v>
      </c>
      <c r="AE57" t="n">
        <v>348701.2</v>
      </c>
      <c r="AF57" t="n">
        <v>435537.4</v>
      </c>
    </row>
    <row r="58">
      <c r="A58" t="s">
        <v>8</v>
      </c>
      <c r="B58" t="s">
        <v>273</v>
      </c>
      <c r="C58" t="s">
        <v>131</v>
      </c>
      <c r="D58" t="s">
        <v>274</v>
      </c>
      <c r="E58" t="s">
        <v>132</v>
      </c>
      <c r="F58" t="n">
        <v>64473.4</v>
      </c>
      <c r="G58" t="n">
        <v>69349.9</v>
      </c>
      <c r="H58" t="n">
        <v>81239.2</v>
      </c>
      <c r="I58" t="n">
        <v>96573.2</v>
      </c>
      <c r="J58" t="n">
        <v>108930.9</v>
      </c>
      <c r="K58" t="n">
        <v>126518</v>
      </c>
      <c r="L58" t="n">
        <v>144651.6</v>
      </c>
      <c r="M58" t="n">
        <v>152049.9</v>
      </c>
      <c r="N58" t="n">
        <v>165019.9</v>
      </c>
      <c r="O58" t="n">
        <v>177013.4</v>
      </c>
      <c r="P58" t="n">
        <v>195309.9</v>
      </c>
      <c r="Q58" t="n">
        <v>223381.7</v>
      </c>
      <c r="R58" t="n">
        <v>243905.1</v>
      </c>
      <c r="S58" t="n">
        <v>253887.5</v>
      </c>
      <c r="T58" t="n">
        <v>220506.1</v>
      </c>
      <c r="U58" t="n">
        <v>198444.7</v>
      </c>
      <c r="V58" t="n">
        <v>175027.8</v>
      </c>
      <c r="W58" t="n">
        <v>212766.1</v>
      </c>
      <c r="X58" t="n">
        <v>220322.2</v>
      </c>
      <c r="Y58" t="n">
        <v>231474.6</v>
      </c>
      <c r="Z58" t="n">
        <v>263244.2</v>
      </c>
      <c r="AA58" t="n">
        <v>276336.2</v>
      </c>
      <c r="AB58" t="n">
        <v>288597.2</v>
      </c>
      <c r="AC58" t="n">
        <v>323097</v>
      </c>
      <c r="AD58" t="n">
        <v>341915.8</v>
      </c>
      <c r="AE58" t="n">
        <v>348701.2</v>
      </c>
      <c r="AF58" t="n">
        <v>435537.4</v>
      </c>
    </row>
    <row r="59">
      <c r="A59" t="s">
        <v>8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10</v>
      </c>
      <c r="B2" t="s">
        <v>84</v>
      </c>
      <c r="C2" t="s">
        <v>131</v>
      </c>
      <c r="D2" t="s">
        <v>86</v>
      </c>
      <c r="E2" t="s">
        <v>132</v>
      </c>
      <c r="F2"/>
      <c r="G2" t="n">
        <v>3058.5</v>
      </c>
      <c r="H2" t="n">
        <v>2945.4</v>
      </c>
      <c r="I2" t="n">
        <v>2722.7</v>
      </c>
      <c r="J2" t="n">
        <v>2430.5</v>
      </c>
      <c r="K2" t="n">
        <v>2404.3</v>
      </c>
      <c r="L2" t="n">
        <v>2374.5</v>
      </c>
      <c r="M2" t="n">
        <v>2429.2</v>
      </c>
      <c r="N2" t="n">
        <v>2478.5</v>
      </c>
      <c r="O2" t="n">
        <v>2582.7</v>
      </c>
      <c r="P2" t="n">
        <v>1900.2</v>
      </c>
      <c r="Q2" t="n">
        <v>1507.3</v>
      </c>
      <c r="R2" t="n">
        <v>1848.7</v>
      </c>
      <c r="S2" t="n">
        <v>2168.3</v>
      </c>
      <c r="T2" t="n">
        <v>1341.2</v>
      </c>
      <c r="U2" t="n">
        <v>1121.6</v>
      </c>
      <c r="V2" t="n">
        <v>1872.9</v>
      </c>
      <c r="W2" t="n">
        <v>1704.8</v>
      </c>
      <c r="X2" t="n">
        <v>1777.5</v>
      </c>
      <c r="Y2" t="n">
        <v>2479.2</v>
      </c>
      <c r="Z2" t="n">
        <v>2580</v>
      </c>
      <c r="AA2" t="n">
        <v>2599.5</v>
      </c>
      <c r="AB2" t="n">
        <v>2800.9</v>
      </c>
      <c r="AC2" t="n">
        <v>2970.7</v>
      </c>
      <c r="AD2" t="n">
        <v>3573.5</v>
      </c>
      <c r="AE2" t="n">
        <v>3227.1</v>
      </c>
      <c r="AF2" t="n">
        <v>3702.3</v>
      </c>
    </row>
    <row r="3">
      <c r="A3" t="s">
        <v>10</v>
      </c>
      <c r="B3" t="s">
        <v>163</v>
      </c>
      <c r="C3" t="s">
        <v>131</v>
      </c>
      <c r="D3" t="s">
        <v>164</v>
      </c>
      <c r="E3" t="s">
        <v>132</v>
      </c>
      <c r="F3"/>
      <c r="G3" t="n">
        <v>309.5</v>
      </c>
      <c r="H3" t="n">
        <v>269.9</v>
      </c>
      <c r="I3" t="n">
        <v>424.7</v>
      </c>
      <c r="J3" t="n">
        <v>466.2</v>
      </c>
      <c r="K3" t="n">
        <v>475.1</v>
      </c>
      <c r="L3" t="n">
        <v>488.8</v>
      </c>
      <c r="M3" t="n">
        <v>593.1</v>
      </c>
      <c r="N3" t="n">
        <v>678.4</v>
      </c>
      <c r="O3" t="n">
        <v>621</v>
      </c>
      <c r="P3" t="n">
        <v>463.3</v>
      </c>
      <c r="Q3" t="n">
        <v>585</v>
      </c>
      <c r="R3" t="n">
        <v>903.2</v>
      </c>
      <c r="S3" t="n">
        <v>1128.9</v>
      </c>
      <c r="T3" t="n">
        <v>798</v>
      </c>
      <c r="U3" t="n">
        <v>852.8</v>
      </c>
      <c r="V3" t="n">
        <v>585.7</v>
      </c>
      <c r="W3" t="n">
        <v>650.2</v>
      </c>
      <c r="X3" t="n">
        <v>1278.1</v>
      </c>
      <c r="Y3" t="n">
        <v>685.9</v>
      </c>
      <c r="Z3" t="n">
        <v>751</v>
      </c>
      <c r="AA3" t="n">
        <v>355.7</v>
      </c>
      <c r="AB3" t="n">
        <v>515.4</v>
      </c>
      <c r="AC3" t="n">
        <v>446.7</v>
      </c>
      <c r="AD3" t="n">
        <v>742.9</v>
      </c>
      <c r="AE3" t="n">
        <v>749.5</v>
      </c>
      <c r="AF3" t="n">
        <v>438.7</v>
      </c>
    </row>
    <row r="4">
      <c r="A4" t="s">
        <v>10</v>
      </c>
      <c r="B4" t="s">
        <v>165</v>
      </c>
      <c r="C4" t="s">
        <v>131</v>
      </c>
      <c r="D4" t="s">
        <v>166</v>
      </c>
      <c r="E4" t="s">
        <v>132</v>
      </c>
      <c r="F4"/>
      <c r="G4" t="n">
        <v>12030.7</v>
      </c>
      <c r="H4" t="n">
        <v>14524.6</v>
      </c>
      <c r="I4" t="n">
        <v>17312.2</v>
      </c>
      <c r="J4" t="n">
        <v>21136.8</v>
      </c>
      <c r="K4" t="n">
        <v>24976.8</v>
      </c>
      <c r="L4" t="n">
        <v>26396.1</v>
      </c>
      <c r="M4" t="n">
        <v>34423.4</v>
      </c>
      <c r="N4" t="n">
        <v>36079.3</v>
      </c>
      <c r="O4" t="n">
        <v>33793.6</v>
      </c>
      <c r="P4" t="n">
        <v>34902.2</v>
      </c>
      <c r="Q4" t="n">
        <v>34075.1</v>
      </c>
      <c r="R4" t="n">
        <v>36366.2</v>
      </c>
      <c r="S4" t="n">
        <v>32026.3</v>
      </c>
      <c r="T4" t="n">
        <v>31217</v>
      </c>
      <c r="U4" t="n">
        <v>36098</v>
      </c>
      <c r="V4" t="n">
        <v>33843.2</v>
      </c>
      <c r="W4" t="n">
        <v>34914.3</v>
      </c>
      <c r="X4" t="n">
        <v>32639.3</v>
      </c>
      <c r="Y4" t="n">
        <v>39356.3</v>
      </c>
      <c r="Z4" t="n">
        <v>72063.1</v>
      </c>
      <c r="AA4" t="n">
        <v>93798.9</v>
      </c>
      <c r="AB4" t="n">
        <v>93221.5</v>
      </c>
      <c r="AC4" t="n">
        <v>110118.1</v>
      </c>
      <c r="AD4" t="n">
        <v>111872.5</v>
      </c>
      <c r="AE4" t="n">
        <v>142719.7</v>
      </c>
      <c r="AF4" t="n">
        <v>160499</v>
      </c>
    </row>
    <row r="5">
      <c r="A5" t="s">
        <v>10</v>
      </c>
      <c r="B5" t="s">
        <v>167</v>
      </c>
      <c r="C5" t="s">
        <v>131</v>
      </c>
      <c r="D5" t="s">
        <v>168</v>
      </c>
      <c r="E5" t="s">
        <v>132</v>
      </c>
      <c r="F5"/>
      <c r="G5" t="n">
        <v>1893</v>
      </c>
      <c r="H5" t="n">
        <v>2162.5</v>
      </c>
      <c r="I5" t="n">
        <v>2450.3</v>
      </c>
      <c r="J5" t="n">
        <v>2901.2</v>
      </c>
      <c r="K5" t="n">
        <v>3200.9</v>
      </c>
      <c r="L5" t="n">
        <v>3788.1</v>
      </c>
      <c r="M5" t="n">
        <v>4697.1</v>
      </c>
      <c r="N5" t="n">
        <v>5242.2</v>
      </c>
      <c r="O5" t="n">
        <v>6362.3</v>
      </c>
      <c r="P5" t="n">
        <v>5851.9</v>
      </c>
      <c r="Q5" t="n">
        <v>5822</v>
      </c>
      <c r="R5" t="n">
        <v>6251.7</v>
      </c>
      <c r="S5" t="n">
        <v>6139.1</v>
      </c>
      <c r="T5" t="n">
        <v>5825.9</v>
      </c>
      <c r="U5" t="n">
        <v>6143.7</v>
      </c>
      <c r="V5" t="n">
        <v>7744.5</v>
      </c>
      <c r="W5" t="n">
        <v>6374.2</v>
      </c>
      <c r="X5" t="n">
        <v>7173.8</v>
      </c>
      <c r="Y5" t="n">
        <v>8185.9</v>
      </c>
      <c r="Z5" t="n">
        <v>8859</v>
      </c>
      <c r="AA5" t="n">
        <v>8634.7</v>
      </c>
      <c r="AB5" t="n">
        <v>8639.5</v>
      </c>
      <c r="AC5" t="n">
        <v>8707.9</v>
      </c>
      <c r="AD5" t="n">
        <v>9680.8</v>
      </c>
      <c r="AE5" t="n">
        <v>6990.2</v>
      </c>
      <c r="AF5" t="n">
        <v>9235.6</v>
      </c>
    </row>
    <row r="6">
      <c r="A6" t="s">
        <v>10</v>
      </c>
      <c r="B6" t="s">
        <v>169</v>
      </c>
      <c r="C6" t="s">
        <v>131</v>
      </c>
      <c r="D6" t="s">
        <v>170</v>
      </c>
      <c r="E6" t="s">
        <v>132</v>
      </c>
      <c r="F6"/>
      <c r="G6" t="n">
        <v>411.1</v>
      </c>
      <c r="H6" t="n">
        <v>379.4</v>
      </c>
      <c r="I6" t="n">
        <v>384.9</v>
      </c>
      <c r="J6" t="n">
        <v>345.7</v>
      </c>
      <c r="K6" t="n">
        <v>285</v>
      </c>
      <c r="L6" t="n">
        <v>374.5</v>
      </c>
      <c r="M6" t="n">
        <v>267.5</v>
      </c>
      <c r="N6" t="n">
        <v>299</v>
      </c>
      <c r="O6" t="n">
        <v>306.9</v>
      </c>
      <c r="P6" t="n">
        <v>239</v>
      </c>
      <c r="Q6" t="n">
        <v>204.8</v>
      </c>
      <c r="R6" t="n">
        <v>202.7</v>
      </c>
      <c r="S6" t="n">
        <v>244.5</v>
      </c>
      <c r="T6" t="n">
        <v>179.5</v>
      </c>
      <c r="U6" t="n">
        <v>174.5</v>
      </c>
      <c r="V6" t="n">
        <v>137.1</v>
      </c>
      <c r="W6" t="n">
        <v>120.9</v>
      </c>
      <c r="X6" t="n">
        <v>134.1</v>
      </c>
      <c r="Y6" t="n">
        <v>144.5</v>
      </c>
      <c r="Z6" t="n">
        <v>151.7</v>
      </c>
      <c r="AA6" t="n">
        <v>171</v>
      </c>
      <c r="AB6" t="n">
        <v>165.5</v>
      </c>
      <c r="AC6" t="n">
        <v>169.4</v>
      </c>
      <c r="AD6" t="n">
        <v>166.3</v>
      </c>
      <c r="AE6" t="n">
        <v>150.7</v>
      </c>
      <c r="AF6" t="n">
        <v>178.2</v>
      </c>
    </row>
    <row r="7">
      <c r="A7" t="s">
        <v>10</v>
      </c>
      <c r="B7" t="s">
        <v>171</v>
      </c>
      <c r="C7" t="s">
        <v>131</v>
      </c>
      <c r="D7" t="s">
        <v>172</v>
      </c>
      <c r="E7" t="s">
        <v>132</v>
      </c>
      <c r="F7"/>
      <c r="G7" t="n">
        <v>636.8</v>
      </c>
      <c r="H7" t="n">
        <v>769.5</v>
      </c>
      <c r="I7" t="n">
        <v>825.7</v>
      </c>
      <c r="J7" t="n">
        <v>859.4</v>
      </c>
      <c r="K7" t="n">
        <v>890.4</v>
      </c>
      <c r="L7" t="n">
        <v>995.4</v>
      </c>
      <c r="M7" t="n">
        <v>1297.3</v>
      </c>
      <c r="N7" t="n">
        <v>1245.3</v>
      </c>
      <c r="O7" t="n">
        <v>1438.4</v>
      </c>
      <c r="P7" t="n">
        <v>1521.9</v>
      </c>
      <c r="Q7" t="n">
        <v>1555.5</v>
      </c>
      <c r="R7" t="n">
        <v>1583.9</v>
      </c>
      <c r="S7" t="n">
        <v>1077.7</v>
      </c>
      <c r="T7" t="n">
        <v>725.3</v>
      </c>
      <c r="U7" t="n">
        <v>796</v>
      </c>
      <c r="V7" t="n">
        <v>720.8</v>
      </c>
      <c r="W7" t="n">
        <v>627.7</v>
      </c>
      <c r="X7" t="n">
        <v>612.6</v>
      </c>
      <c r="Y7" t="n">
        <v>722.4</v>
      </c>
      <c r="Z7" t="n">
        <v>738.5</v>
      </c>
      <c r="AA7" t="n">
        <v>773.8</v>
      </c>
      <c r="AB7" t="n">
        <v>788</v>
      </c>
      <c r="AC7" t="n">
        <v>854.4</v>
      </c>
      <c r="AD7" t="n">
        <v>912.5</v>
      </c>
      <c r="AE7" t="n">
        <v>857.4</v>
      </c>
      <c r="AF7" t="n">
        <v>909.4</v>
      </c>
    </row>
    <row r="8">
      <c r="A8" t="s">
        <v>10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</v>
      </c>
      <c r="B10" t="s">
        <v>177</v>
      </c>
      <c r="C10" t="s">
        <v>131</v>
      </c>
      <c r="D10" t="s">
        <v>178</v>
      </c>
      <c r="E10" t="s">
        <v>132</v>
      </c>
      <c r="F10"/>
      <c r="G10" t="n">
        <v>3520.7</v>
      </c>
      <c r="H10" t="n">
        <v>4647.3</v>
      </c>
      <c r="I10" t="n">
        <v>6174.9</v>
      </c>
      <c r="J10" t="n">
        <v>7362.6</v>
      </c>
      <c r="K10" t="n">
        <v>7967.7</v>
      </c>
      <c r="L10" t="n">
        <v>10341.1</v>
      </c>
      <c r="M10" t="n">
        <v>16095.5</v>
      </c>
      <c r="N10" t="n">
        <v>18447.8</v>
      </c>
      <c r="O10" t="n">
        <v>12342.9</v>
      </c>
      <c r="P10" t="n">
        <v>12357.7</v>
      </c>
      <c r="Q10" t="n">
        <v>11895.1</v>
      </c>
      <c r="R10" t="n">
        <v>12928</v>
      </c>
      <c r="S10" t="n">
        <v>10183.9</v>
      </c>
      <c r="T10" t="n">
        <v>15499.2</v>
      </c>
      <c r="U10" t="n">
        <v>19025.2</v>
      </c>
      <c r="V10" t="n">
        <v>14587.5</v>
      </c>
      <c r="W10" t="n">
        <v>14720.9</v>
      </c>
      <c r="X10" t="n">
        <v>12381</v>
      </c>
      <c r="Y10" t="n">
        <v>14789.7</v>
      </c>
      <c r="Z10"/>
      <c r="AA10"/>
      <c r="AB10"/>
      <c r="AC10"/>
      <c r="AD10"/>
      <c r="AE10"/>
      <c r="AF10"/>
    </row>
    <row r="11">
      <c r="A11" t="s">
        <v>10</v>
      </c>
      <c r="B11" t="s">
        <v>179</v>
      </c>
      <c r="C11" t="s">
        <v>131</v>
      </c>
      <c r="D11" t="s">
        <v>180</v>
      </c>
      <c r="E11" t="s">
        <v>132</v>
      </c>
      <c r="F11"/>
      <c r="G11" t="n">
        <v>3520.7</v>
      </c>
      <c r="H11" t="n">
        <v>4647.3</v>
      </c>
      <c r="I11" t="n">
        <v>6174.9</v>
      </c>
      <c r="J11" t="n">
        <v>7362.6</v>
      </c>
      <c r="K11" t="n">
        <v>7967.7</v>
      </c>
      <c r="L11" t="n">
        <v>10341.1</v>
      </c>
      <c r="M11" t="n">
        <v>16095.5</v>
      </c>
      <c r="N11" t="n">
        <v>18447.8</v>
      </c>
      <c r="O11" t="n">
        <v>12342.9</v>
      </c>
      <c r="P11" t="n">
        <v>12357.7</v>
      </c>
      <c r="Q11" t="n">
        <v>11895.1</v>
      </c>
      <c r="R11" t="n">
        <v>12928</v>
      </c>
      <c r="S11" t="n">
        <v>10183.9</v>
      </c>
      <c r="T11" t="n">
        <v>15499.2</v>
      </c>
      <c r="U11" t="n">
        <v>19025.2</v>
      </c>
      <c r="V11" t="n">
        <v>14587.5</v>
      </c>
      <c r="W11" t="n">
        <v>14720.9</v>
      </c>
      <c r="X11" t="n">
        <v>12381</v>
      </c>
      <c r="Y11" t="n">
        <v>14789.7</v>
      </c>
      <c r="Z11"/>
      <c r="AA11"/>
      <c r="AB11"/>
      <c r="AC11"/>
      <c r="AD11"/>
      <c r="AE11"/>
      <c r="AF11"/>
    </row>
    <row r="12">
      <c r="A12" t="s">
        <v>10</v>
      </c>
      <c r="B12" t="s">
        <v>181</v>
      </c>
      <c r="C12" t="s">
        <v>131</v>
      </c>
      <c r="D12" t="s">
        <v>182</v>
      </c>
      <c r="E12" t="s">
        <v>132</v>
      </c>
      <c r="F12"/>
      <c r="G12" t="n">
        <v>815.4</v>
      </c>
      <c r="H12" t="n">
        <v>877</v>
      </c>
      <c r="I12" t="n">
        <v>943.9</v>
      </c>
      <c r="J12" t="n">
        <v>1107.9</v>
      </c>
      <c r="K12" t="n">
        <v>1266.3</v>
      </c>
      <c r="L12" t="n">
        <v>1333.1</v>
      </c>
      <c r="M12" t="n">
        <v>1336.8</v>
      </c>
      <c r="N12" t="n">
        <v>1474</v>
      </c>
      <c r="O12" t="n">
        <v>1484.7</v>
      </c>
      <c r="P12" t="n">
        <v>1563.4</v>
      </c>
      <c r="Q12" t="n">
        <v>1703.7</v>
      </c>
      <c r="R12" t="n">
        <v>1869.4</v>
      </c>
      <c r="S12" t="n">
        <v>1601.7</v>
      </c>
      <c r="T12" t="n">
        <v>965.8</v>
      </c>
      <c r="U12" t="n">
        <v>896.2</v>
      </c>
      <c r="V12" t="n">
        <v>736.3</v>
      </c>
      <c r="W12" t="n">
        <v>740.6</v>
      </c>
      <c r="X12" t="n">
        <v>793.2</v>
      </c>
      <c r="Y12" t="n">
        <v>924.5</v>
      </c>
      <c r="Z12" t="n">
        <v>1270.8</v>
      </c>
      <c r="AA12" t="n">
        <v>1232.6</v>
      </c>
      <c r="AB12" t="n">
        <v>1500.4</v>
      </c>
      <c r="AC12" t="n">
        <v>1617.2</v>
      </c>
      <c r="AD12" t="n">
        <v>1582.5</v>
      </c>
      <c r="AE12" t="n">
        <v>1751.4</v>
      </c>
      <c r="AF12" t="n">
        <v>1827.5</v>
      </c>
    </row>
    <row r="13">
      <c r="A13" t="s">
        <v>10</v>
      </c>
      <c r="B13" t="s">
        <v>183</v>
      </c>
      <c r="C13" t="s">
        <v>131</v>
      </c>
      <c r="D13" t="s">
        <v>184</v>
      </c>
      <c r="E13" t="s">
        <v>132</v>
      </c>
      <c r="F13"/>
      <c r="G13" t="n">
        <v>490</v>
      </c>
      <c r="H13" t="n">
        <v>535.4</v>
      </c>
      <c r="I13" t="n">
        <v>595.8</v>
      </c>
      <c r="J13" t="n">
        <v>682.2</v>
      </c>
      <c r="K13" t="n">
        <v>803.5</v>
      </c>
      <c r="L13" t="n">
        <v>749</v>
      </c>
      <c r="M13" t="n">
        <v>839.7</v>
      </c>
      <c r="N13" t="n">
        <v>843</v>
      </c>
      <c r="O13" t="n">
        <v>925.9</v>
      </c>
      <c r="P13" t="n">
        <v>996.1</v>
      </c>
      <c r="Q13" t="n">
        <v>1113.5</v>
      </c>
      <c r="R13" t="n">
        <v>1452.4</v>
      </c>
      <c r="S13" t="n">
        <v>1293.1</v>
      </c>
      <c r="T13" t="n">
        <v>792.8</v>
      </c>
      <c r="U13" t="n">
        <v>877</v>
      </c>
      <c r="V13" t="n">
        <v>824.6</v>
      </c>
      <c r="W13" t="n">
        <v>636.5</v>
      </c>
      <c r="X13" t="n">
        <v>825.5</v>
      </c>
      <c r="Y13" t="n">
        <v>951.1</v>
      </c>
      <c r="Z13" t="n">
        <v>1086.2</v>
      </c>
      <c r="AA13" t="n">
        <v>1193.9</v>
      </c>
      <c r="AB13" t="n">
        <v>1175.8</v>
      </c>
      <c r="AC13" t="n">
        <v>1303.4</v>
      </c>
      <c r="AD13" t="n">
        <v>1629</v>
      </c>
      <c r="AE13" t="n">
        <v>1372.9</v>
      </c>
      <c r="AF13" t="n">
        <v>1186.7</v>
      </c>
    </row>
    <row r="14">
      <c r="A14" t="s">
        <v>10</v>
      </c>
      <c r="B14" t="s">
        <v>185</v>
      </c>
      <c r="C14" t="s">
        <v>131</v>
      </c>
      <c r="D14" t="s">
        <v>186</v>
      </c>
      <c r="E14" t="s">
        <v>132</v>
      </c>
      <c r="F14"/>
      <c r="G14" t="n">
        <v>1511.2</v>
      </c>
      <c r="H14" t="n">
        <v>1916.8</v>
      </c>
      <c r="I14" t="n">
        <v>2130.1</v>
      </c>
      <c r="J14" t="n">
        <v>3226.6</v>
      </c>
      <c r="K14" t="n">
        <v>4406.9</v>
      </c>
      <c r="L14" t="n">
        <v>3124.8</v>
      </c>
      <c r="M14" t="n">
        <v>4976</v>
      </c>
      <c r="N14" t="n">
        <v>3530.3</v>
      </c>
      <c r="O14" t="n">
        <v>5241.1</v>
      </c>
      <c r="P14" t="n">
        <v>5067.1</v>
      </c>
      <c r="Q14" t="n">
        <v>5364.5</v>
      </c>
      <c r="R14" t="n">
        <v>5196.3</v>
      </c>
      <c r="S14" t="n">
        <v>3712.3</v>
      </c>
      <c r="T14" t="n">
        <v>2046.8</v>
      </c>
      <c r="U14" t="n">
        <v>2472.8</v>
      </c>
      <c r="V14" t="n">
        <v>2515.7</v>
      </c>
      <c r="W14" t="n">
        <v>3077.8</v>
      </c>
      <c r="X14" t="n">
        <v>2388.1</v>
      </c>
      <c r="Y14" t="n">
        <v>2715.3</v>
      </c>
      <c r="Z14"/>
      <c r="AA14"/>
      <c r="AB14"/>
      <c r="AC14"/>
      <c r="AD14"/>
      <c r="AE14"/>
      <c r="AF14"/>
    </row>
    <row r="15">
      <c r="A15" t="s">
        <v>10</v>
      </c>
      <c r="B15" t="s">
        <v>187</v>
      </c>
      <c r="C15" t="s">
        <v>131</v>
      </c>
      <c r="D15" t="s">
        <v>188</v>
      </c>
      <c r="E15" t="s">
        <v>132</v>
      </c>
      <c r="F15"/>
      <c r="G15" t="n">
        <v>1793.1</v>
      </c>
      <c r="H15" t="n">
        <v>2315.8</v>
      </c>
      <c r="I15" t="n">
        <v>2611.3</v>
      </c>
      <c r="J15" t="n">
        <v>3706.4</v>
      </c>
      <c r="K15" t="n">
        <v>5092.7</v>
      </c>
      <c r="L15" t="n">
        <v>3804</v>
      </c>
      <c r="M15" t="n">
        <v>5614.3</v>
      </c>
      <c r="N15" t="n">
        <v>4052.4</v>
      </c>
      <c r="O15" t="n">
        <v>5632.4</v>
      </c>
      <c r="P15" t="n">
        <v>5233.2</v>
      </c>
      <c r="Q15" t="n">
        <v>5657.1</v>
      </c>
      <c r="R15" t="n">
        <v>5488.9</v>
      </c>
      <c r="S15" t="n">
        <v>4016.1</v>
      </c>
      <c r="T15" t="n">
        <v>2269.6</v>
      </c>
      <c r="U15" t="n">
        <v>2734.3</v>
      </c>
      <c r="V15" t="n">
        <v>2662.6</v>
      </c>
      <c r="W15" t="n">
        <v>3318.2</v>
      </c>
      <c r="X15" t="n">
        <v>2660.3</v>
      </c>
      <c r="Y15" t="n">
        <v>2995</v>
      </c>
      <c r="Z15" t="n">
        <v>342.2</v>
      </c>
      <c r="AA15" t="n">
        <v>413.8</v>
      </c>
      <c r="AB15" t="n">
        <v>423</v>
      </c>
      <c r="AC15" t="n">
        <v>401.8</v>
      </c>
      <c r="AD15" t="n">
        <v>476.6</v>
      </c>
      <c r="AE15" t="n">
        <v>465.1</v>
      </c>
      <c r="AF15" t="n">
        <v>440</v>
      </c>
    </row>
    <row r="16">
      <c r="A16" t="s">
        <v>10</v>
      </c>
      <c r="B16" t="s">
        <v>189</v>
      </c>
      <c r="C16" t="s">
        <v>131</v>
      </c>
      <c r="D16" t="s">
        <v>190</v>
      </c>
      <c r="E16" t="s">
        <v>132</v>
      </c>
      <c r="F16"/>
      <c r="G16" t="n">
        <v>281.9</v>
      </c>
      <c r="H16" t="n">
        <v>399</v>
      </c>
      <c r="I16" t="n">
        <v>481.2</v>
      </c>
      <c r="J16" t="n">
        <v>479.8</v>
      </c>
      <c r="K16" t="n">
        <v>685.8</v>
      </c>
      <c r="L16" t="n">
        <v>679.2</v>
      </c>
      <c r="M16" t="n">
        <v>638.3</v>
      </c>
      <c r="N16" t="n">
        <v>522.1</v>
      </c>
      <c r="O16" t="n">
        <v>391.3</v>
      </c>
      <c r="P16" t="n">
        <v>166.1</v>
      </c>
      <c r="Q16" t="n">
        <v>292.6</v>
      </c>
      <c r="R16" t="n">
        <v>292.6</v>
      </c>
      <c r="S16" t="n">
        <v>303.8</v>
      </c>
      <c r="T16" t="n">
        <v>222.8</v>
      </c>
      <c r="U16" t="n">
        <v>261.5</v>
      </c>
      <c r="V16" t="n">
        <v>146.9</v>
      </c>
      <c r="W16" t="n">
        <v>240.4</v>
      </c>
      <c r="X16" t="n">
        <v>272.2</v>
      </c>
      <c r="Y16" t="n">
        <v>279.7</v>
      </c>
      <c r="Z16" t="n">
        <v>342.2</v>
      </c>
      <c r="AA16" t="n">
        <v>413.8</v>
      </c>
      <c r="AB16" t="n">
        <v>423</v>
      </c>
      <c r="AC16" t="n">
        <v>401.8</v>
      </c>
      <c r="AD16" t="n">
        <v>476.6</v>
      </c>
      <c r="AE16" t="n">
        <v>465.1</v>
      </c>
      <c r="AF16" t="n">
        <v>440</v>
      </c>
    </row>
    <row r="17">
      <c r="A17" t="s">
        <v>10</v>
      </c>
      <c r="B17" t="s">
        <v>191</v>
      </c>
      <c r="C17" t="s">
        <v>131</v>
      </c>
      <c r="D17" t="s">
        <v>192</v>
      </c>
      <c r="E17" t="s">
        <v>132</v>
      </c>
      <c r="F17"/>
      <c r="G17" t="n">
        <v>361.4</v>
      </c>
      <c r="H17" t="n">
        <v>387</v>
      </c>
      <c r="I17" t="n">
        <v>455.1</v>
      </c>
      <c r="J17" t="n">
        <v>380.9</v>
      </c>
      <c r="K17" t="n">
        <v>573.6</v>
      </c>
      <c r="L17" t="n">
        <v>511.9</v>
      </c>
      <c r="M17" t="n">
        <v>599.2</v>
      </c>
      <c r="N17" t="n">
        <v>1056.8</v>
      </c>
      <c r="O17" t="n">
        <v>862.1</v>
      </c>
      <c r="P17" t="n">
        <v>1162.2</v>
      </c>
      <c r="Q17" t="n">
        <v>1447.6</v>
      </c>
      <c r="R17" t="n">
        <v>1333.5</v>
      </c>
      <c r="S17" t="n">
        <v>1394.3</v>
      </c>
      <c r="T17" t="n">
        <v>1074.2</v>
      </c>
      <c r="U17" t="n">
        <v>1121.8</v>
      </c>
      <c r="V17" t="n">
        <v>741.9</v>
      </c>
      <c r="W17" t="n">
        <v>869.2</v>
      </c>
      <c r="X17" t="n">
        <v>916.5</v>
      </c>
      <c r="Y17" t="n">
        <v>1089.4</v>
      </c>
      <c r="Z17" t="n">
        <v>1329</v>
      </c>
      <c r="AA17" t="n">
        <v>1131</v>
      </c>
      <c r="AB17" t="n">
        <v>1237.4</v>
      </c>
      <c r="AC17" t="n">
        <v>1270.8</v>
      </c>
      <c r="AD17" t="n">
        <v>1251.4</v>
      </c>
      <c r="AE17" t="n">
        <v>1759.2</v>
      </c>
      <c r="AF17" t="n">
        <v>1501</v>
      </c>
    </row>
    <row r="18">
      <c r="A18" t="s">
        <v>10</v>
      </c>
      <c r="B18" t="s">
        <v>193</v>
      </c>
      <c r="C18" t="s">
        <v>131</v>
      </c>
      <c r="D18" t="s">
        <v>194</v>
      </c>
      <c r="E18" t="s">
        <v>132</v>
      </c>
      <c r="F18"/>
      <c r="G18" t="n">
        <v>314.2</v>
      </c>
      <c r="H18" t="n">
        <v>357</v>
      </c>
      <c r="I18" t="n">
        <v>360.7</v>
      </c>
      <c r="J18" t="n">
        <v>472</v>
      </c>
      <c r="K18" t="n">
        <v>360.3</v>
      </c>
      <c r="L18" t="n">
        <v>365.4</v>
      </c>
      <c r="M18" t="n">
        <v>315.9</v>
      </c>
      <c r="N18" t="n">
        <v>341.1</v>
      </c>
      <c r="O18" t="n">
        <v>598.9</v>
      </c>
      <c r="P18" t="n">
        <v>411.6</v>
      </c>
      <c r="Q18" t="n">
        <v>471.1</v>
      </c>
      <c r="R18" t="n">
        <v>456.8</v>
      </c>
      <c r="S18" t="n">
        <v>479.4</v>
      </c>
      <c r="T18" t="n">
        <v>279.8</v>
      </c>
      <c r="U18" t="n">
        <v>268</v>
      </c>
      <c r="V18" t="n">
        <v>219.4</v>
      </c>
      <c r="W18" t="n">
        <v>208.7</v>
      </c>
      <c r="X18" t="n">
        <v>211.5</v>
      </c>
      <c r="Y18" t="n">
        <v>219.6</v>
      </c>
      <c r="Z18" t="n">
        <v>270.9</v>
      </c>
      <c r="AA18" t="n">
        <v>395.3</v>
      </c>
      <c r="AB18" t="n">
        <v>356.9</v>
      </c>
      <c r="AC18" t="n">
        <v>349.7</v>
      </c>
      <c r="AD18" t="n">
        <v>428.5</v>
      </c>
      <c r="AE18" t="n">
        <v>336.9</v>
      </c>
      <c r="AF18" t="n">
        <v>335</v>
      </c>
    </row>
    <row r="19">
      <c r="A19" t="s">
        <v>10</v>
      </c>
      <c r="B19" t="s">
        <v>195</v>
      </c>
      <c r="C19" t="s">
        <v>131</v>
      </c>
      <c r="D19" t="s">
        <v>196</v>
      </c>
      <c r="E19" t="s">
        <v>132</v>
      </c>
      <c r="F19"/>
      <c r="G19" t="n">
        <v>989.4</v>
      </c>
      <c r="H19" t="n">
        <v>1169.2</v>
      </c>
      <c r="I19" t="n">
        <v>1340.1</v>
      </c>
      <c r="J19" t="n">
        <v>2030.5</v>
      </c>
      <c r="K19" t="n">
        <v>2958.2</v>
      </c>
      <c r="L19" t="n">
        <v>2188.8</v>
      </c>
      <c r="M19" t="n">
        <v>2411.8</v>
      </c>
      <c r="N19" t="n">
        <v>2273.6</v>
      </c>
      <c r="O19" t="n">
        <v>3170.7</v>
      </c>
      <c r="P19" t="n">
        <v>4881.1</v>
      </c>
      <c r="Q19" t="n">
        <v>3518.3</v>
      </c>
      <c r="R19" t="n">
        <v>3810.1</v>
      </c>
      <c r="S19" t="n">
        <v>3749</v>
      </c>
      <c r="T19" t="n">
        <v>2487.2</v>
      </c>
      <c r="U19" t="n">
        <v>1975.8</v>
      </c>
      <c r="V19" t="n">
        <v>3428.1</v>
      </c>
      <c r="W19" t="n">
        <v>4564.4</v>
      </c>
      <c r="X19" t="n">
        <v>3828.6</v>
      </c>
      <c r="Y19" t="n">
        <v>6207.8</v>
      </c>
      <c r="Z19" t="n">
        <v>6199</v>
      </c>
      <c r="AA19" t="n">
        <v>9467.6</v>
      </c>
      <c r="AB19" t="n">
        <v>3829.8</v>
      </c>
      <c r="AC19" t="n">
        <v>6899.6</v>
      </c>
      <c r="AD19" t="n">
        <v>6581.5</v>
      </c>
      <c r="AE19" t="n">
        <v>7459</v>
      </c>
      <c r="AF19" t="n">
        <v>12594.1</v>
      </c>
    </row>
    <row r="20">
      <c r="A20" t="s">
        <v>10</v>
      </c>
      <c r="B20" t="s">
        <v>197</v>
      </c>
      <c r="C20" t="s">
        <v>131</v>
      </c>
      <c r="D20" t="s">
        <v>198</v>
      </c>
      <c r="E20" t="s">
        <v>132</v>
      </c>
      <c r="F20"/>
      <c r="G20" t="n">
        <v>959.9</v>
      </c>
      <c r="H20" t="n">
        <v>847.4</v>
      </c>
      <c r="I20" t="n">
        <v>919.5</v>
      </c>
      <c r="J20" t="n">
        <v>1076.2</v>
      </c>
      <c r="K20" t="n">
        <v>829.4</v>
      </c>
      <c r="L20" t="n">
        <v>1181.8</v>
      </c>
      <c r="M20" t="n">
        <v>1428.4</v>
      </c>
      <c r="N20" t="n">
        <v>1424.1</v>
      </c>
      <c r="O20" t="n">
        <v>1665.6</v>
      </c>
      <c r="P20" t="n">
        <v>1796.2</v>
      </c>
      <c r="Q20" t="n">
        <v>1654.9</v>
      </c>
      <c r="R20" t="n">
        <v>1903.7</v>
      </c>
      <c r="S20" t="n">
        <v>2332.5</v>
      </c>
      <c r="T20" t="n">
        <v>2293.8</v>
      </c>
      <c r="U20" t="n">
        <v>2673.8</v>
      </c>
      <c r="V20" t="n">
        <v>2442.5</v>
      </c>
      <c r="W20" t="n">
        <v>2802.6</v>
      </c>
      <c r="X20" t="n">
        <v>2932.8</v>
      </c>
      <c r="Y20" t="n">
        <v>3749</v>
      </c>
      <c r="Z20" t="n">
        <v>3060.1</v>
      </c>
      <c r="AA20" t="n">
        <v>3010.7</v>
      </c>
      <c r="AB20" t="n">
        <v>3197.5</v>
      </c>
      <c r="AC20" t="n">
        <v>2943.6</v>
      </c>
      <c r="AD20" t="n">
        <v>3063.7</v>
      </c>
      <c r="AE20" t="n">
        <v>3947.7</v>
      </c>
      <c r="AF20" t="n">
        <v>1490.6</v>
      </c>
    </row>
    <row r="21">
      <c r="A21" t="s">
        <v>10</v>
      </c>
      <c r="B21" t="s">
        <v>199</v>
      </c>
      <c r="C21" t="s">
        <v>131</v>
      </c>
      <c r="D21" t="s">
        <v>200</v>
      </c>
      <c r="E21" t="s">
        <v>132</v>
      </c>
      <c r="F21"/>
      <c r="G21" t="n">
        <v>1374.7</v>
      </c>
      <c r="H21" t="n">
        <v>1207.3</v>
      </c>
      <c r="I21" t="n">
        <v>1320.5</v>
      </c>
      <c r="J21" t="n">
        <v>1568.5</v>
      </c>
      <c r="K21" t="n">
        <v>1371.8</v>
      </c>
      <c r="L21" t="n">
        <v>1827.1</v>
      </c>
      <c r="M21" t="n">
        <v>2198.6</v>
      </c>
      <c r="N21" t="n">
        <v>2262</v>
      </c>
      <c r="O21" t="n">
        <v>2497.5</v>
      </c>
      <c r="P21" t="n">
        <v>2748.3</v>
      </c>
      <c r="Q21" t="n">
        <v>2666.4</v>
      </c>
      <c r="R21" t="n">
        <v>3088.8</v>
      </c>
      <c r="S21" t="n">
        <v>3602.1</v>
      </c>
      <c r="T21" t="n">
        <v>3444.6</v>
      </c>
      <c r="U21" t="n">
        <v>3855.7</v>
      </c>
      <c r="V21" t="n">
        <v>3328.7</v>
      </c>
      <c r="W21" t="n">
        <v>3534.7</v>
      </c>
      <c r="X21" t="n">
        <v>3766.7</v>
      </c>
      <c r="Y21" t="n">
        <v>4714.2</v>
      </c>
      <c r="Z21" t="n">
        <v>4028.3</v>
      </c>
      <c r="AA21" t="n">
        <v>4063.1</v>
      </c>
      <c r="AB21" t="n">
        <v>4299</v>
      </c>
      <c r="AC21" t="n">
        <v>4291</v>
      </c>
      <c r="AD21" t="n">
        <v>4611.7</v>
      </c>
      <c r="AE21" t="n">
        <v>5253.7</v>
      </c>
      <c r="AF21" t="n">
        <v>2890.9</v>
      </c>
    </row>
    <row r="22">
      <c r="A22" t="s">
        <v>10</v>
      </c>
      <c r="B22" t="s">
        <v>201</v>
      </c>
      <c r="C22" t="s">
        <v>131</v>
      </c>
      <c r="D22" t="s">
        <v>202</v>
      </c>
      <c r="E22" t="s">
        <v>132</v>
      </c>
      <c r="F22"/>
      <c r="G22" t="n">
        <v>414.8</v>
      </c>
      <c r="H22" t="n">
        <v>359.9</v>
      </c>
      <c r="I22" t="n">
        <v>401</v>
      </c>
      <c r="J22" t="n">
        <v>492.3</v>
      </c>
      <c r="K22" t="n">
        <v>542.4</v>
      </c>
      <c r="L22" t="n">
        <v>645.3</v>
      </c>
      <c r="M22" t="n">
        <v>770.2</v>
      </c>
      <c r="N22" t="n">
        <v>837.9</v>
      </c>
      <c r="O22" t="n">
        <v>831.9</v>
      </c>
      <c r="P22" t="n">
        <v>952.1</v>
      </c>
      <c r="Q22" t="n">
        <v>1011.5</v>
      </c>
      <c r="R22" t="n">
        <v>1185.1</v>
      </c>
      <c r="S22" t="n">
        <v>1269.6</v>
      </c>
      <c r="T22" t="n">
        <v>1150.8</v>
      </c>
      <c r="U22" t="n">
        <v>1181.9</v>
      </c>
      <c r="V22" t="n">
        <v>886.2</v>
      </c>
      <c r="W22" t="n">
        <v>732.1</v>
      </c>
      <c r="X22" t="n">
        <v>833.9</v>
      </c>
      <c r="Y22" t="n">
        <v>965.2</v>
      </c>
      <c r="Z22" t="n">
        <v>968.2</v>
      </c>
      <c r="AA22" t="n">
        <v>1052.4</v>
      </c>
      <c r="AB22" t="n">
        <v>1101.5</v>
      </c>
      <c r="AC22" t="n">
        <v>1347.4</v>
      </c>
      <c r="AD22" t="n">
        <v>1548</v>
      </c>
      <c r="AE22" t="n">
        <v>1306</v>
      </c>
      <c r="AF22" t="n">
        <v>1400.3</v>
      </c>
    </row>
    <row r="23">
      <c r="A23" t="s">
        <v>10</v>
      </c>
      <c r="B23" t="s">
        <v>203</v>
      </c>
      <c r="C23" t="s">
        <v>131</v>
      </c>
      <c r="D23" t="s">
        <v>204</v>
      </c>
      <c r="E23" t="s">
        <v>132</v>
      </c>
      <c r="F23"/>
      <c r="G23" t="n">
        <v>3425.4</v>
      </c>
      <c r="H23" t="n">
        <v>3642.8</v>
      </c>
      <c r="I23" t="n">
        <v>4070.5</v>
      </c>
      <c r="J23" t="n">
        <v>5127.7</v>
      </c>
      <c r="K23" t="n">
        <v>5954.4</v>
      </c>
      <c r="L23" t="n">
        <v>7152.1</v>
      </c>
      <c r="M23" t="n">
        <v>8230.6</v>
      </c>
      <c r="N23" t="n">
        <v>9213.9</v>
      </c>
      <c r="O23" t="n">
        <v>10928.6</v>
      </c>
      <c r="P23" t="n">
        <v>13198.5</v>
      </c>
      <c r="Q23" t="n">
        <v>15304.8</v>
      </c>
      <c r="R23" t="n">
        <v>17531.1</v>
      </c>
      <c r="S23" t="n">
        <v>15138.9</v>
      </c>
      <c r="T23" t="n">
        <v>8040.1</v>
      </c>
      <c r="U23" t="n">
        <v>3081.4</v>
      </c>
      <c r="V23" t="n">
        <v>2488.3</v>
      </c>
      <c r="W23" t="n">
        <v>1641.1</v>
      </c>
      <c r="X23" t="n">
        <v>3578.1</v>
      </c>
      <c r="Y23" t="n">
        <v>3971.6</v>
      </c>
      <c r="Z23" t="n">
        <v>4991.1</v>
      </c>
      <c r="AA23" t="n">
        <v>5636.8</v>
      </c>
      <c r="AB23" t="n">
        <v>6755.7</v>
      </c>
      <c r="AC23" t="n">
        <v>8704.5</v>
      </c>
      <c r="AD23" t="n">
        <v>9055.1</v>
      </c>
      <c r="AE23" t="n">
        <v>8298.9</v>
      </c>
      <c r="AF23" t="n">
        <v>9442.1</v>
      </c>
    </row>
    <row r="24">
      <c r="A24" t="s">
        <v>10</v>
      </c>
      <c r="B24" t="s">
        <v>205</v>
      </c>
      <c r="C24" t="s">
        <v>131</v>
      </c>
      <c r="D24" t="s">
        <v>206</v>
      </c>
      <c r="E24" t="s">
        <v>132</v>
      </c>
      <c r="F24"/>
      <c r="G24" t="n">
        <v>5647.3</v>
      </c>
      <c r="H24" t="n">
        <v>6936.2</v>
      </c>
      <c r="I24" t="n">
        <v>7949.4</v>
      </c>
      <c r="J24" t="n">
        <v>8575</v>
      </c>
      <c r="K24" t="n">
        <v>9360.5</v>
      </c>
      <c r="L24" t="n">
        <v>10053.7</v>
      </c>
      <c r="M24" t="n">
        <v>9994.6</v>
      </c>
      <c r="N24" t="n">
        <v>11060.7</v>
      </c>
      <c r="O24" t="n">
        <v>12844.2</v>
      </c>
      <c r="P24" t="n">
        <v>13892.1</v>
      </c>
      <c r="Q24" t="n">
        <v>15946.1</v>
      </c>
      <c r="R24" t="n">
        <v>18590.9</v>
      </c>
      <c r="S24" t="n">
        <v>17255.3</v>
      </c>
      <c r="T24" t="n">
        <v>15197.5</v>
      </c>
      <c r="U24" t="n">
        <v>14956.8</v>
      </c>
      <c r="V24" t="n">
        <v>15615.4</v>
      </c>
      <c r="W24" t="n">
        <v>17382</v>
      </c>
      <c r="X24" t="n">
        <v>18481.6</v>
      </c>
      <c r="Y24" t="n">
        <v>21453.9</v>
      </c>
      <c r="Z24" t="n">
        <v>21597.6</v>
      </c>
      <c r="AA24" t="n">
        <v>21786.8</v>
      </c>
      <c r="AB24" t="n">
        <v>22984.5</v>
      </c>
      <c r="AC24" t="n">
        <v>24114.4</v>
      </c>
      <c r="AD24" t="n">
        <v>25110.4</v>
      </c>
      <c r="AE24" t="n">
        <v>23551.1</v>
      </c>
      <c r="AF24" t="n">
        <v>30775.2</v>
      </c>
    </row>
    <row r="25">
      <c r="A25" t="s">
        <v>10</v>
      </c>
      <c r="B25" t="s">
        <v>207</v>
      </c>
      <c r="C25" t="s">
        <v>131</v>
      </c>
      <c r="D25" t="s">
        <v>208</v>
      </c>
      <c r="E25" t="s">
        <v>132</v>
      </c>
      <c r="F25"/>
      <c r="G25" t="n">
        <v>703.7</v>
      </c>
      <c r="H25" t="n">
        <v>778.2</v>
      </c>
      <c r="I25" t="n">
        <v>881.4</v>
      </c>
      <c r="J25" t="n">
        <v>978.6</v>
      </c>
      <c r="K25" t="n">
        <v>1288.1</v>
      </c>
      <c r="L25" t="n">
        <v>916.5</v>
      </c>
      <c r="M25" t="n">
        <v>1150.2</v>
      </c>
      <c r="N25" t="n">
        <v>1147.3</v>
      </c>
      <c r="O25" t="n">
        <v>1263.2</v>
      </c>
      <c r="P25" t="n">
        <v>1533.3</v>
      </c>
      <c r="Q25" t="n">
        <v>1704.3</v>
      </c>
      <c r="R25" t="n">
        <v>1870</v>
      </c>
      <c r="S25" t="n">
        <v>1564.1</v>
      </c>
      <c r="T25" t="n">
        <v>862.4</v>
      </c>
      <c r="U25" t="n">
        <v>1301</v>
      </c>
      <c r="V25" t="n">
        <v>1218.3</v>
      </c>
      <c r="W25" t="n">
        <v>1016.3</v>
      </c>
      <c r="X25" t="n">
        <v>1079.5</v>
      </c>
      <c r="Y25" t="n">
        <v>1448.4</v>
      </c>
      <c r="Z25" t="n">
        <v>1604</v>
      </c>
      <c r="AA25" t="n">
        <v>1633</v>
      </c>
      <c r="AB25" t="n">
        <v>1648.7</v>
      </c>
      <c r="AC25" t="n">
        <v>1752.5</v>
      </c>
      <c r="AD25" t="n">
        <v>1668.9</v>
      </c>
      <c r="AE25" t="n">
        <v>1488.6</v>
      </c>
      <c r="AF25" t="n">
        <v>2155.3</v>
      </c>
    </row>
    <row r="26">
      <c r="A26" t="s">
        <v>10</v>
      </c>
      <c r="B26" t="s">
        <v>209</v>
      </c>
      <c r="C26" t="s">
        <v>131</v>
      </c>
      <c r="D26" t="s">
        <v>210</v>
      </c>
      <c r="E26" t="s">
        <v>132</v>
      </c>
      <c r="F26"/>
      <c r="G26" t="n">
        <v>2047.9</v>
      </c>
      <c r="H26" t="n">
        <v>2807.7</v>
      </c>
      <c r="I26" t="n">
        <v>3280.7</v>
      </c>
      <c r="J26" t="n">
        <v>3911.1</v>
      </c>
      <c r="K26" t="n">
        <v>4250.2</v>
      </c>
      <c r="L26" t="n">
        <v>4365</v>
      </c>
      <c r="M26" t="n">
        <v>4109.4</v>
      </c>
      <c r="N26" t="n">
        <v>4960</v>
      </c>
      <c r="O26" t="n">
        <v>5923.1</v>
      </c>
      <c r="P26" t="n">
        <v>5805.5</v>
      </c>
      <c r="Q26" t="n">
        <v>7165.6</v>
      </c>
      <c r="R26" t="n">
        <v>7898.3</v>
      </c>
      <c r="S26" t="n">
        <v>6875.4</v>
      </c>
      <c r="T26" t="n">
        <v>6216.3</v>
      </c>
      <c r="U26" t="n">
        <v>5468.9</v>
      </c>
      <c r="V26" t="n">
        <v>7067.4</v>
      </c>
      <c r="W26" t="n">
        <v>8695.3</v>
      </c>
      <c r="X26" t="n">
        <v>9295.3</v>
      </c>
      <c r="Y26" t="n">
        <v>11222.7</v>
      </c>
      <c r="Z26" t="n">
        <v>10924.5</v>
      </c>
      <c r="AA26" t="n">
        <v>11284</v>
      </c>
      <c r="AB26" t="n">
        <v>11773.3</v>
      </c>
      <c r="AC26" t="n">
        <v>12580.8</v>
      </c>
      <c r="AD26" t="n">
        <v>12864.1</v>
      </c>
      <c r="AE26" t="n">
        <v>12758.6</v>
      </c>
      <c r="AF26" t="n">
        <v>18510.3</v>
      </c>
    </row>
    <row r="27">
      <c r="A27" t="s">
        <v>10</v>
      </c>
      <c r="B27" t="s">
        <v>211</v>
      </c>
      <c r="C27" t="s">
        <v>131</v>
      </c>
      <c r="D27" t="s">
        <v>212</v>
      </c>
      <c r="E27" t="s">
        <v>132</v>
      </c>
      <c r="F27"/>
      <c r="G27" t="n">
        <v>2895.7</v>
      </c>
      <c r="H27" t="n">
        <v>3350.3</v>
      </c>
      <c r="I27" t="n">
        <v>3787.3</v>
      </c>
      <c r="J27" t="n">
        <v>3685.3</v>
      </c>
      <c r="K27" t="n">
        <v>3822.2</v>
      </c>
      <c r="L27" t="n">
        <v>4772.2</v>
      </c>
      <c r="M27" t="n">
        <v>4735</v>
      </c>
      <c r="N27" t="n">
        <v>4953.4</v>
      </c>
      <c r="O27" t="n">
        <v>5657.9</v>
      </c>
      <c r="P27" t="n">
        <v>6553.3</v>
      </c>
      <c r="Q27" t="n">
        <v>7076.2</v>
      </c>
      <c r="R27" t="n">
        <v>8822.6</v>
      </c>
      <c r="S27" t="n">
        <v>8815.8</v>
      </c>
      <c r="T27" t="n">
        <v>8118.8</v>
      </c>
      <c r="U27" t="n">
        <v>8186.9</v>
      </c>
      <c r="V27" t="n">
        <v>7329.7</v>
      </c>
      <c r="W27" t="n">
        <v>7670.4</v>
      </c>
      <c r="X27" t="n">
        <v>8106.8</v>
      </c>
      <c r="Y27" t="n">
        <v>8782.8</v>
      </c>
      <c r="Z27" t="n">
        <v>9069.1</v>
      </c>
      <c r="AA27" t="n">
        <v>8869.8</v>
      </c>
      <c r="AB27" t="n">
        <v>9562.5</v>
      </c>
      <c r="AC27" t="n">
        <v>9781.1</v>
      </c>
      <c r="AD27" t="n">
        <v>10577.4</v>
      </c>
      <c r="AE27" t="n">
        <v>9303.9</v>
      </c>
      <c r="AF27" t="n">
        <v>10109.6</v>
      </c>
    </row>
    <row r="28">
      <c r="A28" t="s">
        <v>10</v>
      </c>
      <c r="B28" t="s">
        <v>213</v>
      </c>
      <c r="C28" t="s">
        <v>131</v>
      </c>
      <c r="D28" t="s">
        <v>214</v>
      </c>
      <c r="E28" t="s">
        <v>132</v>
      </c>
      <c r="F28"/>
      <c r="G28" t="n">
        <v>1800.9</v>
      </c>
      <c r="H28" t="n">
        <v>2062.7</v>
      </c>
      <c r="I28" t="n">
        <v>2391.2</v>
      </c>
      <c r="J28" t="n">
        <v>2971.9</v>
      </c>
      <c r="K28" t="n">
        <v>3249.1</v>
      </c>
      <c r="L28" t="n">
        <v>3759.1</v>
      </c>
      <c r="M28" t="n">
        <v>4062</v>
      </c>
      <c r="N28" t="n">
        <v>4309.7</v>
      </c>
      <c r="O28" t="n">
        <v>4685.3</v>
      </c>
      <c r="P28" t="n">
        <v>5187.7</v>
      </c>
      <c r="Q28" t="n">
        <v>5604.6</v>
      </c>
      <c r="R28" t="n">
        <v>6142.7</v>
      </c>
      <c r="S28" t="n">
        <v>6343.4</v>
      </c>
      <c r="T28" t="n">
        <v>5218.9</v>
      </c>
      <c r="U28" t="n">
        <v>5892.6</v>
      </c>
      <c r="V28" t="n">
        <v>6022.5</v>
      </c>
      <c r="W28" t="n">
        <v>5743.9</v>
      </c>
      <c r="X28" t="n">
        <v>5645.1</v>
      </c>
      <c r="Y28" t="n">
        <v>6148.9</v>
      </c>
      <c r="Z28" t="n">
        <v>6627.4</v>
      </c>
      <c r="AA28" t="n">
        <v>7030.4</v>
      </c>
      <c r="AB28" t="n">
        <v>6966.8</v>
      </c>
      <c r="AC28" t="n">
        <v>7388.5</v>
      </c>
      <c r="AD28" t="n">
        <v>6665</v>
      </c>
      <c r="AE28" t="n">
        <v>4204.2</v>
      </c>
      <c r="AF28" t="n">
        <v>3833.3</v>
      </c>
    </row>
    <row r="29">
      <c r="A29" t="s">
        <v>10</v>
      </c>
      <c r="B29" t="s">
        <v>215</v>
      </c>
      <c r="C29" t="s">
        <v>131</v>
      </c>
      <c r="D29" t="s">
        <v>216</v>
      </c>
      <c r="E29" t="s">
        <v>132</v>
      </c>
      <c r="F29"/>
      <c r="G29" t="n">
        <v>649.1</v>
      </c>
      <c r="H29" t="n">
        <v>748.7</v>
      </c>
      <c r="I29" t="n">
        <v>862.6</v>
      </c>
      <c r="J29" t="n">
        <v>1180.2</v>
      </c>
      <c r="K29" t="n">
        <v>1225.6</v>
      </c>
      <c r="L29" t="n">
        <v>1535.7</v>
      </c>
      <c r="M29" t="n">
        <v>1773.1</v>
      </c>
      <c r="N29" t="n">
        <v>1778.3</v>
      </c>
      <c r="O29" t="n">
        <v>1893.9</v>
      </c>
      <c r="P29" t="n">
        <v>2350.4</v>
      </c>
      <c r="Q29" t="n">
        <v>2345.8</v>
      </c>
      <c r="R29" t="n">
        <v>2564.9</v>
      </c>
      <c r="S29" t="n">
        <v>2596.1</v>
      </c>
      <c r="T29" t="n">
        <v>2303.9</v>
      </c>
      <c r="U29" t="n">
        <v>2242.8</v>
      </c>
      <c r="V29" t="n">
        <v>2502.7</v>
      </c>
      <c r="W29" t="n">
        <v>2122</v>
      </c>
      <c r="X29" t="n">
        <v>2043.5</v>
      </c>
      <c r="Y29" t="n">
        <v>2174.5</v>
      </c>
      <c r="Z29" t="n">
        <v>2244.3</v>
      </c>
      <c r="AA29" t="n">
        <v>2535.6</v>
      </c>
      <c r="AB29" t="n">
        <v>2442.9</v>
      </c>
      <c r="AC29" t="n">
        <v>2532.6</v>
      </c>
      <c r="AD29" t="n">
        <v>2726.2</v>
      </c>
      <c r="AE29" t="n">
        <v>2297.4</v>
      </c>
      <c r="AF29" t="n">
        <v>2723.6</v>
      </c>
    </row>
    <row r="30">
      <c r="A30" t="s">
        <v>10</v>
      </c>
      <c r="B30" t="s">
        <v>217</v>
      </c>
      <c r="C30" t="s">
        <v>131</v>
      </c>
      <c r="D30" t="s">
        <v>218</v>
      </c>
      <c r="E30" t="s">
        <v>132</v>
      </c>
      <c r="F30"/>
      <c r="G30" t="n">
        <v>61.2</v>
      </c>
      <c r="H30" t="n">
        <v>74.3</v>
      </c>
      <c r="I30" t="n">
        <v>99.2</v>
      </c>
      <c r="J30" t="n">
        <v>126.7</v>
      </c>
      <c r="K30" t="n">
        <v>138.1</v>
      </c>
      <c r="L30" t="n">
        <v>136.9</v>
      </c>
      <c r="M30" t="n">
        <v>165.8</v>
      </c>
      <c r="N30" t="n">
        <v>201.8</v>
      </c>
      <c r="O30" t="n">
        <v>205.4</v>
      </c>
      <c r="P30" t="n">
        <v>246.9</v>
      </c>
      <c r="Q30" t="n">
        <v>157</v>
      </c>
      <c r="R30" t="n">
        <v>156.1</v>
      </c>
      <c r="S30" t="n">
        <v>170.2</v>
      </c>
      <c r="T30" t="n">
        <v>85.3</v>
      </c>
      <c r="U30" t="n">
        <v>175.5</v>
      </c>
      <c r="V30" t="n">
        <v>91.1</v>
      </c>
      <c r="W30" t="n">
        <v>71.5</v>
      </c>
      <c r="X30" t="n">
        <v>75.5</v>
      </c>
      <c r="Y30" t="n">
        <v>81.7</v>
      </c>
      <c r="Z30" t="n">
        <v>87.3</v>
      </c>
      <c r="AA30" t="n">
        <v>77.2</v>
      </c>
      <c r="AB30" t="n">
        <v>73.7</v>
      </c>
      <c r="AC30" t="n">
        <v>64.6</v>
      </c>
      <c r="AD30" t="n">
        <v>69.9</v>
      </c>
      <c r="AE30" t="n">
        <v>46.4</v>
      </c>
      <c r="AF30" t="n">
        <v>77.4</v>
      </c>
    </row>
    <row r="31">
      <c r="A31" t="s">
        <v>10</v>
      </c>
      <c r="B31" t="s">
        <v>219</v>
      </c>
      <c r="C31" t="s">
        <v>131</v>
      </c>
      <c r="D31" t="s">
        <v>220</v>
      </c>
      <c r="E31" t="s">
        <v>132</v>
      </c>
      <c r="F31"/>
      <c r="G31" t="n">
        <v>332.4</v>
      </c>
      <c r="H31" t="n">
        <v>364.8</v>
      </c>
      <c r="I31" t="n">
        <v>444.2</v>
      </c>
      <c r="J31" t="n">
        <v>600.8</v>
      </c>
      <c r="K31" t="n">
        <v>772</v>
      </c>
      <c r="L31" t="n">
        <v>787.5</v>
      </c>
      <c r="M31" t="n">
        <v>558.2</v>
      </c>
      <c r="N31" t="n">
        <v>838.4</v>
      </c>
      <c r="O31" t="n">
        <v>852.6</v>
      </c>
      <c r="P31" t="n">
        <v>970.3</v>
      </c>
      <c r="Q31" t="n">
        <v>999.2</v>
      </c>
      <c r="R31" t="n">
        <v>1192</v>
      </c>
      <c r="S31" t="n">
        <v>1387.7</v>
      </c>
      <c r="T31" t="n">
        <v>740</v>
      </c>
      <c r="U31" t="n">
        <v>1282.1</v>
      </c>
      <c r="V31" t="n">
        <v>1429.2</v>
      </c>
      <c r="W31" t="n">
        <v>1459.2</v>
      </c>
      <c r="X31" t="n">
        <v>1402.5</v>
      </c>
      <c r="Y31" t="n">
        <v>1569.4</v>
      </c>
      <c r="Z31"/>
      <c r="AA31"/>
      <c r="AB31"/>
      <c r="AC31"/>
      <c r="AD31"/>
      <c r="AE31"/>
      <c r="AF31"/>
    </row>
    <row r="32">
      <c r="A32" t="s">
        <v>10</v>
      </c>
      <c r="B32" t="s">
        <v>221</v>
      </c>
      <c r="C32" t="s">
        <v>131</v>
      </c>
      <c r="D32" t="s">
        <v>222</v>
      </c>
      <c r="E32" t="s">
        <v>132</v>
      </c>
      <c r="F32"/>
      <c r="G32" t="n">
        <v>260.1</v>
      </c>
      <c r="H32" t="n">
        <v>289.4</v>
      </c>
      <c r="I32" t="n">
        <v>364</v>
      </c>
      <c r="J32" t="n">
        <v>440.9</v>
      </c>
      <c r="K32" t="n">
        <v>488.2</v>
      </c>
      <c r="L32" t="n">
        <v>608.9</v>
      </c>
      <c r="M32" t="n">
        <v>775.5</v>
      </c>
      <c r="N32" t="n">
        <v>736.9</v>
      </c>
      <c r="O32" t="n">
        <v>980.7</v>
      </c>
      <c r="P32" t="n">
        <v>1014.5</v>
      </c>
      <c r="Q32" t="n">
        <v>1229.3</v>
      </c>
      <c r="R32" t="n">
        <v>1279.4</v>
      </c>
      <c r="S32" t="n">
        <v>1174.2</v>
      </c>
      <c r="T32" t="n">
        <v>1192.8</v>
      </c>
      <c r="U32" t="n">
        <v>1288.6</v>
      </c>
      <c r="V32" t="n">
        <v>1169.4</v>
      </c>
      <c r="W32" t="n">
        <v>1332.4</v>
      </c>
      <c r="X32" t="n">
        <v>1406.3</v>
      </c>
      <c r="Y32" t="n">
        <v>1576.9</v>
      </c>
      <c r="Z32"/>
      <c r="AA32"/>
      <c r="AB32"/>
      <c r="AC32"/>
      <c r="AD32"/>
      <c r="AE32"/>
      <c r="AF32"/>
    </row>
    <row r="33">
      <c r="A33" t="s">
        <v>10</v>
      </c>
      <c r="B33" t="s">
        <v>223</v>
      </c>
      <c r="C33" t="s">
        <v>131</v>
      </c>
      <c r="D33" t="s">
        <v>224</v>
      </c>
      <c r="E33" t="s">
        <v>132</v>
      </c>
      <c r="F33"/>
      <c r="G33" t="n">
        <v>498.1</v>
      </c>
      <c r="H33" t="n">
        <v>585.5</v>
      </c>
      <c r="I33" t="n">
        <v>621.2</v>
      </c>
      <c r="J33" t="n">
        <v>623.3</v>
      </c>
      <c r="K33" t="n">
        <v>625.2</v>
      </c>
      <c r="L33" t="n">
        <v>690.1</v>
      </c>
      <c r="M33" t="n">
        <v>789.4</v>
      </c>
      <c r="N33" t="n">
        <v>754.3</v>
      </c>
      <c r="O33" t="n">
        <v>752.7</v>
      </c>
      <c r="P33" t="n">
        <v>605.6</v>
      </c>
      <c r="Q33" t="n">
        <v>873.3</v>
      </c>
      <c r="R33" t="n">
        <v>950.3</v>
      </c>
      <c r="S33" t="n">
        <v>1015.2</v>
      </c>
      <c r="T33" t="n">
        <v>896.9</v>
      </c>
      <c r="U33" t="n">
        <v>903.6</v>
      </c>
      <c r="V33" t="n">
        <v>830.1</v>
      </c>
      <c r="W33" t="n">
        <v>758.8</v>
      </c>
      <c r="X33" t="n">
        <v>717.3</v>
      </c>
      <c r="Y33" t="n">
        <v>746.4</v>
      </c>
      <c r="Z33" t="n">
        <v>775.6</v>
      </c>
      <c r="AA33" t="n">
        <v>756.3</v>
      </c>
      <c r="AB33" t="n">
        <v>787.3</v>
      </c>
      <c r="AC33" t="n">
        <v>850.9</v>
      </c>
      <c r="AD33" t="n">
        <v>866.6</v>
      </c>
      <c r="AE33" t="n">
        <v>924.4</v>
      </c>
      <c r="AF33" t="n">
        <v>1025.8</v>
      </c>
    </row>
    <row r="34">
      <c r="A34" t="s">
        <v>10</v>
      </c>
      <c r="B34" t="s">
        <v>225</v>
      </c>
      <c r="C34" t="s">
        <v>131</v>
      </c>
      <c r="D34" t="s">
        <v>226</v>
      </c>
      <c r="E34" t="s">
        <v>132</v>
      </c>
      <c r="F34"/>
      <c r="G34" t="n">
        <v>980.7</v>
      </c>
      <c r="H34" t="n">
        <v>1195.1</v>
      </c>
      <c r="I34" t="n">
        <v>1527.2</v>
      </c>
      <c r="J34" t="n">
        <v>2086.3</v>
      </c>
      <c r="K34" t="n">
        <v>2122.5</v>
      </c>
      <c r="L34" t="n">
        <v>2762.5</v>
      </c>
      <c r="M34" t="n">
        <v>2784.9</v>
      </c>
      <c r="N34" t="n">
        <v>3011.3</v>
      </c>
      <c r="O34" t="n">
        <v>3074.9</v>
      </c>
      <c r="P34" t="n">
        <v>3265</v>
      </c>
      <c r="Q34" t="n">
        <v>3633.5</v>
      </c>
      <c r="R34" t="n">
        <v>4079</v>
      </c>
      <c r="S34" t="n">
        <v>4348.6</v>
      </c>
      <c r="T34" t="n">
        <v>3584.5</v>
      </c>
      <c r="U34" t="n">
        <v>3542.6</v>
      </c>
      <c r="V34" t="n">
        <v>3372.6</v>
      </c>
      <c r="W34" t="n">
        <v>3324.9</v>
      </c>
      <c r="X34" t="n">
        <v>3855</v>
      </c>
      <c r="Y34" t="n">
        <v>4031</v>
      </c>
      <c r="Z34" t="n">
        <v>4271.8</v>
      </c>
      <c r="AA34" t="n">
        <v>4748.7</v>
      </c>
      <c r="AB34" t="n">
        <v>5033</v>
      </c>
      <c r="AC34" t="n">
        <v>5758.8</v>
      </c>
      <c r="AD34" t="n">
        <v>5694.5</v>
      </c>
      <c r="AE34" t="n">
        <v>2837.8</v>
      </c>
      <c r="AF34" t="n">
        <v>2283.4</v>
      </c>
    </row>
    <row r="35">
      <c r="A35" t="s">
        <v>10</v>
      </c>
      <c r="B35" t="s">
        <v>227</v>
      </c>
      <c r="C35" t="s">
        <v>131</v>
      </c>
      <c r="D35" t="s">
        <v>228</v>
      </c>
      <c r="E35" t="s">
        <v>132</v>
      </c>
      <c r="F35"/>
      <c r="G35" t="n">
        <v>3451.9</v>
      </c>
      <c r="H35" t="n">
        <v>4240.8</v>
      </c>
      <c r="I35" t="n">
        <v>5389.5</v>
      </c>
      <c r="J35" t="n">
        <v>6482.6</v>
      </c>
      <c r="K35" t="n">
        <v>6978.9</v>
      </c>
      <c r="L35" t="n">
        <v>8083.9</v>
      </c>
      <c r="M35" t="n">
        <v>8708.3</v>
      </c>
      <c r="N35" t="n">
        <v>6971.5</v>
      </c>
      <c r="O35" t="n">
        <v>10058.5</v>
      </c>
      <c r="P35" t="n">
        <v>10618.7</v>
      </c>
      <c r="Q35" t="n">
        <v>11538.8</v>
      </c>
      <c r="R35" t="n">
        <v>12165.3</v>
      </c>
      <c r="S35" t="n">
        <v>12801.1</v>
      </c>
      <c r="T35" t="n">
        <v>13559.2</v>
      </c>
      <c r="U35" t="n">
        <v>13808.8</v>
      </c>
      <c r="V35" t="n">
        <v>14449.5</v>
      </c>
      <c r="W35" t="n">
        <v>14529.1</v>
      </c>
      <c r="X35" t="n">
        <v>17488.2</v>
      </c>
      <c r="Y35" t="n">
        <v>19443.3</v>
      </c>
      <c r="Z35" t="n">
        <v>22622.4</v>
      </c>
      <c r="AA35" t="n">
        <v>25594.5</v>
      </c>
      <c r="AB35" t="n">
        <v>32537.8</v>
      </c>
      <c r="AC35" t="n">
        <v>39836.6</v>
      </c>
      <c r="AD35" t="n">
        <v>48132.7</v>
      </c>
      <c r="AE35" t="n">
        <v>60895.2</v>
      </c>
      <c r="AF35" t="n">
        <v>75154.7</v>
      </c>
    </row>
    <row r="36">
      <c r="A36" t="s">
        <v>10</v>
      </c>
      <c r="B36" t="s">
        <v>229</v>
      </c>
      <c r="C36" t="s">
        <v>131</v>
      </c>
      <c r="D36" t="s">
        <v>230</v>
      </c>
      <c r="E36" t="s">
        <v>132</v>
      </c>
      <c r="F36"/>
      <c r="G36" t="n">
        <v>1286.5</v>
      </c>
      <c r="H36" t="n">
        <v>1565.7</v>
      </c>
      <c r="I36" t="n">
        <v>2094.8</v>
      </c>
      <c r="J36" t="n">
        <v>2307.9</v>
      </c>
      <c r="K36" t="n">
        <v>2320.2</v>
      </c>
      <c r="L36" t="n">
        <v>2815.6</v>
      </c>
      <c r="M36" t="n">
        <v>3768.1</v>
      </c>
      <c r="N36" t="n">
        <v>2017.2</v>
      </c>
      <c r="O36" t="n">
        <v>4556</v>
      </c>
      <c r="P36" t="n">
        <v>4220.6</v>
      </c>
      <c r="Q36" t="n">
        <v>4872.5</v>
      </c>
      <c r="R36" t="n">
        <v>5820</v>
      </c>
      <c r="S36" t="n">
        <v>5776.1</v>
      </c>
      <c r="T36" t="n">
        <v>6369.2</v>
      </c>
      <c r="U36" t="n">
        <v>6920.4</v>
      </c>
      <c r="V36" t="n">
        <v>7893.8</v>
      </c>
      <c r="W36" t="n">
        <v>7307</v>
      </c>
      <c r="X36" t="n">
        <v>9635.9</v>
      </c>
      <c r="Y36" t="n">
        <v>10628.6</v>
      </c>
      <c r="Z36"/>
      <c r="AA36"/>
      <c r="AB36"/>
      <c r="AC36"/>
      <c r="AD36"/>
      <c r="AE36"/>
      <c r="AF36"/>
    </row>
    <row r="37">
      <c r="A37" t="s">
        <v>10</v>
      </c>
      <c r="B37" t="s">
        <v>231</v>
      </c>
      <c r="C37" t="s">
        <v>131</v>
      </c>
      <c r="D37" t="s">
        <v>232</v>
      </c>
      <c r="E37" t="s">
        <v>132</v>
      </c>
      <c r="F37"/>
      <c r="G37" t="n">
        <v>1361.1</v>
      </c>
      <c r="H37" t="n">
        <v>1547.7</v>
      </c>
      <c r="I37" t="n">
        <v>1790.3</v>
      </c>
      <c r="J37" t="n">
        <v>2162.5</v>
      </c>
      <c r="K37" t="n">
        <v>2468</v>
      </c>
      <c r="L37" t="n">
        <v>2434.7</v>
      </c>
      <c r="M37" t="n">
        <v>1870.2</v>
      </c>
      <c r="N37" t="n">
        <v>1718.6</v>
      </c>
      <c r="O37" t="n">
        <v>2305</v>
      </c>
      <c r="P37" t="n">
        <v>2588.4</v>
      </c>
      <c r="Q37" t="n">
        <v>2768.3</v>
      </c>
      <c r="R37" t="n">
        <v>2239.8</v>
      </c>
      <c r="S37" t="n">
        <v>2229</v>
      </c>
      <c r="T37" t="n">
        <v>2689.7</v>
      </c>
      <c r="U37" t="n">
        <v>2518.8</v>
      </c>
      <c r="V37" t="n">
        <v>2305</v>
      </c>
      <c r="W37" t="n">
        <v>2279.4</v>
      </c>
      <c r="X37" t="n">
        <v>2042.7</v>
      </c>
      <c r="Y37" t="n">
        <v>2080.5</v>
      </c>
      <c r="Z37" t="n">
        <v>1917.2</v>
      </c>
      <c r="AA37" t="n">
        <v>1856.5</v>
      </c>
      <c r="AB37" t="n">
        <v>1935.2</v>
      </c>
      <c r="AC37" t="n">
        <v>2862.9</v>
      </c>
      <c r="AD37" t="n">
        <v>3168.1</v>
      </c>
      <c r="AE37" t="n">
        <v>3324.4</v>
      </c>
      <c r="AF37" t="n">
        <v>3498.5</v>
      </c>
    </row>
    <row r="38">
      <c r="A38" t="s">
        <v>10</v>
      </c>
      <c r="B38" t="s">
        <v>233</v>
      </c>
      <c r="C38" t="s">
        <v>131</v>
      </c>
      <c r="D38" t="s">
        <v>234</v>
      </c>
      <c r="E38" t="s">
        <v>132</v>
      </c>
      <c r="F38"/>
      <c r="G38" t="n">
        <v>804.3</v>
      </c>
      <c r="H38" t="n">
        <v>1127.4</v>
      </c>
      <c r="I38" t="n">
        <v>1504.4</v>
      </c>
      <c r="J38" t="n">
        <v>2012.2</v>
      </c>
      <c r="K38" t="n">
        <v>2190.7</v>
      </c>
      <c r="L38" t="n">
        <v>2833.6</v>
      </c>
      <c r="M38" t="n">
        <v>3070</v>
      </c>
      <c r="N38" t="n">
        <v>3235.7</v>
      </c>
      <c r="O38" t="n">
        <v>3197.5</v>
      </c>
      <c r="P38" t="n">
        <v>3809.7</v>
      </c>
      <c r="Q38" t="n">
        <v>3898</v>
      </c>
      <c r="R38" t="n">
        <v>4105.5</v>
      </c>
      <c r="S38" t="n">
        <v>4796</v>
      </c>
      <c r="T38" t="n">
        <v>4500.3</v>
      </c>
      <c r="U38" t="n">
        <v>4369.6</v>
      </c>
      <c r="V38" t="n">
        <v>4250.7</v>
      </c>
      <c r="W38" t="n">
        <v>4942.7</v>
      </c>
      <c r="X38" t="n">
        <v>5809.6</v>
      </c>
      <c r="Y38" t="n">
        <v>6734.2</v>
      </c>
      <c r="Z38"/>
      <c r="AA38"/>
      <c r="AB38"/>
      <c r="AC38"/>
      <c r="AD38"/>
      <c r="AE38"/>
      <c r="AF38"/>
    </row>
    <row r="39">
      <c r="A39" t="s">
        <v>10</v>
      </c>
      <c r="B39" t="s">
        <v>235</v>
      </c>
      <c r="C39" t="s">
        <v>131</v>
      </c>
      <c r="D39" t="s">
        <v>236</v>
      </c>
      <c r="E39" t="s">
        <v>132</v>
      </c>
      <c r="F39"/>
      <c r="G39" t="n">
        <v>4646.4</v>
      </c>
      <c r="H39" t="n">
        <v>4549.2</v>
      </c>
      <c r="I39" t="n">
        <v>4290</v>
      </c>
      <c r="J39" t="n">
        <v>5271.1</v>
      </c>
      <c r="K39" t="n">
        <v>7046</v>
      </c>
      <c r="L39" t="n">
        <v>7879.3</v>
      </c>
      <c r="M39" t="n">
        <v>8510.6</v>
      </c>
      <c r="N39" t="n">
        <v>8856.2</v>
      </c>
      <c r="O39" t="n">
        <v>13161.5</v>
      </c>
      <c r="P39" t="n">
        <v>13132</v>
      </c>
      <c r="Q39" t="n">
        <v>16263.2</v>
      </c>
      <c r="R39" t="n">
        <v>16734.8</v>
      </c>
      <c r="S39" t="n">
        <v>17302.2</v>
      </c>
      <c r="T39" t="n">
        <v>15681.8</v>
      </c>
      <c r="U39" t="n">
        <v>17159.6</v>
      </c>
      <c r="V39" t="n">
        <v>17309.1</v>
      </c>
      <c r="W39" t="n">
        <v>13393.1</v>
      </c>
      <c r="X39" t="n">
        <v>13794.5</v>
      </c>
      <c r="Y39" t="n">
        <v>13735.3</v>
      </c>
      <c r="Z39" t="n">
        <v>15911.4</v>
      </c>
      <c r="AA39" t="n">
        <v>13927.7</v>
      </c>
      <c r="AB39" t="n">
        <v>15888.3</v>
      </c>
      <c r="AC39" t="n">
        <v>17408.2</v>
      </c>
      <c r="AD39" t="n">
        <v>16640.6</v>
      </c>
      <c r="AE39" t="n">
        <v>16475.7</v>
      </c>
      <c r="AF39" t="n">
        <v>20807.6</v>
      </c>
    </row>
    <row r="40">
      <c r="A40" t="s">
        <v>10</v>
      </c>
      <c r="B40" t="s">
        <v>237</v>
      </c>
      <c r="C40" t="s">
        <v>131</v>
      </c>
      <c r="D40" t="s">
        <v>238</v>
      </c>
      <c r="E40" t="s">
        <v>132</v>
      </c>
      <c r="F40"/>
      <c r="G40" t="n">
        <v>2948.8</v>
      </c>
      <c r="H40" t="n">
        <v>3370</v>
      </c>
      <c r="I40" t="n">
        <v>4404.3</v>
      </c>
      <c r="J40" t="n">
        <v>5371.6</v>
      </c>
      <c r="K40" t="n">
        <v>6015.2</v>
      </c>
      <c r="L40" t="n">
        <v>7153.9</v>
      </c>
      <c r="M40" t="n">
        <v>8565.6</v>
      </c>
      <c r="N40" t="n">
        <v>10358.4</v>
      </c>
      <c r="O40" t="n">
        <v>9692</v>
      </c>
      <c r="P40" t="n">
        <v>10225.9</v>
      </c>
      <c r="Q40" t="n">
        <v>11080.8</v>
      </c>
      <c r="R40" t="n">
        <v>10931.1</v>
      </c>
      <c r="S40" t="n">
        <v>11561.8</v>
      </c>
      <c r="T40" t="n">
        <v>11752.8</v>
      </c>
      <c r="U40" t="n">
        <v>7852.5</v>
      </c>
      <c r="V40" t="n">
        <v>9982.1</v>
      </c>
      <c r="W40" t="n">
        <v>10373.9</v>
      </c>
      <c r="X40" t="n">
        <v>11411.4</v>
      </c>
      <c r="Y40" t="n">
        <v>12404.3</v>
      </c>
      <c r="Z40" t="n">
        <v>13365.1</v>
      </c>
      <c r="AA40" t="n">
        <v>14420.5</v>
      </c>
      <c r="AB40" t="n">
        <v>16058.3</v>
      </c>
      <c r="AC40" t="n">
        <v>16947.7</v>
      </c>
      <c r="AD40" t="n">
        <v>19307.6</v>
      </c>
      <c r="AE40" t="n">
        <v>20178.7</v>
      </c>
      <c r="AF40" t="n">
        <v>22881</v>
      </c>
    </row>
    <row r="41">
      <c r="A41" t="s">
        <v>10</v>
      </c>
      <c r="B41" t="s">
        <v>239</v>
      </c>
      <c r="C41" t="s">
        <v>131</v>
      </c>
      <c r="D41" t="s">
        <v>240</v>
      </c>
      <c r="E41" t="s">
        <v>132</v>
      </c>
      <c r="F41"/>
      <c r="G41" t="n">
        <v>2149</v>
      </c>
      <c r="H41" t="n">
        <v>2490.5</v>
      </c>
      <c r="I41" t="n">
        <v>3316.7</v>
      </c>
      <c r="J41" t="n">
        <v>4042.5</v>
      </c>
      <c r="K41" t="n">
        <v>4539</v>
      </c>
      <c r="L41" t="n">
        <v>5576.7</v>
      </c>
      <c r="M41" t="n">
        <v>6682.8</v>
      </c>
      <c r="N41" t="n">
        <v>8030</v>
      </c>
      <c r="O41" t="n">
        <v>7638.9</v>
      </c>
      <c r="P41" t="n">
        <v>7983</v>
      </c>
      <c r="Q41" t="n">
        <v>8529.1</v>
      </c>
      <c r="R41" t="n">
        <v>8386.7</v>
      </c>
      <c r="S41" t="n">
        <v>8860.1</v>
      </c>
      <c r="T41" t="n">
        <v>9851</v>
      </c>
      <c r="U41" t="n">
        <v>6997.5</v>
      </c>
      <c r="V41" t="n">
        <v>8054.9</v>
      </c>
      <c r="W41" t="n">
        <v>8207.1</v>
      </c>
      <c r="X41" t="n">
        <v>8606.8</v>
      </c>
      <c r="Y41" t="n">
        <v>9048.6</v>
      </c>
      <c r="Z41" t="n">
        <v>9691.4</v>
      </c>
      <c r="AA41" t="n">
        <v>10374.7</v>
      </c>
      <c r="AB41" t="n">
        <v>11108.9</v>
      </c>
      <c r="AC41" t="n">
        <v>11661.3</v>
      </c>
      <c r="AD41" t="n">
        <v>12952.4</v>
      </c>
      <c r="AE41" t="n">
        <v>13898.7</v>
      </c>
      <c r="AF41" t="n">
        <v>14674.1</v>
      </c>
    </row>
    <row r="42">
      <c r="A42" t="s">
        <v>10</v>
      </c>
      <c r="B42" t="s">
        <v>241</v>
      </c>
      <c r="C42" t="s">
        <v>131</v>
      </c>
      <c r="D42" t="s">
        <v>242</v>
      </c>
      <c r="E42" t="s">
        <v>132</v>
      </c>
      <c r="F42"/>
      <c r="G42" t="n">
        <v>1364.5</v>
      </c>
      <c r="H42" t="n">
        <v>1951.5</v>
      </c>
      <c r="I42" t="n">
        <v>1911.7</v>
      </c>
      <c r="J42" t="n">
        <v>2404.4</v>
      </c>
      <c r="K42" t="n">
        <v>3010.1</v>
      </c>
      <c r="L42" t="n">
        <v>3903.1</v>
      </c>
      <c r="M42" t="n">
        <v>4123.7</v>
      </c>
      <c r="N42" t="n">
        <v>4264.1</v>
      </c>
      <c r="O42" t="n">
        <v>5200.6</v>
      </c>
      <c r="P42" t="n">
        <v>6435.3</v>
      </c>
      <c r="Q42" t="n">
        <v>6799.7</v>
      </c>
      <c r="R42" t="n">
        <v>7384.6</v>
      </c>
      <c r="S42" t="n">
        <v>7275.7</v>
      </c>
      <c r="T42" t="n">
        <v>6884.6</v>
      </c>
      <c r="U42" t="n">
        <v>7407.7</v>
      </c>
      <c r="V42" t="n">
        <v>6339.9</v>
      </c>
      <c r="W42" t="n">
        <v>7189.4</v>
      </c>
      <c r="X42" t="n">
        <v>8006.8</v>
      </c>
      <c r="Y42" t="n">
        <v>9102.5</v>
      </c>
      <c r="Z42" t="n">
        <v>10173</v>
      </c>
      <c r="AA42" t="n">
        <v>9948.3</v>
      </c>
      <c r="AB42" t="n">
        <v>12740.2</v>
      </c>
      <c r="AC42" t="n">
        <v>15368.7</v>
      </c>
      <c r="AD42" t="n">
        <v>17632.8</v>
      </c>
      <c r="AE42" t="n">
        <v>21165.6</v>
      </c>
      <c r="AF42" t="n">
        <v>23924.6</v>
      </c>
    </row>
    <row r="43">
      <c r="A43" t="s">
        <v>10</v>
      </c>
      <c r="B43" t="s">
        <v>243</v>
      </c>
      <c r="C43" t="s">
        <v>131</v>
      </c>
      <c r="D43" t="s">
        <v>244</v>
      </c>
      <c r="E43" t="s">
        <v>132</v>
      </c>
      <c r="F43"/>
      <c r="G43" t="n">
        <v>2686.1</v>
      </c>
      <c r="H43" t="n">
        <v>3439.4</v>
      </c>
      <c r="I43" t="n">
        <v>4007.3</v>
      </c>
      <c r="J43" t="n">
        <v>4878</v>
      </c>
      <c r="K43" t="n">
        <v>5957.8</v>
      </c>
      <c r="L43" t="n">
        <v>7100.9</v>
      </c>
      <c r="M43" t="n">
        <v>7086.7</v>
      </c>
      <c r="N43" t="n">
        <v>7014.4</v>
      </c>
      <c r="O43" t="n">
        <v>8824.9</v>
      </c>
      <c r="P43" t="n">
        <v>11332.3</v>
      </c>
      <c r="Q43" t="n">
        <v>10702.2</v>
      </c>
      <c r="R43" t="n">
        <v>16905</v>
      </c>
      <c r="S43" t="n">
        <v>15454.2</v>
      </c>
      <c r="T43" t="n">
        <v>13614.5</v>
      </c>
      <c r="U43" t="n">
        <v>13821.8</v>
      </c>
      <c r="V43" t="n">
        <v>15104.7</v>
      </c>
      <c r="W43" t="n">
        <v>15296.4</v>
      </c>
      <c r="X43" t="n">
        <v>19498.2</v>
      </c>
      <c r="Y43" t="n">
        <v>23500.3</v>
      </c>
      <c r="Z43" t="n">
        <v>25975.1</v>
      </c>
      <c r="AA43" t="n">
        <v>29538.2</v>
      </c>
      <c r="AB43" t="n">
        <v>34549.2</v>
      </c>
      <c r="AC43" t="n">
        <v>37710.7</v>
      </c>
      <c r="AD43" t="n">
        <v>40437.3</v>
      </c>
      <c r="AE43" t="n">
        <v>42373</v>
      </c>
      <c r="AF43" t="n">
        <v>43629</v>
      </c>
    </row>
    <row r="44">
      <c r="A44" t="s">
        <v>10</v>
      </c>
      <c r="B44" t="s">
        <v>245</v>
      </c>
      <c r="C44" t="s">
        <v>131</v>
      </c>
      <c r="D44" t="s">
        <v>246</v>
      </c>
      <c r="E44" t="s">
        <v>132</v>
      </c>
      <c r="F44"/>
      <c r="G44" t="n">
        <v>40618.6</v>
      </c>
      <c r="H44" t="n">
        <v>46385.4</v>
      </c>
      <c r="I44" t="n">
        <v>52789.6</v>
      </c>
      <c r="J44" t="n">
        <v>62618.4</v>
      </c>
      <c r="K44" t="n">
        <v>71667.6</v>
      </c>
      <c r="L44" t="n">
        <v>79975.5</v>
      </c>
      <c r="M44" t="n">
        <v>91434.3</v>
      </c>
      <c r="N44" t="n">
        <v>94477.4</v>
      </c>
      <c r="O44" t="n">
        <v>106013.1</v>
      </c>
      <c r="P44" t="n">
        <v>113638.8</v>
      </c>
      <c r="Q44" t="n">
        <v>121253.5</v>
      </c>
      <c r="R44" t="n">
        <v>137843.6</v>
      </c>
      <c r="S44" t="n">
        <v>131386.6</v>
      </c>
      <c r="T44" t="n">
        <v>115370.4</v>
      </c>
      <c r="U44" t="n">
        <v>117537</v>
      </c>
      <c r="V44" t="n">
        <v>117455.4</v>
      </c>
      <c r="W44" t="n">
        <v>115514.8</v>
      </c>
      <c r="X44" t="n">
        <v>125039.9</v>
      </c>
      <c r="Y44" t="n">
        <v>143099.7</v>
      </c>
      <c r="Z44" t="n">
        <v>185324.5</v>
      </c>
      <c r="AA44" t="n">
        <v>212997.2</v>
      </c>
      <c r="AB44" t="n">
        <v>229401.6</v>
      </c>
      <c r="AC44" t="n">
        <v>262961.9</v>
      </c>
      <c r="AD44" t="n">
        <v>276965.2</v>
      </c>
      <c r="AE44" t="n">
        <v>314161.4</v>
      </c>
      <c r="AF44" t="n">
        <v>357386.9</v>
      </c>
    </row>
    <row r="45">
      <c r="A45" t="s">
        <v>10</v>
      </c>
      <c r="B45" t="s">
        <v>247</v>
      </c>
      <c r="C45" t="s">
        <v>131</v>
      </c>
      <c r="D45" t="s">
        <v>248</v>
      </c>
      <c r="E45" t="s">
        <v>132</v>
      </c>
      <c r="F45"/>
      <c r="G45" t="n">
        <v>37560.1</v>
      </c>
      <c r="H45" t="n">
        <v>43440</v>
      </c>
      <c r="I45" t="n">
        <v>50066.9</v>
      </c>
      <c r="J45" t="n">
        <v>60187.9</v>
      </c>
      <c r="K45" t="n">
        <v>69263.3</v>
      </c>
      <c r="L45" t="n">
        <v>77601</v>
      </c>
      <c r="M45" t="n">
        <v>89005.1</v>
      </c>
      <c r="N45" t="n">
        <v>91998.9</v>
      </c>
      <c r="O45" t="n">
        <v>103430.4</v>
      </c>
      <c r="P45" t="n">
        <v>111738.6</v>
      </c>
      <c r="Q45" t="n">
        <v>119746.2</v>
      </c>
      <c r="R45" t="n">
        <v>135994.9</v>
      </c>
      <c r="S45" t="n">
        <v>129218.3</v>
      </c>
      <c r="T45" t="n">
        <v>114029.2</v>
      </c>
      <c r="U45" t="n">
        <v>116415.4</v>
      </c>
      <c r="V45" t="n">
        <v>115582.5</v>
      </c>
      <c r="W45" t="n">
        <v>113810</v>
      </c>
      <c r="X45" t="n">
        <v>123262.4</v>
      </c>
      <c r="Y45" t="n">
        <v>140620.5</v>
      </c>
      <c r="Z45" t="n">
        <v>182744.5</v>
      </c>
      <c r="AA45" t="n">
        <v>210397.7</v>
      </c>
      <c r="AB45" t="n">
        <v>226600.7</v>
      </c>
      <c r="AC45" t="n">
        <v>259991.2</v>
      </c>
      <c r="AD45" t="n">
        <v>273391.7</v>
      </c>
      <c r="AE45" t="n">
        <v>310934.3</v>
      </c>
      <c r="AF45" t="n">
        <v>353684.6</v>
      </c>
    </row>
    <row r="46">
      <c r="A46" t="s">
        <v>10</v>
      </c>
      <c r="B46" t="s">
        <v>249</v>
      </c>
      <c r="C46" t="s">
        <v>131</v>
      </c>
      <c r="D46" t="s">
        <v>250</v>
      </c>
      <c r="E46" t="s">
        <v>132</v>
      </c>
      <c r="F46"/>
      <c r="G46" t="n">
        <v>1321.6</v>
      </c>
      <c r="H46" t="n">
        <v>1487.9</v>
      </c>
      <c r="I46" t="n">
        <v>2095.6</v>
      </c>
      <c r="J46" t="n">
        <v>2473.6</v>
      </c>
      <c r="K46" t="n">
        <v>2947.7</v>
      </c>
      <c r="L46" t="n">
        <v>3197.8</v>
      </c>
      <c r="M46" t="n">
        <v>2963</v>
      </c>
      <c r="N46" t="n">
        <v>2750.3</v>
      </c>
      <c r="O46" t="n">
        <v>3624.3</v>
      </c>
      <c r="P46" t="n">
        <v>4897</v>
      </c>
      <c r="Q46" t="n">
        <v>3902.5</v>
      </c>
      <c r="R46" t="n">
        <v>9520.4</v>
      </c>
      <c r="S46" t="n">
        <v>8178.5</v>
      </c>
      <c r="T46" t="n">
        <v>6729.9</v>
      </c>
      <c r="U46" t="n">
        <v>6414.1</v>
      </c>
      <c r="V46" t="n">
        <v>8764.8</v>
      </c>
      <c r="W46" t="n">
        <v>8107</v>
      </c>
      <c r="X46" t="n">
        <v>11491.4</v>
      </c>
      <c r="Y46" t="n">
        <v>14397.8</v>
      </c>
      <c r="Z46" t="n">
        <v>15802.1</v>
      </c>
      <c r="AA46" t="n">
        <v>19589.9</v>
      </c>
      <c r="AB46" t="n">
        <v>21809</v>
      </c>
      <c r="AC46" t="n">
        <v>22342</v>
      </c>
      <c r="AD46" t="n">
        <v>22804.5</v>
      </c>
      <c r="AE46" t="n">
        <v>21207.4</v>
      </c>
      <c r="AF46" t="n">
        <v>19704.4</v>
      </c>
    </row>
    <row r="47">
      <c r="A47" t="s">
        <v>10</v>
      </c>
      <c r="B47" t="s">
        <v>251</v>
      </c>
      <c r="C47" t="s">
        <v>131</v>
      </c>
      <c r="D47" t="s">
        <v>252</v>
      </c>
      <c r="E47" t="s">
        <v>132</v>
      </c>
      <c r="F47"/>
      <c r="G47" t="n">
        <v>2669.2</v>
      </c>
      <c r="H47" t="n">
        <v>2784.8</v>
      </c>
      <c r="I47" t="n">
        <v>3185.4</v>
      </c>
      <c r="J47" t="n">
        <v>3455.7</v>
      </c>
      <c r="K47" t="n">
        <v>3312.7</v>
      </c>
      <c r="L47" t="n">
        <v>3713</v>
      </c>
      <c r="M47" t="n">
        <v>4176.5</v>
      </c>
      <c r="N47" t="n">
        <v>4715.6</v>
      </c>
      <c r="O47" t="n">
        <v>5348.5</v>
      </c>
      <c r="P47" t="n">
        <v>5970.1</v>
      </c>
      <c r="Q47" t="n">
        <v>6025.5</v>
      </c>
      <c r="R47" t="n">
        <v>6568.8</v>
      </c>
      <c r="S47" t="n">
        <v>7072.8</v>
      </c>
      <c r="T47" t="n">
        <v>6518.9</v>
      </c>
      <c r="U47" t="n">
        <v>6766.2</v>
      </c>
      <c r="V47" t="n">
        <v>6532.8</v>
      </c>
      <c r="W47" t="n">
        <v>7786.7</v>
      </c>
      <c r="X47" t="n">
        <v>7789.6</v>
      </c>
      <c r="Y47" t="n">
        <v>7976.6</v>
      </c>
      <c r="Z47" t="n">
        <v>8090.2</v>
      </c>
      <c r="AA47" t="n">
        <v>8070.2</v>
      </c>
      <c r="AB47" t="n">
        <v>8770.7</v>
      </c>
      <c r="AC47" t="n">
        <v>9229.6</v>
      </c>
      <c r="AD47" t="n">
        <v>9808.5</v>
      </c>
      <c r="AE47" t="n">
        <v>10176.2</v>
      </c>
      <c r="AF47" t="n">
        <v>11143.5</v>
      </c>
    </row>
    <row r="48">
      <c r="A48" t="s">
        <v>10</v>
      </c>
      <c r="B48" t="s">
        <v>253</v>
      </c>
      <c r="C48" t="s">
        <v>131</v>
      </c>
      <c r="D48" t="s">
        <v>254</v>
      </c>
      <c r="E48" t="s">
        <v>132</v>
      </c>
      <c r="F48"/>
      <c r="G48" t="n">
        <v>8778.6</v>
      </c>
      <c r="H48" t="n">
        <v>9254.1</v>
      </c>
      <c r="I48" t="n">
        <v>10060.3</v>
      </c>
      <c r="J48" t="n">
        <v>10750</v>
      </c>
      <c r="K48" t="n">
        <v>11652.3</v>
      </c>
      <c r="L48" t="n">
        <v>13187.8</v>
      </c>
      <c r="M48" t="n">
        <v>15352.4</v>
      </c>
      <c r="N48" t="n">
        <v>17229.8</v>
      </c>
      <c r="O48" t="n">
        <v>19878.1</v>
      </c>
      <c r="P48" t="n">
        <v>21791.6</v>
      </c>
      <c r="Q48" t="n">
        <v>23858.8</v>
      </c>
      <c r="R48" t="n">
        <v>26278.5</v>
      </c>
      <c r="S48" t="n">
        <v>27966.8</v>
      </c>
      <c r="T48" t="n">
        <v>29360</v>
      </c>
      <c r="U48" t="n">
        <v>29650.9</v>
      </c>
      <c r="V48" t="n">
        <v>28493</v>
      </c>
      <c r="W48" t="n">
        <v>27910.8</v>
      </c>
      <c r="X48" t="n">
        <v>28477.1</v>
      </c>
      <c r="Y48" t="n">
        <v>28127.9</v>
      </c>
      <c r="Z48" t="n">
        <v>29308.2</v>
      </c>
      <c r="AA48" t="n">
        <v>29678.1</v>
      </c>
      <c r="AB48" t="n">
        <v>31295.7</v>
      </c>
      <c r="AC48" t="n">
        <v>33095.1</v>
      </c>
      <c r="AD48" t="n">
        <v>35132.7</v>
      </c>
      <c r="AE48" t="n">
        <v>35411.3</v>
      </c>
      <c r="AF48" t="n">
        <v>38373</v>
      </c>
    </row>
    <row r="49">
      <c r="A49" t="s">
        <v>10</v>
      </c>
      <c r="B49" t="s">
        <v>255</v>
      </c>
      <c r="C49" t="s">
        <v>131</v>
      </c>
      <c r="D49" t="s">
        <v>256</v>
      </c>
      <c r="E49" t="s">
        <v>132</v>
      </c>
      <c r="F49"/>
      <c r="G49" t="n">
        <v>2853</v>
      </c>
      <c r="H49" t="n">
        <v>2973.6</v>
      </c>
      <c r="I49" t="n">
        <v>3140.1</v>
      </c>
      <c r="J49" t="n">
        <v>3304.5</v>
      </c>
      <c r="K49" t="n">
        <v>3669.8</v>
      </c>
      <c r="L49" t="n">
        <v>3872.2</v>
      </c>
      <c r="M49" t="n">
        <v>4488.4</v>
      </c>
      <c r="N49" t="n">
        <v>5227</v>
      </c>
      <c r="O49" t="n">
        <v>5966.9</v>
      </c>
      <c r="P49" t="n">
        <v>6439.5</v>
      </c>
      <c r="Q49" t="n">
        <v>7059</v>
      </c>
      <c r="R49" t="n">
        <v>8010.4</v>
      </c>
      <c r="S49" t="n">
        <v>8451.9</v>
      </c>
      <c r="T49" t="n">
        <v>9331.8</v>
      </c>
      <c r="U49" t="n">
        <v>9728.3</v>
      </c>
      <c r="V49" t="n">
        <v>9672.1</v>
      </c>
      <c r="W49" t="n">
        <v>7766.8</v>
      </c>
      <c r="X49" t="n">
        <v>7926.4</v>
      </c>
      <c r="Y49" t="n">
        <v>7980.1</v>
      </c>
      <c r="Z49" t="n">
        <v>8299</v>
      </c>
      <c r="AA49" t="n">
        <v>8537.7</v>
      </c>
      <c r="AB49" t="n">
        <v>8629.3</v>
      </c>
      <c r="AC49" t="n">
        <v>9201.7</v>
      </c>
      <c r="AD49" t="n">
        <v>9749.3</v>
      </c>
      <c r="AE49" t="n">
        <v>9885.9</v>
      </c>
      <c r="AF49" t="n">
        <v>10116.3</v>
      </c>
    </row>
    <row r="50">
      <c r="A50" t="s">
        <v>10</v>
      </c>
      <c r="B50" t="s">
        <v>257</v>
      </c>
      <c r="C50" t="s">
        <v>131</v>
      </c>
      <c r="D50" t="s">
        <v>258</v>
      </c>
      <c r="E50" t="s">
        <v>132</v>
      </c>
      <c r="F50"/>
      <c r="G50" t="n">
        <v>3256.4</v>
      </c>
      <c r="H50" t="n">
        <v>3495.7</v>
      </c>
      <c r="I50" t="n">
        <v>3734.8</v>
      </c>
      <c r="J50" t="n">
        <v>3989.9</v>
      </c>
      <c r="K50" t="n">
        <v>4669.8</v>
      </c>
      <c r="L50" t="n">
        <v>5602.6</v>
      </c>
      <c r="M50" t="n">
        <v>6687.5</v>
      </c>
      <c r="N50" t="n">
        <v>7287.2</v>
      </c>
      <c r="O50" t="n">
        <v>8562.8</v>
      </c>
      <c r="P50" t="n">
        <v>9382.1</v>
      </c>
      <c r="Q50" t="n">
        <v>10774.3</v>
      </c>
      <c r="R50" t="n">
        <v>11699.2</v>
      </c>
      <c r="S50" t="n">
        <v>12442.1</v>
      </c>
      <c r="T50" t="n">
        <v>13509.3</v>
      </c>
      <c r="U50" t="n">
        <v>13156.3</v>
      </c>
      <c r="V50" t="n">
        <v>12288</v>
      </c>
      <c r="W50" t="n">
        <v>12357.4</v>
      </c>
      <c r="X50" t="n">
        <v>12761.2</v>
      </c>
      <c r="Y50" t="n">
        <v>12171.3</v>
      </c>
      <c r="Z50" t="n">
        <v>12919</v>
      </c>
      <c r="AA50" t="n">
        <v>13070</v>
      </c>
      <c r="AB50" t="n">
        <v>13895.6</v>
      </c>
      <c r="AC50" t="n">
        <v>14663.8</v>
      </c>
      <c r="AD50" t="n">
        <v>15574.9</v>
      </c>
      <c r="AE50" t="n">
        <v>15349.1</v>
      </c>
      <c r="AF50" t="n">
        <v>17113.3</v>
      </c>
    </row>
    <row r="51">
      <c r="A51" t="s">
        <v>10</v>
      </c>
      <c r="B51" t="s">
        <v>259</v>
      </c>
      <c r="C51" t="s">
        <v>131</v>
      </c>
      <c r="D51" t="s">
        <v>260</v>
      </c>
      <c r="E51" t="s">
        <v>132</v>
      </c>
      <c r="F51"/>
      <c r="G51" t="n">
        <v>2710.5</v>
      </c>
      <c r="H51" t="n">
        <v>2906.1</v>
      </c>
      <c r="I51" t="n">
        <v>3107</v>
      </c>
      <c r="J51" t="n">
        <v>3280.6</v>
      </c>
      <c r="K51" t="n">
        <v>3760.4</v>
      </c>
      <c r="L51" t="n">
        <v>4769.7</v>
      </c>
      <c r="M51" t="n">
        <v>5784</v>
      </c>
      <c r="N51" t="n">
        <v>6248.8</v>
      </c>
      <c r="O51" t="n">
        <v>7130.3</v>
      </c>
      <c r="P51" t="n">
        <v>7644.5</v>
      </c>
      <c r="Q51" t="n">
        <v>8625.2</v>
      </c>
      <c r="R51" t="n">
        <v>9256.7</v>
      </c>
      <c r="S51" t="n">
        <v>9679.6</v>
      </c>
      <c r="T51" t="n">
        <v>10414.2</v>
      </c>
      <c r="U51" t="n">
        <v>10343.2</v>
      </c>
      <c r="V51" t="n">
        <v>9308.6</v>
      </c>
      <c r="W51" t="n">
        <v>8909.6</v>
      </c>
      <c r="X51" t="n">
        <v>9074.6</v>
      </c>
      <c r="Y51" t="n">
        <v>8580.1</v>
      </c>
      <c r="Z51" t="n">
        <v>8977.1</v>
      </c>
      <c r="AA51" t="n">
        <v>9222.5</v>
      </c>
      <c r="AB51" t="n">
        <v>9395.3</v>
      </c>
      <c r="AC51" t="n">
        <v>10129.5</v>
      </c>
      <c r="AD51" t="n">
        <v>10784</v>
      </c>
      <c r="AE51" t="n">
        <v>10859.8</v>
      </c>
      <c r="AF51" t="n">
        <v>12736.6</v>
      </c>
    </row>
    <row r="52">
      <c r="A52" t="s">
        <v>10</v>
      </c>
      <c r="B52" t="s">
        <v>261</v>
      </c>
      <c r="C52" t="s">
        <v>131</v>
      </c>
      <c r="D52" t="s">
        <v>262</v>
      </c>
      <c r="E52" t="s">
        <v>132</v>
      </c>
      <c r="F52"/>
      <c r="G52" t="n">
        <v>545.9</v>
      </c>
      <c r="H52" t="n">
        <v>589.6</v>
      </c>
      <c r="I52" t="n">
        <v>627.8</v>
      </c>
      <c r="J52" t="n">
        <v>709.3</v>
      </c>
      <c r="K52" t="n">
        <v>909.4</v>
      </c>
      <c r="L52" t="n">
        <v>832.9</v>
      </c>
      <c r="M52" t="n">
        <v>903.5</v>
      </c>
      <c r="N52" t="n">
        <v>1038.4</v>
      </c>
      <c r="O52" t="n">
        <v>1432.5</v>
      </c>
      <c r="P52" t="n">
        <v>1737.6</v>
      </c>
      <c r="Q52" t="n">
        <v>2149.1</v>
      </c>
      <c r="R52" t="n">
        <v>2442.5</v>
      </c>
      <c r="S52" t="n">
        <v>2762.5</v>
      </c>
      <c r="T52" t="n">
        <v>3095.1</v>
      </c>
      <c r="U52" t="n">
        <v>2813.1</v>
      </c>
      <c r="V52" t="n">
        <v>2979.4</v>
      </c>
      <c r="W52" t="n">
        <v>3447.8</v>
      </c>
      <c r="X52" t="n">
        <v>3686.6</v>
      </c>
      <c r="Y52" t="n">
        <v>3591.2</v>
      </c>
      <c r="Z52" t="n">
        <v>3941.9</v>
      </c>
      <c r="AA52" t="n">
        <v>3847.5</v>
      </c>
      <c r="AB52" t="n">
        <v>4500.3</v>
      </c>
      <c r="AC52" t="n">
        <v>4534.3</v>
      </c>
      <c r="AD52" t="n">
        <v>4790.9</v>
      </c>
      <c r="AE52" t="n">
        <v>4489.3</v>
      </c>
      <c r="AF52" t="n">
        <v>4376.7</v>
      </c>
    </row>
    <row r="53">
      <c r="A53" t="s">
        <v>10</v>
      </c>
      <c r="B53" t="s">
        <v>263</v>
      </c>
      <c r="C53" t="s">
        <v>131</v>
      </c>
      <c r="D53" t="s">
        <v>264</v>
      </c>
      <c r="E53" t="s">
        <v>132</v>
      </c>
      <c r="F53"/>
      <c r="G53" t="n">
        <v>747.5</v>
      </c>
      <c r="H53" t="n">
        <v>799.2</v>
      </c>
      <c r="I53" t="n">
        <v>941.1</v>
      </c>
      <c r="J53" t="n">
        <v>1104.6</v>
      </c>
      <c r="K53" t="n">
        <v>1151.8</v>
      </c>
      <c r="L53" t="n">
        <v>1470.5</v>
      </c>
      <c r="M53" t="n">
        <v>1625</v>
      </c>
      <c r="N53" t="n">
        <v>1635.1</v>
      </c>
      <c r="O53" t="n">
        <v>1943</v>
      </c>
      <c r="P53" t="n">
        <v>1949.7</v>
      </c>
      <c r="Q53" t="n">
        <v>2318.3</v>
      </c>
      <c r="R53" t="n">
        <v>2399.7</v>
      </c>
      <c r="S53" t="n">
        <v>2735.2</v>
      </c>
      <c r="T53" t="n">
        <v>2587.6</v>
      </c>
      <c r="U53" t="n">
        <v>2364.4</v>
      </c>
      <c r="V53" t="n">
        <v>2212.6</v>
      </c>
      <c r="W53" t="n">
        <v>2149.8</v>
      </c>
      <c r="X53" t="n">
        <v>1956.3</v>
      </c>
      <c r="Y53" t="n">
        <v>2177.5</v>
      </c>
      <c r="Z53" t="n">
        <v>2305.6</v>
      </c>
      <c r="AA53" t="n">
        <v>2495.2</v>
      </c>
      <c r="AB53" t="n">
        <v>2113.7</v>
      </c>
      <c r="AC53" t="n">
        <v>2470.1</v>
      </c>
      <c r="AD53" t="n">
        <v>2555.7</v>
      </c>
      <c r="AE53" t="n">
        <v>2115.8</v>
      </c>
      <c r="AF53" t="n">
        <v>2327.6</v>
      </c>
    </row>
    <row r="54">
      <c r="A54" t="s">
        <v>10</v>
      </c>
      <c r="B54" t="s">
        <v>265</v>
      </c>
      <c r="C54" t="s">
        <v>131</v>
      </c>
      <c r="D54" t="s">
        <v>266</v>
      </c>
      <c r="E54" t="s">
        <v>132</v>
      </c>
      <c r="F54"/>
      <c r="G54" t="n">
        <v>1206.5</v>
      </c>
      <c r="H54" t="n">
        <v>1372</v>
      </c>
      <c r="I54" t="n">
        <v>1384.4</v>
      </c>
      <c r="J54" t="n">
        <v>1623.8</v>
      </c>
      <c r="K54" t="n">
        <v>1770.4</v>
      </c>
      <c r="L54" t="n">
        <v>2097.5</v>
      </c>
      <c r="M54" t="n">
        <v>2412.3</v>
      </c>
      <c r="N54" t="n">
        <v>2541.5</v>
      </c>
      <c r="O54" t="n">
        <v>2940.4</v>
      </c>
      <c r="P54" t="n">
        <v>2998.5</v>
      </c>
      <c r="Q54" t="n">
        <v>3426.5</v>
      </c>
      <c r="R54" t="n">
        <v>3487.9</v>
      </c>
      <c r="S54" t="n">
        <v>3817.3</v>
      </c>
      <c r="T54" t="n">
        <v>3673.1</v>
      </c>
      <c r="U54" t="n">
        <v>3345.3</v>
      </c>
      <c r="V54" t="n">
        <v>3462.8</v>
      </c>
      <c r="W54" t="n">
        <v>3400.3</v>
      </c>
      <c r="X54" t="n">
        <v>3237.6</v>
      </c>
      <c r="Y54" t="n">
        <v>3579.8</v>
      </c>
      <c r="Z54" t="n">
        <v>3905.3</v>
      </c>
      <c r="AA54" t="n">
        <v>3916.9</v>
      </c>
      <c r="AB54" t="n">
        <v>3849.5</v>
      </c>
      <c r="AC54" t="n">
        <v>4213.7</v>
      </c>
      <c r="AD54" t="n">
        <v>4429</v>
      </c>
      <c r="AE54" t="n">
        <v>3575.5</v>
      </c>
      <c r="AF54" t="n">
        <v>3930.7</v>
      </c>
    </row>
    <row r="55">
      <c r="A55" t="s">
        <v>10</v>
      </c>
      <c r="B55" t="s">
        <v>267</v>
      </c>
      <c r="C55" t="s">
        <v>131</v>
      </c>
      <c r="D55" t="s">
        <v>268</v>
      </c>
      <c r="E55" t="s">
        <v>132</v>
      </c>
      <c r="F55"/>
      <c r="G55" t="n">
        <v>459</v>
      </c>
      <c r="H55" t="n">
        <v>572.8</v>
      </c>
      <c r="I55" t="n">
        <v>443.3</v>
      </c>
      <c r="J55" t="n">
        <v>519.2</v>
      </c>
      <c r="K55" t="n">
        <v>618.6</v>
      </c>
      <c r="L55" t="n">
        <v>627</v>
      </c>
      <c r="M55" t="n">
        <v>787.3</v>
      </c>
      <c r="N55" t="n">
        <v>906.4</v>
      </c>
      <c r="O55" t="n">
        <v>997.4</v>
      </c>
      <c r="P55" t="n">
        <v>1048.8</v>
      </c>
      <c r="Q55" t="n">
        <v>1108.2</v>
      </c>
      <c r="R55" t="n">
        <v>1088.2</v>
      </c>
      <c r="S55" t="n">
        <v>1082.1</v>
      </c>
      <c r="T55" t="n">
        <v>1085.5</v>
      </c>
      <c r="U55" t="n">
        <v>980.9</v>
      </c>
      <c r="V55" t="n">
        <v>1250.2</v>
      </c>
      <c r="W55" t="n">
        <v>1250.5</v>
      </c>
      <c r="X55" t="n">
        <v>1281.3</v>
      </c>
      <c r="Y55" t="n">
        <v>1402.3</v>
      </c>
      <c r="Z55" t="n">
        <v>1599.7</v>
      </c>
      <c r="AA55" t="n">
        <v>1421.7</v>
      </c>
      <c r="AB55" t="n">
        <v>1735.8</v>
      </c>
      <c r="AC55" t="n">
        <v>1743.6</v>
      </c>
      <c r="AD55" t="n">
        <v>1873.3</v>
      </c>
      <c r="AE55" t="n">
        <v>1459.7</v>
      </c>
      <c r="AF55" t="n">
        <v>1603.1</v>
      </c>
    </row>
    <row r="56">
      <c r="A56" t="s">
        <v>10</v>
      </c>
      <c r="B56" t="s">
        <v>269</v>
      </c>
      <c r="C56" t="s">
        <v>131</v>
      </c>
      <c r="D56" t="s">
        <v>270</v>
      </c>
      <c r="E56" t="s">
        <v>132</v>
      </c>
      <c r="F56"/>
      <c r="G56" t="n">
        <v>74.8</v>
      </c>
      <c r="H56" t="n">
        <v>105</v>
      </c>
      <c r="I56" t="n">
        <v>101.8</v>
      </c>
      <c r="J56" t="n">
        <v>107.1</v>
      </c>
      <c r="K56" t="n">
        <v>83.5</v>
      </c>
      <c r="L56" t="n">
        <v>89.6</v>
      </c>
      <c r="M56" t="n">
        <v>90.8</v>
      </c>
      <c r="N56" t="n">
        <v>103.5</v>
      </c>
      <c r="O56" t="n">
        <v>109.6</v>
      </c>
      <c r="P56" t="n">
        <v>144.3</v>
      </c>
      <c r="Q56" t="n">
        <v>193.3</v>
      </c>
      <c r="R56" t="n">
        <v>237</v>
      </c>
      <c r="S56" t="n">
        <v>220.8</v>
      </c>
      <c r="T56" t="n">
        <v>186</v>
      </c>
      <c r="U56" t="n">
        <v>35</v>
      </c>
      <c r="V56" t="n">
        <v>55.4</v>
      </c>
      <c r="W56" t="n">
        <v>65</v>
      </c>
      <c r="X56" t="n">
        <v>54.8</v>
      </c>
      <c r="Y56" t="n">
        <v>58.8</v>
      </c>
      <c r="Z56" t="n">
        <v>58.8</v>
      </c>
      <c r="AA56" t="n">
        <v>68.4</v>
      </c>
      <c r="AB56" t="n">
        <v>154.9</v>
      </c>
      <c r="AC56" t="n">
        <v>181.3</v>
      </c>
      <c r="AD56" t="n">
        <v>183</v>
      </c>
      <c r="AE56" t="n">
        <v>171.2</v>
      </c>
      <c r="AF56" t="n">
        <v>201.3</v>
      </c>
    </row>
    <row r="57">
      <c r="A57" t="s">
        <v>10</v>
      </c>
      <c r="B57" t="s">
        <v>271</v>
      </c>
      <c r="C57" t="s">
        <v>131</v>
      </c>
      <c r="D57" t="s">
        <v>272</v>
      </c>
      <c r="E57" t="s">
        <v>132</v>
      </c>
      <c r="F57"/>
      <c r="G57" t="n">
        <v>52420.8</v>
      </c>
      <c r="H57" t="n">
        <v>59114.5</v>
      </c>
      <c r="I57" t="n">
        <v>67356</v>
      </c>
      <c r="J57" t="n">
        <v>78847.2</v>
      </c>
      <c r="K57" t="n">
        <v>89418.6</v>
      </c>
      <c r="L57" t="n">
        <v>100406.8</v>
      </c>
      <c r="M57" t="n">
        <v>115443.1</v>
      </c>
      <c r="N57" t="n">
        <v>122169.1</v>
      </c>
      <c r="O57" t="n">
        <v>135692.9</v>
      </c>
      <c r="P57" t="n">
        <v>145800.7</v>
      </c>
      <c r="Q57" t="n">
        <v>156386.4</v>
      </c>
      <c r="R57" t="n">
        <v>175290.1</v>
      </c>
      <c r="S57" t="n">
        <v>171136</v>
      </c>
      <c r="T57" t="n">
        <v>156669.2</v>
      </c>
      <c r="U57" t="n">
        <v>155075.3</v>
      </c>
      <c r="V57" t="n">
        <v>155985.8</v>
      </c>
      <c r="W57" t="n">
        <v>153864.6</v>
      </c>
      <c r="X57" t="n">
        <v>164983.3</v>
      </c>
      <c r="Y57" t="n">
        <v>183690.8</v>
      </c>
      <c r="Z57" t="n">
        <v>228056.6</v>
      </c>
      <c r="AA57" t="n">
        <v>257164</v>
      </c>
      <c r="AB57" t="n">
        <v>276910.4</v>
      </c>
      <c r="AC57" t="n">
        <v>313186</v>
      </c>
      <c r="AD57" t="n">
        <v>331588.5</v>
      </c>
      <c r="AE57" t="n">
        <v>369922.5</v>
      </c>
      <c r="AF57" t="n">
        <v>418842.3</v>
      </c>
    </row>
    <row r="58">
      <c r="A58" t="s">
        <v>10</v>
      </c>
      <c r="B58" t="s">
        <v>273</v>
      </c>
      <c r="C58" t="s">
        <v>131</v>
      </c>
      <c r="D58" t="s">
        <v>274</v>
      </c>
      <c r="E58" t="s">
        <v>132</v>
      </c>
      <c r="F58"/>
      <c r="G58" t="n">
        <v>52346</v>
      </c>
      <c r="H58" t="n">
        <v>59009.5</v>
      </c>
      <c r="I58" t="n">
        <v>67254.2</v>
      </c>
      <c r="J58" t="n">
        <v>78740.1</v>
      </c>
      <c r="K58" t="n">
        <v>89335.1</v>
      </c>
      <c r="L58" t="n">
        <v>100317.2</v>
      </c>
      <c r="M58" t="n">
        <v>115352.3</v>
      </c>
      <c r="N58" t="n">
        <v>122065.6</v>
      </c>
      <c r="O58" t="n">
        <v>135583.3</v>
      </c>
      <c r="P58" t="n">
        <v>145656.4</v>
      </c>
      <c r="Q58" t="n">
        <v>156193.1</v>
      </c>
      <c r="R58" t="n">
        <v>175053.1</v>
      </c>
      <c r="S58" t="n">
        <v>170915.2</v>
      </c>
      <c r="T58" t="n">
        <v>156483.2</v>
      </c>
      <c r="U58" t="n">
        <v>155040.3</v>
      </c>
      <c r="V58" t="n">
        <v>155930.4</v>
      </c>
      <c r="W58" t="n">
        <v>153799.6</v>
      </c>
      <c r="X58" t="n">
        <v>164928.5</v>
      </c>
      <c r="Y58" t="n">
        <v>183632</v>
      </c>
      <c r="Z58" t="n">
        <v>227997.8</v>
      </c>
      <c r="AA58" t="n">
        <v>257095.6</v>
      </c>
      <c r="AB58" t="n">
        <v>276755.5</v>
      </c>
      <c r="AC58" t="n">
        <v>313004.7</v>
      </c>
      <c r="AD58" t="n">
        <v>331405.5</v>
      </c>
      <c r="AE58" t="n">
        <v>369751.3</v>
      </c>
      <c r="AF58" t="n">
        <v>418641</v>
      </c>
    </row>
    <row r="59">
      <c r="A59" t="s">
        <v>10</v>
      </c>
      <c r="B59" t="s">
        <v>275</v>
      </c>
      <c r="C59" t="s">
        <v>131</v>
      </c>
      <c r="D59" t="s">
        <v>276</v>
      </c>
      <c r="E59" t="s">
        <v>132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12</v>
      </c>
      <c r="B2" t="s">
        <v>84</v>
      </c>
      <c r="C2" t="s">
        <v>131</v>
      </c>
      <c r="D2" t="s">
        <v>86</v>
      </c>
      <c r="E2" t="s">
        <v>132</v>
      </c>
      <c r="F2"/>
      <c r="G2"/>
      <c r="H2"/>
      <c r="I2"/>
      <c r="J2"/>
      <c r="K2"/>
      <c r="L2" t="n">
        <v>6826.31650212022</v>
      </c>
      <c r="M2" t="n">
        <v>5746.6679466182</v>
      </c>
      <c r="N2" t="n">
        <v>5779.63095955662</v>
      </c>
      <c r="O2" t="n">
        <v>5822.76690692197</v>
      </c>
      <c r="P2" t="n">
        <v>5380.46957710456</v>
      </c>
      <c r="Q2" t="n">
        <v>6061.97861632653</v>
      </c>
      <c r="R2" t="n">
        <v>5981.5431243058</v>
      </c>
      <c r="S2" t="n">
        <v>8615.4942080124</v>
      </c>
      <c r="T2" t="n">
        <v>8861.80215649083</v>
      </c>
      <c r="U2" t="n">
        <v>3634.914873</v>
      </c>
      <c r="V2" t="n">
        <v>6082.63887790762</v>
      </c>
      <c r="W2" t="n">
        <v>7418.51421816059</v>
      </c>
      <c r="X2" t="n">
        <v>7652.27155013141</v>
      </c>
      <c r="Y2" t="n">
        <v>8112.92653024656</v>
      </c>
      <c r="Z2" t="n">
        <v>8146.80165146527</v>
      </c>
      <c r="AA2" t="n">
        <v>8475.77901936332</v>
      </c>
      <c r="AB2" t="n">
        <v>8389.58677413157</v>
      </c>
      <c r="AC2"/>
      <c r="AD2"/>
      <c r="AE2"/>
      <c r="AF2"/>
    </row>
    <row r="3">
      <c r="A3" t="s">
        <v>12</v>
      </c>
      <c r="B3" t="s">
        <v>163</v>
      </c>
      <c r="C3" t="s">
        <v>131</v>
      </c>
      <c r="D3" t="s">
        <v>164</v>
      </c>
      <c r="E3" t="s">
        <v>132</v>
      </c>
      <c r="F3"/>
      <c r="G3"/>
      <c r="H3"/>
      <c r="I3"/>
      <c r="J3"/>
      <c r="K3"/>
      <c r="L3" t="n">
        <v>1178.54793030206</v>
      </c>
      <c r="M3" t="n">
        <v>1427.25762101472</v>
      </c>
      <c r="N3" t="n">
        <v>1536.17941291585</v>
      </c>
      <c r="O3" t="n">
        <v>1534.37794350059</v>
      </c>
      <c r="P3" t="n">
        <v>1224.46155071356</v>
      </c>
      <c r="Q3" t="n">
        <v>1252.67994481876</v>
      </c>
      <c r="R3" t="n">
        <v>1891.84888023661</v>
      </c>
      <c r="S3" t="n">
        <v>3520.29693160026</v>
      </c>
      <c r="T3" t="n">
        <v>1761.5383264596</v>
      </c>
      <c r="U3" t="n">
        <v>1951.295392</v>
      </c>
      <c r="V3" t="n">
        <v>1390.13720273362</v>
      </c>
      <c r="W3" t="n">
        <v>1126.62959262435</v>
      </c>
      <c r="X3" t="n">
        <v>1678.69173985497</v>
      </c>
      <c r="Y3" t="n">
        <v>983.939003017099</v>
      </c>
      <c r="Z3" t="n">
        <v>1004.87644468438</v>
      </c>
      <c r="AA3" t="n">
        <v>1852.42204414371</v>
      </c>
      <c r="AB3" t="n">
        <v>1593.11034803365</v>
      </c>
      <c r="AC3" t="n">
        <v>1115.31335615774</v>
      </c>
      <c r="AD3"/>
      <c r="AE3"/>
      <c r="AF3"/>
    </row>
    <row r="4">
      <c r="A4" t="s">
        <v>12</v>
      </c>
      <c r="B4" t="s">
        <v>165</v>
      </c>
      <c r="C4" t="s">
        <v>131</v>
      </c>
      <c r="D4" t="s">
        <v>166</v>
      </c>
      <c r="E4" t="s">
        <v>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68778.6755492785</v>
      </c>
      <c r="M4" t="n">
        <v>87509.9730059419</v>
      </c>
      <c r="N4" t="n">
        <v>89861.1097650319</v>
      </c>
      <c r="O4" t="n">
        <v>97027.6590186417</v>
      </c>
      <c r="P4" t="n">
        <v>102808.665887219</v>
      </c>
      <c r="Q4" t="n">
        <v>107744.659662828</v>
      </c>
      <c r="R4" t="n">
        <v>106011.572688319</v>
      </c>
      <c r="S4" t="n">
        <v>106071.255385227</v>
      </c>
      <c r="T4" t="n">
        <v>87072.5457809082</v>
      </c>
      <c r="U4" t="n">
        <v>93686.919279</v>
      </c>
      <c r="V4" t="n">
        <v>78823.1931499249</v>
      </c>
      <c r="W4" t="n">
        <v>96961.3669898892</v>
      </c>
      <c r="X4" t="n">
        <v>85256.3330857158</v>
      </c>
      <c r="Y4" t="n">
        <v>110665.337409194</v>
      </c>
      <c r="Z4" t="n">
        <v>36805.5458709258</v>
      </c>
      <c r="AA4" t="n">
        <v>41386.7871781804</v>
      </c>
      <c r="AB4" t="n">
        <v>40592.7988879948</v>
      </c>
      <c r="AC4" t="n">
        <v>34922.7993784103</v>
      </c>
      <c r="AD4" t="n">
        <v>0</v>
      </c>
      <c r="AE4" t="n">
        <v>0</v>
      </c>
      <c r="AF4" t="n">
        <v>0</v>
      </c>
    </row>
    <row r="5">
      <c r="A5" t="s">
        <v>12</v>
      </c>
      <c r="B5" t="s">
        <v>167</v>
      </c>
      <c r="C5" t="s">
        <v>131</v>
      </c>
      <c r="D5" t="s">
        <v>168</v>
      </c>
      <c r="E5" t="s">
        <v>132</v>
      </c>
      <c r="F5"/>
      <c r="G5"/>
      <c r="H5"/>
      <c r="I5"/>
      <c r="J5"/>
      <c r="K5"/>
      <c r="L5" t="n">
        <v>12871.6315664841</v>
      </c>
      <c r="M5" t="n">
        <v>15948.2849606619</v>
      </c>
      <c r="N5" t="n">
        <v>16442.987038332</v>
      </c>
      <c r="O5" t="n">
        <v>21965.3853272797</v>
      </c>
      <c r="P5" t="n">
        <v>20543.2336116118</v>
      </c>
      <c r="Q5" t="n">
        <v>19797.304413333</v>
      </c>
      <c r="R5" t="n">
        <v>21943.3334085955</v>
      </c>
      <c r="S5" t="n">
        <v>21866.6412999687</v>
      </c>
      <c r="T5" t="n">
        <v>20115.4209058086</v>
      </c>
      <c r="U5" t="n">
        <v>19857.797529</v>
      </c>
      <c r="V5" t="n">
        <v>25073.4131722906</v>
      </c>
      <c r="W5" t="n">
        <v>25058.0406814177</v>
      </c>
      <c r="X5" t="n">
        <v>21007.0431843049</v>
      </c>
      <c r="Y5" t="n">
        <v>25178.9358102935</v>
      </c>
      <c r="Z5" t="n">
        <v>26176.6990971226</v>
      </c>
      <c r="AA5" t="n">
        <v>27597.5783447429</v>
      </c>
      <c r="AB5" t="n">
        <v>26240.4622945747</v>
      </c>
      <c r="AC5" t="n">
        <v>22850.6937185796</v>
      </c>
      <c r="AD5"/>
      <c r="AE5"/>
      <c r="AF5"/>
    </row>
    <row r="6">
      <c r="A6" t="s">
        <v>12</v>
      </c>
      <c r="B6" t="s">
        <v>169</v>
      </c>
      <c r="C6" t="s">
        <v>131</v>
      </c>
      <c r="D6" t="s">
        <v>170</v>
      </c>
      <c r="E6" t="s">
        <v>132</v>
      </c>
      <c r="F6"/>
      <c r="G6"/>
      <c r="H6"/>
      <c r="I6"/>
      <c r="J6"/>
      <c r="K6"/>
      <c r="L6" t="n">
        <v>1052.52257080247</v>
      </c>
      <c r="M6" t="n">
        <v>749.83828829863</v>
      </c>
      <c r="N6" t="n">
        <v>923.978787878788</v>
      </c>
      <c r="O6" t="n">
        <v>851.582758890804</v>
      </c>
      <c r="P6" t="n">
        <v>600.103927506913</v>
      </c>
      <c r="Q6" t="n">
        <v>525.06333894243</v>
      </c>
      <c r="R6" t="n">
        <v>538.245329376855</v>
      </c>
      <c r="S6" t="n">
        <v>698.240603520384</v>
      </c>
      <c r="T6" t="n">
        <v>508.702655361318</v>
      </c>
      <c r="U6" t="n">
        <v>502.67886</v>
      </c>
      <c r="V6" t="n">
        <v>259.936102236422</v>
      </c>
      <c r="W6" t="n">
        <v>312.762199322357</v>
      </c>
      <c r="X6" t="n">
        <v>437.73265743482</v>
      </c>
      <c r="Y6" t="n">
        <v>389.485446541782</v>
      </c>
      <c r="Z6" t="n">
        <v>405.326165685592</v>
      </c>
      <c r="AA6" t="n">
        <v>387.676044413136</v>
      </c>
      <c r="AB6" t="n">
        <v>415.61461262753</v>
      </c>
      <c r="AC6" t="n">
        <v>488.572345831104</v>
      </c>
      <c r="AD6"/>
      <c r="AE6"/>
      <c r="AF6"/>
    </row>
    <row r="7">
      <c r="A7" t="s">
        <v>12</v>
      </c>
      <c r="B7" t="s">
        <v>171</v>
      </c>
      <c r="C7" t="s">
        <v>131</v>
      </c>
      <c r="D7" t="s">
        <v>172</v>
      </c>
      <c r="E7" t="s">
        <v>132</v>
      </c>
      <c r="F7"/>
      <c r="G7"/>
      <c r="H7"/>
      <c r="I7"/>
      <c r="J7"/>
      <c r="K7"/>
      <c r="L7" t="n">
        <v>3016.5414024574</v>
      </c>
      <c r="M7" t="n">
        <v>4134.13108823806</v>
      </c>
      <c r="N7" t="n">
        <v>4081.95921860974</v>
      </c>
      <c r="O7" t="n">
        <v>4221.94376364338</v>
      </c>
      <c r="P7" t="n">
        <v>4636.37774165566</v>
      </c>
      <c r="Q7" t="n">
        <v>5704.3561462428</v>
      </c>
      <c r="R7" t="n">
        <v>5149.79568243147</v>
      </c>
      <c r="S7" t="n">
        <v>4421.27556003822</v>
      </c>
      <c r="T7" t="n">
        <v>2598.25434588812</v>
      </c>
      <c r="U7" t="n">
        <v>2553.605544</v>
      </c>
      <c r="V7" t="n">
        <v>1791.74350971769</v>
      </c>
      <c r="W7" t="n">
        <v>2341.02952705846</v>
      </c>
      <c r="X7" t="n">
        <v>1817.63675976837</v>
      </c>
      <c r="Y7" t="n">
        <v>2361.67554544557</v>
      </c>
      <c r="Z7" t="n">
        <v>2191.75781625656</v>
      </c>
      <c r="AA7" t="n">
        <v>2492.73163599801</v>
      </c>
      <c r="AB7" t="n">
        <v>2525.93631681965</v>
      </c>
      <c r="AC7" t="n">
        <v>2245.55356764344</v>
      </c>
      <c r="AD7"/>
      <c r="AE7"/>
      <c r="AF7"/>
    </row>
    <row r="8">
      <c r="A8" t="s">
        <v>12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</v>
      </c>
      <c r="B10" t="s">
        <v>177</v>
      </c>
      <c r="C10" t="s">
        <v>131</v>
      </c>
      <c r="D10" t="s">
        <v>178</v>
      </c>
      <c r="E10" t="s">
        <v>132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17243.2741707849</v>
      </c>
      <c r="M10" t="n">
        <v>25342.5727915359</v>
      </c>
      <c r="N10" t="n">
        <v>32380.989623066</v>
      </c>
      <c r="O10" t="n">
        <v>23764.5638690837</v>
      </c>
      <c r="P10" t="n">
        <v>24419.6345806143</v>
      </c>
      <c r="Q10" t="n">
        <v>26602.855218509</v>
      </c>
      <c r="R10" t="n">
        <v>25067.8888510831</v>
      </c>
      <c r="S10" t="n">
        <v>26658.0358875631</v>
      </c>
      <c r="T10" t="n">
        <v>36336.2148290121</v>
      </c>
      <c r="U10" t="n">
        <v>48806.203768</v>
      </c>
      <c r="V10" t="n">
        <v>33336.2633986482</v>
      </c>
      <c r="W10" t="n">
        <v>35460.4039634539</v>
      </c>
      <c r="X10" t="n">
        <v>34530.3376481313</v>
      </c>
      <c r="Y10" t="n">
        <v>47925.824251184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 t="n">
        <v>17243.2741707849</v>
      </c>
      <c r="M11" t="n">
        <v>25342.5727915359</v>
      </c>
      <c r="N11" t="n">
        <v>32380.989623066</v>
      </c>
      <c r="O11" t="n">
        <v>23764.5638690837</v>
      </c>
      <c r="P11" t="n">
        <v>24419.6345806143</v>
      </c>
      <c r="Q11" t="n">
        <v>26602.855218509</v>
      </c>
      <c r="R11" t="n">
        <v>25067.8888510831</v>
      </c>
      <c r="S11" t="n">
        <v>26658.0358875631</v>
      </c>
      <c r="T11" t="n">
        <v>36336.2148290121</v>
      </c>
      <c r="U11" t="n">
        <v>48806.203768</v>
      </c>
      <c r="V11" t="n">
        <v>33336.2633986482</v>
      </c>
      <c r="W11" t="n">
        <v>35460.4039634539</v>
      </c>
      <c r="X11" t="n">
        <v>34530.3376481313</v>
      </c>
      <c r="Y11" t="n">
        <v>47925.824251184</v>
      </c>
      <c r="Z11"/>
      <c r="AA11"/>
      <c r="AB11"/>
      <c r="AC11"/>
      <c r="AD11"/>
      <c r="AE11"/>
      <c r="AF11"/>
    </row>
    <row r="12">
      <c r="A12" t="s">
        <v>12</v>
      </c>
      <c r="B12" t="s">
        <v>181</v>
      </c>
      <c r="C12" t="s">
        <v>131</v>
      </c>
      <c r="D12" t="s">
        <v>182</v>
      </c>
      <c r="E12" t="s">
        <v>132</v>
      </c>
      <c r="F12"/>
      <c r="G12"/>
      <c r="H12"/>
      <c r="I12"/>
      <c r="J12"/>
      <c r="K12"/>
      <c r="L12" t="n">
        <v>3311.08480373527</v>
      </c>
      <c r="M12" t="n">
        <v>3317.00295151699</v>
      </c>
      <c r="N12" t="n">
        <v>3678.66826378378</v>
      </c>
      <c r="O12" t="n">
        <v>3864.46780653112</v>
      </c>
      <c r="P12" t="n">
        <v>4120.79493786606</v>
      </c>
      <c r="Q12" t="n">
        <v>4473.0307998653</v>
      </c>
      <c r="R12" t="n">
        <v>5323.23800778668</v>
      </c>
      <c r="S12" t="n">
        <v>4643.96615964218</v>
      </c>
      <c r="T12" t="n">
        <v>3168.38900424807</v>
      </c>
      <c r="U12" t="n">
        <v>2677.95465</v>
      </c>
      <c r="V12" t="n">
        <v>2424.90305403893</v>
      </c>
      <c r="W12" t="n">
        <v>2320.92409427683</v>
      </c>
      <c r="X12" t="n">
        <v>2334.85450189017</v>
      </c>
      <c r="Y12" t="n">
        <v>2980.52623569552</v>
      </c>
      <c r="Z12" t="n">
        <v>3352.11657113089</v>
      </c>
      <c r="AA12" t="n">
        <v>4010.70443802992</v>
      </c>
      <c r="AB12" t="n">
        <v>3973.95810229072</v>
      </c>
      <c r="AC12" t="n">
        <v>4489.18518033593</v>
      </c>
      <c r="AD12"/>
      <c r="AE12"/>
      <c r="AF12"/>
    </row>
    <row r="13">
      <c r="A13" t="s">
        <v>12</v>
      </c>
      <c r="B13" t="s">
        <v>183</v>
      </c>
      <c r="C13" t="s">
        <v>131</v>
      </c>
      <c r="D13" t="s">
        <v>184</v>
      </c>
      <c r="E13" t="s">
        <v>132</v>
      </c>
      <c r="F13"/>
      <c r="G13"/>
      <c r="H13"/>
      <c r="I13"/>
      <c r="J13"/>
      <c r="K13"/>
      <c r="L13" t="n">
        <v>2084.64378958964</v>
      </c>
      <c r="M13" t="n">
        <v>2296.65221674877</v>
      </c>
      <c r="N13" t="n">
        <v>2401.83269968608</v>
      </c>
      <c r="O13" t="n">
        <v>2533.26506580606</v>
      </c>
      <c r="P13" t="n">
        <v>3041.64760545541</v>
      </c>
      <c r="Q13" t="n">
        <v>3077.50747695889</v>
      </c>
      <c r="R13" t="n">
        <v>3932.88708147036</v>
      </c>
      <c r="S13" t="n">
        <v>4140.88577139355</v>
      </c>
      <c r="T13" t="n">
        <v>2323.55759630741</v>
      </c>
      <c r="U13" t="n">
        <v>2455.20323</v>
      </c>
      <c r="V13" t="n">
        <v>2166.63216725316</v>
      </c>
      <c r="W13" t="n">
        <v>1681.44144926511</v>
      </c>
      <c r="X13" t="n">
        <v>2530.66427693927</v>
      </c>
      <c r="Y13" t="n">
        <v>2677.26143150699</v>
      </c>
      <c r="Z13" t="n">
        <v>2938.93769054782</v>
      </c>
      <c r="AA13" t="n">
        <v>3664.26894408056</v>
      </c>
      <c r="AB13" t="n">
        <v>3955.59385672954</v>
      </c>
      <c r="AC13" t="n">
        <v>3117.4845362955</v>
      </c>
      <c r="AD13"/>
      <c r="AE13"/>
      <c r="AF13"/>
    </row>
    <row r="14">
      <c r="A14" t="s">
        <v>12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 t="n">
        <v>20517.8052318863</v>
      </c>
      <c r="M14" t="n">
        <v>26254.8269377971</v>
      </c>
      <c r="N14" t="n">
        <v>20021.982388886</v>
      </c>
      <c r="O14" t="n">
        <v>28406.3961407423</v>
      </c>
      <c r="P14" t="n">
        <v>28857.7554119846</v>
      </c>
      <c r="Q14" t="n">
        <v>34117.7256099184</v>
      </c>
      <c r="R14" t="n">
        <v>28206.587432929</v>
      </c>
      <c r="S14" t="n">
        <v>27316.8345128686</v>
      </c>
      <c r="T14" t="n">
        <v>11782.72402418</v>
      </c>
      <c r="U14" t="n">
        <v>8864.746774</v>
      </c>
      <c r="V14" t="n">
        <v>6439.023335903</v>
      </c>
      <c r="W14" t="n">
        <v>11770.6883157092</v>
      </c>
      <c r="X14" t="n">
        <v>11000.6980936675</v>
      </c>
      <c r="Y14" t="n">
        <v>12222.1533146485</v>
      </c>
      <c r="Z14"/>
      <c r="AA14"/>
      <c r="AB14"/>
      <c r="AC14"/>
      <c r="AD14"/>
      <c r="AE14"/>
      <c r="AF14"/>
    </row>
    <row r="15">
      <c r="A15" t="s">
        <v>12</v>
      </c>
      <c r="B15" t="s">
        <v>187</v>
      </c>
      <c r="C15" t="s">
        <v>131</v>
      </c>
      <c r="D15" t="s">
        <v>188</v>
      </c>
      <c r="E15" t="s">
        <v>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22000.4365922677</v>
      </c>
      <c r="M15" t="n">
        <v>28030.8659707115</v>
      </c>
      <c r="N15" t="n">
        <v>21026.9447537473</v>
      </c>
      <c r="O15" t="n">
        <v>28926.4195857328</v>
      </c>
      <c r="P15" t="n">
        <v>29676.0991795084</v>
      </c>
      <c r="Q15" t="n">
        <v>35206.1368853946</v>
      </c>
      <c r="R15" t="n">
        <v>29680.9807681092</v>
      </c>
      <c r="S15" t="n">
        <v>28942.5273020873</v>
      </c>
      <c r="T15" t="n">
        <v>12154.9428309996</v>
      </c>
      <c r="U15" t="n">
        <v>9244.193814</v>
      </c>
      <c r="V15" t="n">
        <v>6982.32696200981</v>
      </c>
      <c r="W15" t="n">
        <v>12483.1698983946</v>
      </c>
      <c r="X15" t="n">
        <v>11822.3677395626</v>
      </c>
      <c r="Y15" t="n">
        <v>13034.5616881019</v>
      </c>
      <c r="Z15" t="n">
        <v>1129.98191979793</v>
      </c>
      <c r="AA15" t="n">
        <v>1659.02833138037</v>
      </c>
      <c r="AB15" t="n">
        <v>1576.87077679422</v>
      </c>
      <c r="AC15" t="n">
        <v>1004.26208473243</v>
      </c>
      <c r="AD15" t="n">
        <v>0</v>
      </c>
      <c r="AE15" t="n">
        <v>0</v>
      </c>
      <c r="AF15" t="n">
        <v>0</v>
      </c>
    </row>
    <row r="16">
      <c r="A16" t="s">
        <v>12</v>
      </c>
      <c r="B16" t="s">
        <v>189</v>
      </c>
      <c r="C16" t="s">
        <v>131</v>
      </c>
      <c r="D16" t="s">
        <v>190</v>
      </c>
      <c r="E16" t="s">
        <v>132</v>
      </c>
      <c r="F16"/>
      <c r="G16"/>
      <c r="H16"/>
      <c r="I16"/>
      <c r="J16"/>
      <c r="K16"/>
      <c r="L16" t="n">
        <v>1482.63136038143</v>
      </c>
      <c r="M16" t="n">
        <v>1776.03903291435</v>
      </c>
      <c r="N16" t="n">
        <v>1004.96236486134</v>
      </c>
      <c r="O16" t="n">
        <v>520.023444990503</v>
      </c>
      <c r="P16" t="n">
        <v>818.343767523745</v>
      </c>
      <c r="Q16" t="n">
        <v>1088.41127547626</v>
      </c>
      <c r="R16" t="n">
        <v>1474.39333518022</v>
      </c>
      <c r="S16" t="n">
        <v>1625.69278921872</v>
      </c>
      <c r="T16" t="n">
        <v>372.218806819524</v>
      </c>
      <c r="U16" t="n">
        <v>379.44704</v>
      </c>
      <c r="V16" t="n">
        <v>543.303626106816</v>
      </c>
      <c r="W16" t="n">
        <v>712.481582685376</v>
      </c>
      <c r="X16" t="n">
        <v>821.669645895149</v>
      </c>
      <c r="Y16" t="n">
        <v>812.408373453339</v>
      </c>
      <c r="Z16" t="n">
        <v>1129.98191979793</v>
      </c>
      <c r="AA16" t="n">
        <v>1659.02833138037</v>
      </c>
      <c r="AB16" t="n">
        <v>1576.87077679422</v>
      </c>
      <c r="AC16" t="n">
        <v>1004.26208473243</v>
      </c>
      <c r="AD16"/>
      <c r="AE16"/>
      <c r="AF16"/>
    </row>
    <row r="17">
      <c r="A17" t="s">
        <v>12</v>
      </c>
      <c r="B17" t="s">
        <v>191</v>
      </c>
      <c r="C17" t="s">
        <v>131</v>
      </c>
      <c r="D17" t="s">
        <v>192</v>
      </c>
      <c r="E17" t="s">
        <v>132</v>
      </c>
      <c r="F17"/>
      <c r="G17"/>
      <c r="H17"/>
      <c r="I17"/>
      <c r="J17"/>
      <c r="K17"/>
      <c r="L17" t="n">
        <v>1378.39112572708</v>
      </c>
      <c r="M17" t="n">
        <v>1610.9001071301</v>
      </c>
      <c r="N17" t="n">
        <v>2838.27463229746</v>
      </c>
      <c r="O17" t="n">
        <v>2148.84342692677</v>
      </c>
      <c r="P17" t="n">
        <v>3040.67843665611</v>
      </c>
      <c r="Q17" t="n">
        <v>3449.37929932167</v>
      </c>
      <c r="R17" t="n">
        <v>3449.24637618415</v>
      </c>
      <c r="S17" t="n">
        <v>3301.52270376629</v>
      </c>
      <c r="T17" t="n">
        <v>2844.08465163947</v>
      </c>
      <c r="U17" t="n">
        <v>2697.605554</v>
      </c>
      <c r="V17" t="n">
        <v>1766.80211998073</v>
      </c>
      <c r="W17" t="n">
        <v>2510.03560803826</v>
      </c>
      <c r="X17" t="n">
        <v>2422.02179057973</v>
      </c>
      <c r="Y17" t="n">
        <v>2878.9050639112</v>
      </c>
      <c r="Z17"/>
      <c r="AA17"/>
      <c r="AB17"/>
      <c r="AC17"/>
      <c r="AD17"/>
      <c r="AE17"/>
      <c r="AF17"/>
    </row>
    <row r="18">
      <c r="A18" t="s">
        <v>12</v>
      </c>
      <c r="B18" t="s">
        <v>193</v>
      </c>
      <c r="C18" t="s">
        <v>131</v>
      </c>
      <c r="D18" t="s">
        <v>194</v>
      </c>
      <c r="E18" t="s">
        <v>132</v>
      </c>
      <c r="F18"/>
      <c r="G18"/>
      <c r="H18"/>
      <c r="I18"/>
      <c r="J18"/>
      <c r="K18"/>
      <c r="L18" t="n">
        <v>1067.20862917023</v>
      </c>
      <c r="M18" t="n">
        <v>1067.19209998457</v>
      </c>
      <c r="N18" t="n">
        <v>874.385365778422</v>
      </c>
      <c r="O18" t="n">
        <v>1546.36953245254</v>
      </c>
      <c r="P18" t="n">
        <v>1061.95114474781</v>
      </c>
      <c r="Q18" t="n">
        <v>1379.31381333991</v>
      </c>
      <c r="R18" t="n">
        <v>1487.09845963798</v>
      </c>
      <c r="S18" t="n">
        <v>1582.11097016678</v>
      </c>
      <c r="T18" t="n">
        <v>953.268048780488</v>
      </c>
      <c r="U18" t="n">
        <v>910.71783</v>
      </c>
      <c r="V18" t="n">
        <v>504.002409777544</v>
      </c>
      <c r="W18" t="n">
        <v>771.194323969847</v>
      </c>
      <c r="X18" t="n">
        <v>742.25923010654</v>
      </c>
      <c r="Y18" t="n">
        <v>694.692637591038</v>
      </c>
      <c r="Z18"/>
      <c r="AA18" t="n">
        <v>909.755199846771</v>
      </c>
      <c r="AB18" t="n">
        <v>1011.79326016284</v>
      </c>
      <c r="AC18"/>
      <c r="AD18"/>
      <c r="AE18"/>
      <c r="AF18"/>
    </row>
    <row r="19">
      <c r="A19" t="s">
        <v>12</v>
      </c>
      <c r="B19" t="s">
        <v>195</v>
      </c>
      <c r="C19" t="s">
        <v>131</v>
      </c>
      <c r="D19" t="s">
        <v>196</v>
      </c>
      <c r="E19" t="s">
        <v>132</v>
      </c>
      <c r="F19"/>
      <c r="G19"/>
      <c r="H19"/>
      <c r="I19"/>
      <c r="J19"/>
      <c r="K19"/>
      <c r="L19" t="n">
        <v>4752.9408982598</v>
      </c>
      <c r="M19" t="n">
        <v>5012.53253111544</v>
      </c>
      <c r="N19" t="n">
        <v>5211.08938185231</v>
      </c>
      <c r="O19" t="n">
        <v>7204.8178822948</v>
      </c>
      <c r="P19" t="n">
        <v>11668.1447215969</v>
      </c>
      <c r="Q19" t="n">
        <v>7529.71227092073</v>
      </c>
      <c r="R19" t="n">
        <v>9438.85872364352</v>
      </c>
      <c r="S19" t="n">
        <v>9816.0491270808</v>
      </c>
      <c r="T19" t="n">
        <v>6069.71091286307</v>
      </c>
      <c r="U19" t="n">
        <v>3980.9585</v>
      </c>
      <c r="V19" t="n">
        <v>4517.17025397175</v>
      </c>
      <c r="W19" t="n">
        <v>14022.3652446921</v>
      </c>
      <c r="X19" t="n">
        <v>7611.41529699813</v>
      </c>
      <c r="Y19" t="n">
        <v>12543.4692989229</v>
      </c>
      <c r="Z19" t="n">
        <v>610.726610384424</v>
      </c>
      <c r="AA19" t="n">
        <v>665.04423968878</v>
      </c>
      <c r="AB19" t="n">
        <v>892.569667995618</v>
      </c>
      <c r="AC19" t="n">
        <v>727.047944992263</v>
      </c>
      <c r="AD19"/>
      <c r="AE19"/>
      <c r="AF19"/>
    </row>
    <row r="20">
      <c r="A20" t="s">
        <v>12</v>
      </c>
      <c r="B20" t="s">
        <v>197</v>
      </c>
      <c r="C20" t="s">
        <v>131</v>
      </c>
      <c r="D20" t="s">
        <v>198</v>
      </c>
      <c r="E20" t="s">
        <v>132</v>
      </c>
      <c r="F20"/>
      <c r="G20"/>
      <c r="H20"/>
      <c r="I20"/>
      <c r="J20"/>
      <c r="K20"/>
      <c r="L20" t="n">
        <v>2471.08396133335</v>
      </c>
      <c r="M20" t="n">
        <v>2977.00830055943</v>
      </c>
      <c r="N20" t="n">
        <v>2784.7137040565</v>
      </c>
      <c r="O20" t="n">
        <v>3686.28360985769</v>
      </c>
      <c r="P20" t="n">
        <v>5164.678469285</v>
      </c>
      <c r="Q20" t="n">
        <v>5102.15727652423</v>
      </c>
      <c r="R20" t="n">
        <v>5228.46404974155</v>
      </c>
      <c r="S20" t="n">
        <v>6961.29956039637</v>
      </c>
      <c r="T20" t="n">
        <v>5493.69005751849</v>
      </c>
      <c r="U20" t="n">
        <v>6329.95776</v>
      </c>
      <c r="V20" t="n">
        <v>4263.34388450652</v>
      </c>
      <c r="W20" t="n">
        <v>6183.19084861923</v>
      </c>
      <c r="X20" t="n">
        <v>6463.84936854857</v>
      </c>
      <c r="Y20" t="n">
        <v>8302.09252749995</v>
      </c>
      <c r="Z20" t="n">
        <v>6010.035260222</v>
      </c>
      <c r="AA20" t="n">
        <v>6352.1890618395</v>
      </c>
      <c r="AB20" t="n">
        <v>5550.72248220811</v>
      </c>
      <c r="AC20" t="n">
        <v>6778.02215111911</v>
      </c>
      <c r="AD20"/>
      <c r="AE20"/>
      <c r="AF20"/>
    </row>
    <row r="21">
      <c r="A21" t="s">
        <v>12</v>
      </c>
      <c r="B21" t="s">
        <v>199</v>
      </c>
      <c r="C21" t="s">
        <v>131</v>
      </c>
      <c r="D21" t="s">
        <v>200</v>
      </c>
      <c r="E21" t="s">
        <v>132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3946.85924126095</v>
      </c>
      <c r="M21" t="n">
        <v>4672.70111154812</v>
      </c>
      <c r="N21" t="n">
        <v>4802.9871670775</v>
      </c>
      <c r="O21" t="n">
        <v>5304.04508193312</v>
      </c>
      <c r="P21" t="n">
        <v>7435.08597514895</v>
      </c>
      <c r="Q21" t="n">
        <v>7521.39692777517</v>
      </c>
      <c r="R21" t="n">
        <v>8357.92839462068</v>
      </c>
      <c r="S21" t="n">
        <v>10349.6344253451</v>
      </c>
      <c r="T21" t="n">
        <v>8430.30369818915</v>
      </c>
      <c r="U21" t="n">
        <v>7982.927893</v>
      </c>
      <c r="V21" t="n">
        <v>6886.38648795329</v>
      </c>
      <c r="W21" t="n">
        <v>7985.32116055736</v>
      </c>
      <c r="X21" t="n">
        <v>8785.17027559578</v>
      </c>
      <c r="Y21" t="n">
        <v>10442.7847571985</v>
      </c>
      <c r="Z21" t="n">
        <v>7209.74474325768</v>
      </c>
      <c r="AA21" t="n">
        <v>8736.35257588015</v>
      </c>
      <c r="AB21" t="n">
        <v>8032.7879490692</v>
      </c>
      <c r="AC21" t="n">
        <v>9097.81765930502</v>
      </c>
      <c r="AD21" t="n">
        <v>0</v>
      </c>
      <c r="AE21" t="n">
        <v>0</v>
      </c>
      <c r="AF21" t="n">
        <v>0</v>
      </c>
    </row>
    <row r="22">
      <c r="A22" t="s">
        <v>12</v>
      </c>
      <c r="B22" t="s">
        <v>201</v>
      </c>
      <c r="C22" t="s">
        <v>131</v>
      </c>
      <c r="D22" t="s">
        <v>202</v>
      </c>
      <c r="E22" t="s">
        <v>132</v>
      </c>
      <c r="F22"/>
      <c r="G22"/>
      <c r="H22"/>
      <c r="I22"/>
      <c r="J22"/>
      <c r="K22"/>
      <c r="L22" t="n">
        <v>1475.7752799276</v>
      </c>
      <c r="M22" t="n">
        <v>1695.69281098869</v>
      </c>
      <c r="N22" t="n">
        <v>2018.27346302099</v>
      </c>
      <c r="O22" t="n">
        <v>1617.76147207543</v>
      </c>
      <c r="P22" t="n">
        <v>2270.40750586396</v>
      </c>
      <c r="Q22" t="n">
        <v>2419.23965125095</v>
      </c>
      <c r="R22" t="n">
        <v>3129.46434487912</v>
      </c>
      <c r="S22" t="n">
        <v>3388.33486494877</v>
      </c>
      <c r="T22" t="n">
        <v>2936.61364067066</v>
      </c>
      <c r="U22" t="n">
        <v>1652.970133</v>
      </c>
      <c r="V22" t="n">
        <v>2623.04260344677</v>
      </c>
      <c r="W22" t="n">
        <v>1802.13031193813</v>
      </c>
      <c r="X22" t="n">
        <v>2321.32090704721</v>
      </c>
      <c r="Y22" t="n">
        <v>2140.69222969859</v>
      </c>
      <c r="Z22" t="n">
        <v>1199.70948303569</v>
      </c>
      <c r="AA22" t="n">
        <v>2384.16351404065</v>
      </c>
      <c r="AB22" t="n">
        <v>2482.06546686109</v>
      </c>
      <c r="AC22" t="n">
        <v>2319.79550818591</v>
      </c>
      <c r="AD22"/>
      <c r="AE22"/>
      <c r="AF22"/>
    </row>
    <row r="23">
      <c r="A23" t="s">
        <v>12</v>
      </c>
      <c r="B23" t="s">
        <v>203</v>
      </c>
      <c r="C23" t="s">
        <v>131</v>
      </c>
      <c r="D23" t="s">
        <v>204</v>
      </c>
      <c r="E23" t="s">
        <v>132</v>
      </c>
      <c r="F23"/>
      <c r="G23"/>
      <c r="H23"/>
      <c r="I23"/>
      <c r="J23"/>
      <c r="K23"/>
      <c r="L23" t="n">
        <v>21634.1388448207</v>
      </c>
      <c r="M23" t="n">
        <v>24754.0196322908</v>
      </c>
      <c r="N23" t="n">
        <v>26895.6691514802</v>
      </c>
      <c r="O23" t="n">
        <v>31428.6298362669</v>
      </c>
      <c r="P23" t="n">
        <v>35950.9022306975</v>
      </c>
      <c r="Q23" t="n">
        <v>42200.3628685556</v>
      </c>
      <c r="R23" t="n">
        <v>54334.7686404167</v>
      </c>
      <c r="S23" t="n">
        <v>56625.026512107</v>
      </c>
      <c r="T23" t="n">
        <v>33259.978381237</v>
      </c>
      <c r="U23" t="n">
        <v>15942.822652</v>
      </c>
      <c r="V23" t="n">
        <v>7957.66580891508</v>
      </c>
      <c r="W23" t="n">
        <v>9008.25209700263</v>
      </c>
      <c r="X23" t="n">
        <v>7597.76414807551</v>
      </c>
      <c r="Y23" t="n">
        <v>13247.3357725877</v>
      </c>
      <c r="Z23" t="n">
        <v>14694.7069329217</v>
      </c>
      <c r="AA23" t="n">
        <v>18379.1240571745</v>
      </c>
      <c r="AB23" t="n">
        <v>23489.841363213</v>
      </c>
      <c r="AC23" t="n">
        <v>28039.1764145068</v>
      </c>
      <c r="AD23"/>
      <c r="AE23"/>
      <c r="AF23"/>
    </row>
    <row r="24">
      <c r="A24" t="s">
        <v>12</v>
      </c>
      <c r="B24" t="s">
        <v>205</v>
      </c>
      <c r="C24" t="s">
        <v>131</v>
      </c>
      <c r="D24" t="s">
        <v>206</v>
      </c>
      <c r="E24" t="s">
        <v>132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15965.4514247402</v>
      </c>
      <c r="M24" t="n">
        <v>16189.7682902183</v>
      </c>
      <c r="N24" t="n">
        <v>17827.5729423674</v>
      </c>
      <c r="O24" t="n">
        <v>22006.0622623312</v>
      </c>
      <c r="P24" t="n">
        <v>21671.9609172312</v>
      </c>
      <c r="Q24" t="n">
        <v>28861.8165845996</v>
      </c>
      <c r="R24" t="n">
        <v>34170.8162712391</v>
      </c>
      <c r="S24" t="n">
        <v>32797.3333597056</v>
      </c>
      <c r="T24" t="n">
        <v>31283.3476765638</v>
      </c>
      <c r="U24" t="n">
        <v>30720.773061</v>
      </c>
      <c r="V24" t="n">
        <v>32347.9284326159</v>
      </c>
      <c r="W24" t="n">
        <v>33837.5610776676</v>
      </c>
      <c r="X24" t="n">
        <v>33778.8765466265</v>
      </c>
      <c r="Y24" t="n">
        <v>36240.7245592743</v>
      </c>
      <c r="Z24" t="n">
        <v>34112.0987927546</v>
      </c>
      <c r="AA24" t="n">
        <v>46504.0672331468</v>
      </c>
      <c r="AB24" t="n">
        <v>43001.7415927793</v>
      </c>
      <c r="AC24" t="n">
        <v>49497.6787323075</v>
      </c>
      <c r="AD24" t="n">
        <v>0</v>
      </c>
      <c r="AE24" t="n">
        <v>0</v>
      </c>
      <c r="AF24" t="n">
        <v>0</v>
      </c>
    </row>
    <row r="25">
      <c r="A25" t="s">
        <v>12</v>
      </c>
      <c r="B25" t="s">
        <v>207</v>
      </c>
      <c r="C25" t="s">
        <v>131</v>
      </c>
      <c r="D25" t="s">
        <v>208</v>
      </c>
      <c r="E25" t="s">
        <v>132</v>
      </c>
      <c r="F25"/>
      <c r="G25"/>
      <c r="H25"/>
      <c r="I25"/>
      <c r="J25"/>
      <c r="K25"/>
      <c r="L25" t="n">
        <v>1827.52079701643</v>
      </c>
      <c r="M25" t="n">
        <v>1631.00408245756</v>
      </c>
      <c r="N25" t="n">
        <v>1517.09972079157</v>
      </c>
      <c r="O25" t="n">
        <v>2303.78093138606</v>
      </c>
      <c r="P25" t="n">
        <v>1939.38216515848</v>
      </c>
      <c r="Q25" t="n">
        <v>2531.29266264905</v>
      </c>
      <c r="R25" t="n">
        <v>3111.20075689208</v>
      </c>
      <c r="S25" t="n">
        <v>2779.66479296145</v>
      </c>
      <c r="T25" t="n">
        <v>2237.61816754834</v>
      </c>
      <c r="U25" t="n">
        <v>2067.647175</v>
      </c>
      <c r="V25" t="n">
        <v>1370.76539875733</v>
      </c>
      <c r="W25" t="n">
        <v>1705.10771628371</v>
      </c>
      <c r="X25" t="n">
        <v>1865.22882557511</v>
      </c>
      <c r="Y25" t="n">
        <v>1957.70401590452</v>
      </c>
      <c r="Z25" t="n">
        <v>2056.90913411304</v>
      </c>
      <c r="AA25" t="n">
        <v>2519.66488524111</v>
      </c>
      <c r="AB25" t="n">
        <v>2740.72685941785</v>
      </c>
      <c r="AC25" t="n">
        <v>3503.6802541856</v>
      </c>
      <c r="AD25"/>
      <c r="AE25"/>
      <c r="AF25"/>
    </row>
    <row r="26">
      <c r="A26" t="s">
        <v>12</v>
      </c>
      <c r="B26" t="s">
        <v>209</v>
      </c>
      <c r="C26" t="s">
        <v>131</v>
      </c>
      <c r="D26" t="s">
        <v>210</v>
      </c>
      <c r="E26" t="s">
        <v>132</v>
      </c>
      <c r="F26"/>
      <c r="G26"/>
      <c r="H26"/>
      <c r="I26"/>
      <c r="J26"/>
      <c r="K26"/>
      <c r="L26" t="n">
        <v>6883.2605640295</v>
      </c>
      <c r="M26" t="n">
        <v>7848.00894300727</v>
      </c>
      <c r="N26" t="n">
        <v>8736.24696708455</v>
      </c>
      <c r="O26" t="n">
        <v>10015.1588157365</v>
      </c>
      <c r="P26" t="n">
        <v>11292.4397820628</v>
      </c>
      <c r="Q26" t="n">
        <v>14735.091935069</v>
      </c>
      <c r="R26" t="n">
        <v>15605.9663687617</v>
      </c>
      <c r="S26" t="n">
        <v>15585.160160331</v>
      </c>
      <c r="T26" t="n">
        <v>13281.2465115331</v>
      </c>
      <c r="U26" t="n">
        <v>16455.626352</v>
      </c>
      <c r="V26" t="n">
        <v>19430.2163261955</v>
      </c>
      <c r="W26" t="n">
        <v>20035.7605088416</v>
      </c>
      <c r="X26" t="n">
        <v>19143.0811593252</v>
      </c>
      <c r="Y26" t="n">
        <v>20296.5628761209</v>
      </c>
      <c r="Z26" t="n">
        <v>20258.9268503388</v>
      </c>
      <c r="AA26" t="n">
        <v>28722.0512384904</v>
      </c>
      <c r="AB26" t="n">
        <v>24441.848778464</v>
      </c>
      <c r="AC26" t="n">
        <v>30110.7333288268</v>
      </c>
      <c r="AD26"/>
      <c r="AE26"/>
      <c r="AF26"/>
    </row>
    <row r="27">
      <c r="A27" t="s">
        <v>12</v>
      </c>
      <c r="B27" t="s">
        <v>211</v>
      </c>
      <c r="C27" t="s">
        <v>131</v>
      </c>
      <c r="D27" t="s">
        <v>212</v>
      </c>
      <c r="E27" t="s">
        <v>132</v>
      </c>
      <c r="F27"/>
      <c r="G27"/>
      <c r="H27"/>
      <c r="I27"/>
      <c r="J27"/>
      <c r="K27"/>
      <c r="L27" t="n">
        <v>7254.67006369427</v>
      </c>
      <c r="M27" t="n">
        <v>6710.75526475343</v>
      </c>
      <c r="N27" t="n">
        <v>7574.22625449125</v>
      </c>
      <c r="O27" t="n">
        <v>9687.12251520868</v>
      </c>
      <c r="P27" t="n">
        <v>8440.13897000995</v>
      </c>
      <c r="Q27" t="n">
        <v>11595.4319868815</v>
      </c>
      <c r="R27" t="n">
        <v>15453.6491455853</v>
      </c>
      <c r="S27" t="n">
        <v>14432.5084064132</v>
      </c>
      <c r="T27" t="n">
        <v>15764.4829974824</v>
      </c>
      <c r="U27" t="n">
        <v>12197.499534</v>
      </c>
      <c r="V27" t="n">
        <v>11546.9467076631</v>
      </c>
      <c r="W27" t="n">
        <v>12096.6928525423</v>
      </c>
      <c r="X27" t="n">
        <v>12770.5665617262</v>
      </c>
      <c r="Y27" t="n">
        <v>13986.4576672489</v>
      </c>
      <c r="Z27" t="n">
        <v>11796.2628083027</v>
      </c>
      <c r="AA27" t="n">
        <v>15262.3511094152</v>
      </c>
      <c r="AB27" t="n">
        <v>15819.1659548975</v>
      </c>
      <c r="AC27" t="n">
        <v>15883.2651492951</v>
      </c>
      <c r="AD27"/>
      <c r="AE27"/>
      <c r="AF27"/>
    </row>
    <row r="28">
      <c r="A28" t="s">
        <v>12</v>
      </c>
      <c r="B28" t="s">
        <v>213</v>
      </c>
      <c r="C28" t="s">
        <v>131</v>
      </c>
      <c r="D28" t="s">
        <v>214</v>
      </c>
      <c r="E28" t="s">
        <v>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6173.22096774194</v>
      </c>
      <c r="M28" t="n">
        <v>6425.89302028244</v>
      </c>
      <c r="N28" t="n">
        <v>6967.89548424633</v>
      </c>
      <c r="O28" t="n">
        <v>8129.37897505153</v>
      </c>
      <c r="P28" t="n">
        <v>9458.84951136123</v>
      </c>
      <c r="Q28" t="n">
        <v>10323.0421956021</v>
      </c>
      <c r="R28" t="n">
        <v>11149.2368612358</v>
      </c>
      <c r="S28" t="n">
        <v>14557.6203717066</v>
      </c>
      <c r="T28" t="n">
        <v>9973.0341234526</v>
      </c>
      <c r="U28" t="n">
        <v>12647.353088</v>
      </c>
      <c r="V28" t="n">
        <v>11377.6238027308</v>
      </c>
      <c r="W28" t="n">
        <v>18655.163250145</v>
      </c>
      <c r="X28" t="n">
        <v>13978.5670219952</v>
      </c>
      <c r="Y28" t="n">
        <v>15143.9413628606</v>
      </c>
      <c r="Z28" t="n">
        <v>6397.4806107272</v>
      </c>
      <c r="AA28" t="n">
        <v>6572.09356393634</v>
      </c>
      <c r="AB28" t="n">
        <v>5651.86981913397</v>
      </c>
      <c r="AC28" t="n">
        <v>7576.37044159863</v>
      </c>
      <c r="AD28" t="n">
        <v>0</v>
      </c>
      <c r="AE28" t="n">
        <v>0</v>
      </c>
      <c r="AF28" t="n">
        <v>0</v>
      </c>
    </row>
    <row r="29">
      <c r="A29" t="s">
        <v>12</v>
      </c>
      <c r="B29" t="s">
        <v>215</v>
      </c>
      <c r="C29" t="s">
        <v>131</v>
      </c>
      <c r="D29" t="s">
        <v>216</v>
      </c>
      <c r="E29" t="s">
        <v>132</v>
      </c>
      <c r="F29"/>
      <c r="G29"/>
      <c r="H29"/>
      <c r="I29"/>
      <c r="J29"/>
      <c r="K29"/>
      <c r="L29" t="n">
        <v>2838.8122891388</v>
      </c>
      <c r="M29" t="n">
        <v>2855.03604347068</v>
      </c>
      <c r="N29" t="n">
        <v>2876.53540547798</v>
      </c>
      <c r="O29" t="n">
        <v>3815.90225318075</v>
      </c>
      <c r="P29" t="n">
        <v>4094.48722277692</v>
      </c>
      <c r="Q29" t="n">
        <v>3708.9544027271</v>
      </c>
      <c r="R29" t="n">
        <v>4300.81783583105</v>
      </c>
      <c r="S29" t="n">
        <v>5433.17769584118</v>
      </c>
      <c r="T29" t="n">
        <v>3251.64203353662</v>
      </c>
      <c r="U29" t="n">
        <v>4895.339858</v>
      </c>
      <c r="V29" t="n">
        <v>4279.41530651944</v>
      </c>
      <c r="W29" t="n">
        <v>8385.53985247545</v>
      </c>
      <c r="X29" t="n">
        <v>3429.84426682446</v>
      </c>
      <c r="Y29" t="n">
        <v>4327.55838722511</v>
      </c>
      <c r="Z29" t="n">
        <v>4670.74199524363</v>
      </c>
      <c r="AA29" t="n">
        <v>4875.05420932309</v>
      </c>
      <c r="AB29" t="n">
        <v>3981.29542834118</v>
      </c>
      <c r="AC29" t="n">
        <v>5991.27139832837</v>
      </c>
      <c r="AD29"/>
      <c r="AE29"/>
      <c r="AF29"/>
    </row>
    <row r="30">
      <c r="A30" t="s">
        <v>12</v>
      </c>
      <c r="B30" t="s">
        <v>217</v>
      </c>
      <c r="C30" t="s">
        <v>131</v>
      </c>
      <c r="D30" t="s">
        <v>218</v>
      </c>
      <c r="E30" t="s">
        <v>132</v>
      </c>
      <c r="F30"/>
      <c r="G30"/>
      <c r="H30"/>
      <c r="I30"/>
      <c r="J30"/>
      <c r="K30"/>
      <c r="L30" t="n">
        <v>321.169939331163</v>
      </c>
      <c r="M30" t="n">
        <v>387.79852385657</v>
      </c>
      <c r="N30" t="n">
        <v>404.684859470104</v>
      </c>
      <c r="O30" t="n">
        <v>472.084298812993</v>
      </c>
      <c r="P30" t="n">
        <v>243.230964267344</v>
      </c>
      <c r="Q30" t="n">
        <v>427.815901670828</v>
      </c>
      <c r="R30" t="n">
        <v>487.755834159426</v>
      </c>
      <c r="S30" t="n">
        <v>342.986036361076</v>
      </c>
      <c r="T30" t="n">
        <v>411.897621154989</v>
      </c>
      <c r="U30" t="n">
        <v>316.299295</v>
      </c>
      <c r="V30" t="n">
        <v>234.729607054857</v>
      </c>
      <c r="W30" t="n">
        <v>202.447842812025</v>
      </c>
      <c r="X30" t="n">
        <v>467.267277533297</v>
      </c>
      <c r="Y30" t="n">
        <v>560.521931417766</v>
      </c>
      <c r="Z30" t="n">
        <v>523.666038015542</v>
      </c>
      <c r="AA30" t="n">
        <v>527.589304402506</v>
      </c>
      <c r="AB30" t="n">
        <v>542.222620452193</v>
      </c>
      <c r="AC30" t="n">
        <v>533.331413157268</v>
      </c>
      <c r="AD30"/>
      <c r="AE30"/>
      <c r="AF30"/>
    </row>
    <row r="31">
      <c r="A31" t="s">
        <v>12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 t="n">
        <v>787.734914175792</v>
      </c>
      <c r="M31" t="n">
        <v>1117.60125530307</v>
      </c>
      <c r="N31" t="n">
        <v>1270.50253311851</v>
      </c>
      <c r="O31" t="n">
        <v>1553.39159855</v>
      </c>
      <c r="P31" t="n">
        <v>1799.9261625972</v>
      </c>
      <c r="Q31" t="n">
        <v>2479.0630281352</v>
      </c>
      <c r="R31" t="n">
        <v>3000.62142398974</v>
      </c>
      <c r="S31" t="n">
        <v>3426.60072862951</v>
      </c>
      <c r="T31" t="n">
        <v>2915.93754986239</v>
      </c>
      <c r="U31" t="n">
        <v>3770.106147</v>
      </c>
      <c r="V31" t="n">
        <v>3772.99590566352</v>
      </c>
      <c r="W31" t="n">
        <v>6600.9960857303</v>
      </c>
      <c r="X31" t="n">
        <v>6684.8476513313</v>
      </c>
      <c r="Y31" t="n">
        <v>6659.4474491204</v>
      </c>
      <c r="Z31"/>
      <c r="AA31"/>
      <c r="AB31"/>
      <c r="AC31"/>
      <c r="AD31"/>
      <c r="AE31"/>
      <c r="AF31"/>
    </row>
    <row r="32">
      <c r="A32" t="s">
        <v>12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 t="n">
        <v>1425.79146936964</v>
      </c>
      <c r="M32" t="n">
        <v>1248.7002498983</v>
      </c>
      <c r="N32" t="n">
        <v>1683.65843626924</v>
      </c>
      <c r="O32" t="n">
        <v>1556.09149193262</v>
      </c>
      <c r="P32" t="n">
        <v>2233.43406250946</v>
      </c>
      <c r="Q32" t="n">
        <v>2388.1362804878</v>
      </c>
      <c r="R32" t="n">
        <v>2053.28688553268</v>
      </c>
      <c r="S32" t="n">
        <v>3799.28566148647</v>
      </c>
      <c r="T32" t="n">
        <v>2437.49149217358</v>
      </c>
      <c r="U32" t="n">
        <v>2353.976057</v>
      </c>
      <c r="V32" t="n">
        <v>2001.31537506716</v>
      </c>
      <c r="W32" t="n">
        <v>2298.37884627262</v>
      </c>
      <c r="X32" t="n">
        <v>2269.99281677914</v>
      </c>
      <c r="Y32" t="n">
        <v>2443.78761351752</v>
      </c>
      <c r="Z32"/>
      <c r="AA32"/>
      <c r="AB32"/>
      <c r="AC32"/>
      <c r="AD32"/>
      <c r="AE32"/>
      <c r="AF32"/>
    </row>
    <row r="33">
      <c r="A33" t="s">
        <v>12</v>
      </c>
      <c r="B33" t="s">
        <v>223</v>
      </c>
      <c r="C33" t="s">
        <v>131</v>
      </c>
      <c r="D33" t="s">
        <v>224</v>
      </c>
      <c r="E33" t="s">
        <v>132</v>
      </c>
      <c r="F33"/>
      <c r="G33"/>
      <c r="H33"/>
      <c r="I33"/>
      <c r="J33"/>
      <c r="K33"/>
      <c r="L33" t="n">
        <v>799.712355726546</v>
      </c>
      <c r="M33" t="n">
        <v>816.756947753821</v>
      </c>
      <c r="N33" t="n">
        <v>732.51424991049</v>
      </c>
      <c r="O33" t="n">
        <v>731.909332575165</v>
      </c>
      <c r="P33" t="n">
        <v>1087.77109921031</v>
      </c>
      <c r="Q33" t="n">
        <v>1319.07258258114</v>
      </c>
      <c r="R33" t="n">
        <v>1306.75488172294</v>
      </c>
      <c r="S33" t="n">
        <v>1555.57024938841</v>
      </c>
      <c r="T33" t="n">
        <v>956.065426725026</v>
      </c>
      <c r="U33" t="n">
        <v>1311.631731</v>
      </c>
      <c r="V33" t="n">
        <v>1089.16760842581</v>
      </c>
      <c r="W33" t="n">
        <v>1167.80062285461</v>
      </c>
      <c r="X33" t="n">
        <v>1126.61500952699</v>
      </c>
      <c r="Y33" t="n">
        <v>1152.62598157976</v>
      </c>
      <c r="Z33" t="n">
        <v>1203.07257746802</v>
      </c>
      <c r="AA33" t="n">
        <v>1169.45005021074</v>
      </c>
      <c r="AB33" t="n">
        <v>1128.3517703406</v>
      </c>
      <c r="AC33" t="n">
        <v>1051.767630113</v>
      </c>
      <c r="AD33"/>
      <c r="AE33"/>
      <c r="AF33"/>
    </row>
    <row r="34">
      <c r="A34" t="s">
        <v>12</v>
      </c>
      <c r="B34" t="s">
        <v>225</v>
      </c>
      <c r="C34" t="s">
        <v>131</v>
      </c>
      <c r="D34" t="s">
        <v>226</v>
      </c>
      <c r="E34" t="s">
        <v>132</v>
      </c>
      <c r="F34"/>
      <c r="G34"/>
      <c r="H34"/>
      <c r="I34"/>
      <c r="J34"/>
      <c r="K34"/>
      <c r="L34" t="n">
        <v>6982.7015503876</v>
      </c>
      <c r="M34" t="n">
        <v>6996.65851519747</v>
      </c>
      <c r="N34" t="n">
        <v>7361.38508506917</v>
      </c>
      <c r="O34" t="n">
        <v>7946.9091796875</v>
      </c>
      <c r="P34" t="n">
        <v>7495.76230448233</v>
      </c>
      <c r="Q34" t="n">
        <v>8062.09443570385</v>
      </c>
      <c r="R34" t="n">
        <v>8966.1648883625</v>
      </c>
      <c r="S34" t="n">
        <v>11318.5711226363</v>
      </c>
      <c r="T34" t="n">
        <v>8593.58331950364</v>
      </c>
      <c r="U34" t="n">
        <v>7822.289468</v>
      </c>
      <c r="V34" t="n">
        <v>6452.37986894794</v>
      </c>
      <c r="W34" t="n">
        <v>6229.84671141781</v>
      </c>
      <c r="X34" t="n">
        <v>6120.28406482065</v>
      </c>
      <c r="Y34" t="n">
        <v>6630.4616528862</v>
      </c>
      <c r="Z34" t="n">
        <v>6740.71578548896</v>
      </c>
      <c r="AA34" t="n">
        <v>7491.47739905088</v>
      </c>
      <c r="AB34" t="n">
        <v>7673.40337108156</v>
      </c>
      <c r="AC34" t="n">
        <v>7722.25698533327</v>
      </c>
      <c r="AD34"/>
      <c r="AE34"/>
      <c r="AF34"/>
    </row>
    <row r="35">
      <c r="A35" t="s">
        <v>12</v>
      </c>
      <c r="B35" t="s">
        <v>227</v>
      </c>
      <c r="C35" t="s">
        <v>131</v>
      </c>
      <c r="D35" t="s">
        <v>228</v>
      </c>
      <c r="E35" t="s">
        <v>132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31060.2216818042</v>
      </c>
      <c r="M35" t="n">
        <v>32090.7350322061</v>
      </c>
      <c r="N35" t="n">
        <v>29779.3030555127</v>
      </c>
      <c r="O35" t="n">
        <v>29494.6751247157</v>
      </c>
      <c r="P35" t="n">
        <v>33885.9013149262</v>
      </c>
      <c r="Q35" t="n">
        <v>41736.9588645155</v>
      </c>
      <c r="R35" t="n">
        <v>41399.0685350392</v>
      </c>
      <c r="S35" t="n">
        <v>45392.0001463121</v>
      </c>
      <c r="T35" t="n">
        <v>46557.4183191256</v>
      </c>
      <c r="U35" t="n">
        <v>48608.215618</v>
      </c>
      <c r="V35" t="n">
        <v>42824.7193111313</v>
      </c>
      <c r="W35" t="n">
        <v>60580.2229201994</v>
      </c>
      <c r="X35" t="n">
        <v>71313.263912431</v>
      </c>
      <c r="Y35" t="n">
        <v>74580.90443134</v>
      </c>
      <c r="Z35" t="n">
        <v>3622.69291540968</v>
      </c>
      <c r="AA35" t="n">
        <v>4379.91907340708</v>
      </c>
      <c r="AB35" t="n">
        <v>5394.88145523745</v>
      </c>
      <c r="AC35" t="n">
        <v>5766.7234896253</v>
      </c>
      <c r="AD35" t="n">
        <v>0</v>
      </c>
      <c r="AE35" t="n">
        <v>0</v>
      </c>
      <c r="AF35" t="n">
        <v>0</v>
      </c>
    </row>
    <row r="36">
      <c r="A36" t="s">
        <v>12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 t="n">
        <v>9173.47496111424</v>
      </c>
      <c r="M36" t="n">
        <v>11951.1148948478</v>
      </c>
      <c r="N36" t="n">
        <v>9204.01665575786</v>
      </c>
      <c r="O36" t="n">
        <v>11644.7965233293</v>
      </c>
      <c r="P36" t="n">
        <v>12273.1576628364</v>
      </c>
      <c r="Q36" t="n">
        <v>15179.4419142032</v>
      </c>
      <c r="R36" t="n">
        <v>17062.4964689266</v>
      </c>
      <c r="S36" t="n">
        <v>18597.7510361573</v>
      </c>
      <c r="T36" t="n">
        <v>14504.7323910338</v>
      </c>
      <c r="U36" t="n">
        <v>17801.300916</v>
      </c>
      <c r="V36" t="n">
        <v>13714.0644304708</v>
      </c>
      <c r="W36" t="n">
        <v>15726.6048640259</v>
      </c>
      <c r="X36" t="n">
        <v>24339.8917599242</v>
      </c>
      <c r="Y36" t="n">
        <v>24894.1144793726</v>
      </c>
      <c r="Z36"/>
      <c r="AA36"/>
      <c r="AB36"/>
      <c r="AC36"/>
      <c r="AD36"/>
      <c r="AE36"/>
      <c r="AF36"/>
    </row>
    <row r="37">
      <c r="A37" t="s">
        <v>12</v>
      </c>
      <c r="B37" t="s">
        <v>231</v>
      </c>
      <c r="C37" t="s">
        <v>131</v>
      </c>
      <c r="D37" t="s">
        <v>232</v>
      </c>
      <c r="E37" t="s">
        <v>132</v>
      </c>
      <c r="F37"/>
      <c r="G37"/>
      <c r="H37"/>
      <c r="I37"/>
      <c r="J37"/>
      <c r="K37"/>
      <c r="L37" t="n">
        <v>13957.1815493562</v>
      </c>
      <c r="M37" t="n">
        <v>11554.2264631397</v>
      </c>
      <c r="N37" t="n">
        <v>9570.49223047077</v>
      </c>
      <c r="O37" t="n">
        <v>8775.5843939715</v>
      </c>
      <c r="P37" t="n">
        <v>8097.02905083811</v>
      </c>
      <c r="Q37" t="n">
        <v>10228.258843153</v>
      </c>
      <c r="R37" t="n">
        <v>10324.981496024</v>
      </c>
      <c r="S37" t="n">
        <v>7492.57619922563</v>
      </c>
      <c r="T37" t="n">
        <v>6843.43824881803</v>
      </c>
      <c r="U37" t="n">
        <v>7051.169602</v>
      </c>
      <c r="V37" t="n">
        <v>3924.08339696385</v>
      </c>
      <c r="W37" t="n">
        <v>3601.62741480795</v>
      </c>
      <c r="X37" t="n">
        <v>3574.72372606302</v>
      </c>
      <c r="Y37" t="n">
        <v>3144.74253393864</v>
      </c>
      <c r="Z37" t="n">
        <v>3622.69291540968</v>
      </c>
      <c r="AA37" t="n">
        <v>4379.91907340708</v>
      </c>
      <c r="AB37" t="n">
        <v>5394.88145523745</v>
      </c>
      <c r="AC37" t="n">
        <v>5766.7234896253</v>
      </c>
      <c r="AD37"/>
      <c r="AE37"/>
      <c r="AF37"/>
    </row>
    <row r="38">
      <c r="A38" t="s">
        <v>12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 t="n">
        <v>7929.56517133382</v>
      </c>
      <c r="M38" t="n">
        <v>8585.39367421855</v>
      </c>
      <c r="N38" t="n">
        <v>11004.794169284</v>
      </c>
      <c r="O38" t="n">
        <v>9074.29420741487</v>
      </c>
      <c r="P38" t="n">
        <v>13515.7146012516</v>
      </c>
      <c r="Q38" t="n">
        <v>16329.2581071593</v>
      </c>
      <c r="R38" t="n">
        <v>14011.5905700886</v>
      </c>
      <c r="S38" t="n">
        <v>19301.6729109292</v>
      </c>
      <c r="T38" t="n">
        <v>25209.2476792738</v>
      </c>
      <c r="U38" t="n">
        <v>23755.7451</v>
      </c>
      <c r="V38" t="n">
        <v>25186.5714836967</v>
      </c>
      <c r="W38" t="n">
        <v>41251.9906413655</v>
      </c>
      <c r="X38" t="n">
        <v>43398.6484264438</v>
      </c>
      <c r="Y38" t="n">
        <v>46542.0474180287</v>
      </c>
      <c r="Z38"/>
      <c r="AA38"/>
      <c r="AB38"/>
      <c r="AC38"/>
      <c r="AD38"/>
      <c r="AE38"/>
      <c r="AF38"/>
    </row>
    <row r="39">
      <c r="A39" t="s">
        <v>12</v>
      </c>
      <c r="B39" t="s">
        <v>235</v>
      </c>
      <c r="C39" t="s">
        <v>131</v>
      </c>
      <c r="D39" t="s">
        <v>236</v>
      </c>
      <c r="E39" t="s">
        <v>132</v>
      </c>
      <c r="F39"/>
      <c r="G39"/>
      <c r="H39"/>
      <c r="I39"/>
      <c r="J39"/>
      <c r="K39"/>
      <c r="L39" t="n">
        <v>16967.9530857927</v>
      </c>
      <c r="M39" t="n">
        <v>19780.5364423393</v>
      </c>
      <c r="N39" t="n">
        <v>18864.9453958463</v>
      </c>
      <c r="O39" t="n">
        <v>29173.1650123048</v>
      </c>
      <c r="P39" t="n">
        <v>31906.0340256884</v>
      </c>
      <c r="Q39" t="n">
        <v>41510.6633269763</v>
      </c>
      <c r="R39" t="n">
        <v>41708.5712365706</v>
      </c>
      <c r="S39" t="n">
        <v>43462.5954642616</v>
      </c>
      <c r="T39" t="n">
        <v>35215.1096188411</v>
      </c>
      <c r="U39" t="n">
        <v>36863.562492</v>
      </c>
      <c r="V39" t="n">
        <v>35130.8406258287</v>
      </c>
      <c r="W39" t="n">
        <v>27787.620890531</v>
      </c>
      <c r="X39" t="n">
        <v>29936.9631534031</v>
      </c>
      <c r="Y39" t="n">
        <v>32754.844402925</v>
      </c>
      <c r="Z39" t="n">
        <v>33566.6310634546</v>
      </c>
      <c r="AA39" t="n">
        <v>32875.483861228</v>
      </c>
      <c r="AB39" t="n">
        <v>32915.5174031365</v>
      </c>
      <c r="AC39" t="n">
        <v>27943.8677570024</v>
      </c>
      <c r="AD39"/>
      <c r="AE39"/>
      <c r="AF39"/>
    </row>
    <row r="40">
      <c r="A40" t="s">
        <v>12</v>
      </c>
      <c r="B40" t="s">
        <v>237</v>
      </c>
      <c r="C40" t="s">
        <v>131</v>
      </c>
      <c r="D40" t="s">
        <v>238</v>
      </c>
      <c r="E40" t="s">
        <v>132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t="n">
        <v>14967.1581979169</v>
      </c>
      <c r="X40" t="n">
        <v>15085.1883062171</v>
      </c>
      <c r="Y40" t="n">
        <v>16196.3578623674</v>
      </c>
      <c r="Z40" t="n">
        <v>17264.8658815169</v>
      </c>
      <c r="AA40" t="n">
        <v>18086.6364616473</v>
      </c>
      <c r="AB40" t="n">
        <v>20334.8610593794</v>
      </c>
      <c r="AC40"/>
      <c r="AD40"/>
      <c r="AE40"/>
      <c r="AF40"/>
    </row>
    <row r="41">
      <c r="A41" t="s">
        <v>12</v>
      </c>
      <c r="B41" t="s">
        <v>239</v>
      </c>
      <c r="C41" t="s">
        <v>131</v>
      </c>
      <c r="D41" t="s">
        <v>240</v>
      </c>
      <c r="E41" t="s">
        <v>132</v>
      </c>
      <c r="F41"/>
      <c r="G41"/>
      <c r="H41"/>
      <c r="I41"/>
      <c r="J41"/>
      <c r="K41"/>
      <c r="L41" t="n">
        <v>6455.15906133585</v>
      </c>
      <c r="M41" t="n">
        <v>7585.40729544341</v>
      </c>
      <c r="N41" t="n">
        <v>10123.2281649358</v>
      </c>
      <c r="O41" t="n">
        <v>10122.4613565228</v>
      </c>
      <c r="P41" t="n">
        <v>10861.1791872462</v>
      </c>
      <c r="Q41" t="n">
        <v>9897.72823457669</v>
      </c>
      <c r="R41" t="n">
        <v>9069.2970527343</v>
      </c>
      <c r="S41" t="n">
        <v>8828.21720038726</v>
      </c>
      <c r="T41" t="n">
        <v>16302.8316964221</v>
      </c>
      <c r="U41" t="n">
        <v>6889.484125</v>
      </c>
      <c r="V41" t="n">
        <v>7716.26429382233</v>
      </c>
      <c r="W41" t="n">
        <v>10794.4053438684</v>
      </c>
      <c r="X41" t="n">
        <v>11297.2759355245</v>
      </c>
      <c r="Y41" t="n">
        <v>12863.4829498288</v>
      </c>
      <c r="Z41"/>
      <c r="AA41"/>
      <c r="AB41"/>
      <c r="AC41"/>
      <c r="AD41"/>
      <c r="AE41"/>
      <c r="AF41"/>
    </row>
    <row r="42">
      <c r="A42" t="s">
        <v>12</v>
      </c>
      <c r="B42" t="s">
        <v>241</v>
      </c>
      <c r="C42" t="s">
        <v>131</v>
      </c>
      <c r="D42" t="s">
        <v>242</v>
      </c>
      <c r="E42" t="s">
        <v>132</v>
      </c>
      <c r="F42"/>
      <c r="G42"/>
      <c r="H42"/>
      <c r="I42"/>
      <c r="J42"/>
      <c r="K42"/>
      <c r="L42" t="n">
        <v>11096.0682988803</v>
      </c>
      <c r="M42" t="n">
        <v>11187.2906291823</v>
      </c>
      <c r="N42" t="n">
        <v>13289.8096441504</v>
      </c>
      <c r="O42" t="n">
        <v>13461.3184364653</v>
      </c>
      <c r="P42" t="n">
        <v>16063.7360190117</v>
      </c>
      <c r="Q42" t="n">
        <v>15888.4554670786</v>
      </c>
      <c r="R42" t="n">
        <v>19719.797338852</v>
      </c>
      <c r="S42" t="n">
        <v>25803.5517650997</v>
      </c>
      <c r="T42" t="n">
        <v>21477.1285588267</v>
      </c>
      <c r="U42" t="n">
        <v>18386.7416083884</v>
      </c>
      <c r="V42" t="n">
        <v>13678.1861937969</v>
      </c>
      <c r="W42" t="n">
        <v>17609.2909569198</v>
      </c>
      <c r="X42" t="n">
        <v>15097.6391910665</v>
      </c>
      <c r="Y42" t="n">
        <v>16479.369343185</v>
      </c>
      <c r="Z42" t="n">
        <v>18011.7983308824</v>
      </c>
      <c r="AA42" t="n">
        <v>21281.3863405555</v>
      </c>
      <c r="AB42" t="n">
        <v>22007.6300010272</v>
      </c>
      <c r="AC42" t="n">
        <v>20065.2420530029</v>
      </c>
      <c r="AD42"/>
      <c r="AE42"/>
      <c r="AF42"/>
    </row>
    <row r="43">
      <c r="A43" t="s">
        <v>12</v>
      </c>
      <c r="B43" t="s">
        <v>243</v>
      </c>
      <c r="C43" t="s">
        <v>131</v>
      </c>
      <c r="D43" t="s">
        <v>244</v>
      </c>
      <c r="E43" t="s">
        <v>132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20066.2769055959</v>
      </c>
      <c r="M43" t="n">
        <v>17318.3346046733</v>
      </c>
      <c r="N43" t="n">
        <v>18380.6519042083</v>
      </c>
      <c r="O43" t="n">
        <v>20032.3600935748</v>
      </c>
      <c r="P43" t="n">
        <v>23973.950841357</v>
      </c>
      <c r="Q43" t="n">
        <v>25827.5634456521</v>
      </c>
      <c r="R43" t="n">
        <v>30923.3924748237</v>
      </c>
      <c r="S43" t="n">
        <v>42995.5090868381</v>
      </c>
      <c r="T43" t="n">
        <v>39721.1088211081</v>
      </c>
      <c r="U43" t="n">
        <v>33031.5434483884</v>
      </c>
      <c r="V43" t="n">
        <v>21743.4053280472</v>
      </c>
      <c r="W43" t="n">
        <v>32535.0858416472</v>
      </c>
      <c r="X43" t="n">
        <v>36850.5830273057</v>
      </c>
      <c r="Y43" t="n">
        <v>37268.8975839605</v>
      </c>
      <c r="Z43" t="n">
        <v>41249.6117514396</v>
      </c>
      <c r="AA43" t="n">
        <v>48167.8279387187</v>
      </c>
      <c r="AB43" t="n">
        <v>54885.5967044253</v>
      </c>
      <c r="AC43" t="n">
        <v>51181.7306642261</v>
      </c>
      <c r="AD43" t="n">
        <v>0</v>
      </c>
      <c r="AE43" t="n">
        <v>0</v>
      </c>
      <c r="AF43" t="n">
        <v>0</v>
      </c>
    </row>
    <row r="44">
      <c r="A44" t="s">
        <v>12</v>
      </c>
      <c r="B44" t="s">
        <v>245</v>
      </c>
      <c r="C44" t="s">
        <v>131</v>
      </c>
      <c r="D44" t="s">
        <v>246</v>
      </c>
      <c r="E44" t="s">
        <v>132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203529.333635897</v>
      </c>
      <c r="M44" t="n">
        <v>227969.520666773</v>
      </c>
      <c r="N44" t="n">
        <v>233686.730928842</v>
      </c>
      <c r="O44" t="n">
        <v>263213.514008786</v>
      </c>
      <c r="P44" t="n">
        <v>286684.58977055</v>
      </c>
      <c r="Q44" t="n">
        <v>327199.527991933</v>
      </c>
      <c r="R44" t="n">
        <v>352297.596972389</v>
      </c>
      <c r="S44" t="n">
        <v>384595.804055586</v>
      </c>
      <c r="T44" t="n">
        <v>319285.256328039</v>
      </c>
      <c r="U44" t="n">
        <v>300264.031757388</v>
      </c>
      <c r="V44" t="n">
        <v>260101.074186153</v>
      </c>
      <c r="W44" t="n">
        <v>309433.832306778</v>
      </c>
      <c r="X44" t="n">
        <v>309809.465794688</v>
      </c>
      <c r="Y44" t="n">
        <v>352857.506234197</v>
      </c>
      <c r="Z44" t="n">
        <v>201660.864210484</v>
      </c>
      <c r="AA44" t="n">
        <v>231641.923819117</v>
      </c>
      <c r="AB44" t="n">
        <v>239380.098653769</v>
      </c>
      <c r="AC44" t="n">
        <v>227631.450398125</v>
      </c>
      <c r="AD44" t="n">
        <v>0</v>
      </c>
      <c r="AE44" t="n">
        <v>0</v>
      </c>
      <c r="AF44" t="n">
        <v>0</v>
      </c>
    </row>
    <row r="45">
      <c r="A45" t="s">
        <v>12</v>
      </c>
      <c r="B45" t="s">
        <v>247</v>
      </c>
      <c r="C45" t="s">
        <v>131</v>
      </c>
      <c r="D45" t="s">
        <v>248</v>
      </c>
      <c r="E45" t="s">
        <v>132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196703.017133777</v>
      </c>
      <c r="M45" t="n">
        <v>222222.852720154</v>
      </c>
      <c r="N45" t="n">
        <v>227907.099969285</v>
      </c>
      <c r="O45" t="n">
        <v>257390.747101864</v>
      </c>
      <c r="P45" t="n">
        <v>281304.120193445</v>
      </c>
      <c r="Q45" t="n">
        <v>321137.549375606</v>
      </c>
      <c r="R45" t="n">
        <v>346316.053848083</v>
      </c>
      <c r="S45" t="n">
        <v>375980.309847574</v>
      </c>
      <c r="T45" t="n">
        <v>310423.454171549</v>
      </c>
      <c r="U45" t="n">
        <v>296629.116884388</v>
      </c>
      <c r="V45" t="n">
        <v>254018.435308245</v>
      </c>
      <c r="W45" t="n">
        <v>302015.318088617</v>
      </c>
      <c r="X45" t="n">
        <v>302157.194244556</v>
      </c>
      <c r="Y45" t="n">
        <v>344744.57970395</v>
      </c>
      <c r="Z45" t="n">
        <v>193514.062559018</v>
      </c>
      <c r="AA45" t="n">
        <v>223166.144799754</v>
      </c>
      <c r="AB45" t="n">
        <v>230990.511879638</v>
      </c>
      <c r="AC45" t="n">
        <v>227631.450398125</v>
      </c>
      <c r="AD45" t="n">
        <v>0</v>
      </c>
      <c r="AE45" t="n">
        <v>0</v>
      </c>
      <c r="AF45" t="n">
        <v>0</v>
      </c>
    </row>
    <row r="46">
      <c r="A46" t="s">
        <v>12</v>
      </c>
      <c r="B46" t="s">
        <v>249</v>
      </c>
      <c r="C46" t="s">
        <v>131</v>
      </c>
      <c r="D46" t="s">
        <v>250</v>
      </c>
      <c r="E46" t="s">
        <v>132</v>
      </c>
      <c r="F46"/>
      <c r="G46"/>
      <c r="H46"/>
      <c r="I46"/>
      <c r="J46"/>
      <c r="K46"/>
      <c r="L46" t="n">
        <v>8970.20860671556</v>
      </c>
      <c r="M46" t="n">
        <v>6131.04397549094</v>
      </c>
      <c r="N46" t="n">
        <v>5090.84226005788</v>
      </c>
      <c r="O46" t="n">
        <v>6571.04165710947</v>
      </c>
      <c r="P46" t="n">
        <v>7910.21482234535</v>
      </c>
      <c r="Q46" t="n">
        <v>9939.10797857344</v>
      </c>
      <c r="R46" t="n">
        <v>11203.5951359717</v>
      </c>
      <c r="S46" t="n">
        <v>17191.9573217384</v>
      </c>
      <c r="T46" t="n">
        <v>18243.9802622814</v>
      </c>
      <c r="U46" t="n">
        <v>14644.80184</v>
      </c>
      <c r="V46" t="n">
        <v>8065.21913425025</v>
      </c>
      <c r="W46" t="n">
        <v>14925.7948847275</v>
      </c>
      <c r="X46" t="n">
        <v>21752.9438362392</v>
      </c>
      <c r="Y46" t="n">
        <v>20789.5282407755</v>
      </c>
      <c r="Z46" t="n">
        <v>23237.8134205572</v>
      </c>
      <c r="AA46" t="n">
        <v>26886.4415981632</v>
      </c>
      <c r="AB46" t="n">
        <v>32877.9667033982</v>
      </c>
      <c r="AC46" t="n">
        <v>31116.4886112232</v>
      </c>
      <c r="AD46"/>
      <c r="AE46"/>
      <c r="AF46"/>
    </row>
    <row r="47">
      <c r="A47" t="s">
        <v>12</v>
      </c>
      <c r="B47" t="s">
        <v>251</v>
      </c>
      <c r="C47" t="s">
        <v>131</v>
      </c>
      <c r="D47" t="s">
        <v>252</v>
      </c>
      <c r="E47" t="s">
        <v>132</v>
      </c>
      <c r="F47"/>
      <c r="G47"/>
      <c r="H47"/>
      <c r="I47"/>
      <c r="J47"/>
      <c r="K47"/>
      <c r="L47" t="n">
        <v>5564.94685545901</v>
      </c>
      <c r="M47" t="n">
        <v>6146.19754123872</v>
      </c>
      <c r="N47" t="n">
        <v>6682.22525045794</v>
      </c>
      <c r="O47" t="n">
        <v>7580.79435769432</v>
      </c>
      <c r="P47" t="n">
        <v>7421.86917508685</v>
      </c>
      <c r="Q47" t="n">
        <v>7868.2856288733</v>
      </c>
      <c r="R47" t="n">
        <v>8519.66408089107</v>
      </c>
      <c r="S47" t="n">
        <v>8745.69453979405</v>
      </c>
      <c r="T47" t="n">
        <v>8842.28259130725</v>
      </c>
      <c r="U47" t="n">
        <v>11429.33524</v>
      </c>
      <c r="V47" t="n">
        <v>11476.0392750721</v>
      </c>
      <c r="W47" t="n">
        <v>9404.20507603759</v>
      </c>
      <c r="X47" t="n">
        <v>8481.17285139664</v>
      </c>
      <c r="Y47" t="n">
        <v>15305.5324612052</v>
      </c>
      <c r="Z47" t="n">
        <v>13697.8630804784</v>
      </c>
      <c r="AA47" t="n">
        <v>13049.2751738392</v>
      </c>
      <c r="AB47" t="n">
        <v>13326.6202717586</v>
      </c>
      <c r="AC47" t="n">
        <v>11774.3161329346</v>
      </c>
      <c r="AD47"/>
      <c r="AE47"/>
      <c r="AF47"/>
    </row>
    <row r="48">
      <c r="A48" t="s">
        <v>12</v>
      </c>
      <c r="B48" t="s">
        <v>253</v>
      </c>
      <c r="C48" t="s">
        <v>131</v>
      </c>
      <c r="D48" t="s">
        <v>254</v>
      </c>
      <c r="E48" t="s">
        <v>132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20719.4157643377</v>
      </c>
      <c r="M48" t="n">
        <v>24169.9697646132</v>
      </c>
      <c r="N48" t="n">
        <v>26560.9101110012</v>
      </c>
      <c r="O48" t="n">
        <v>30060.2335552947</v>
      </c>
      <c r="P48" t="n">
        <v>31790.344462499</v>
      </c>
      <c r="Q48" t="n">
        <v>34634.0622742406</v>
      </c>
      <c r="R48" t="n">
        <v>38849.5194394684</v>
      </c>
      <c r="S48" t="n">
        <v>41272.0953514692</v>
      </c>
      <c r="T48" t="n">
        <v>44251.1860058958</v>
      </c>
      <c r="U48" t="n">
        <v>43770.086292</v>
      </c>
      <c r="V48" t="n">
        <v>38585.1613761748</v>
      </c>
      <c r="W48" t="n">
        <v>37026.0510024047</v>
      </c>
      <c r="X48" t="n">
        <v>35261.9516453924</v>
      </c>
      <c r="Y48" t="n">
        <v>43230.1928586494</v>
      </c>
      <c r="Z48" t="n">
        <v>22704.0221473792</v>
      </c>
      <c r="AA48" t="n">
        <v>22750.2395841179</v>
      </c>
      <c r="AB48" t="n">
        <v>23338.4829569138</v>
      </c>
      <c r="AC48" t="n">
        <v>23714.421013925</v>
      </c>
      <c r="AD48" t="n">
        <v>0</v>
      </c>
      <c r="AE48" t="n">
        <v>0</v>
      </c>
      <c r="AF48" t="n">
        <v>0</v>
      </c>
    </row>
    <row r="49">
      <c r="A49" t="s">
        <v>12</v>
      </c>
      <c r="B49" t="s">
        <v>255</v>
      </c>
      <c r="C49" t="s">
        <v>131</v>
      </c>
      <c r="D49" t="s">
        <v>256</v>
      </c>
      <c r="E49" t="s">
        <v>132</v>
      </c>
      <c r="F49"/>
      <c r="G49"/>
      <c r="H49"/>
      <c r="I49"/>
      <c r="J49"/>
      <c r="K49"/>
      <c r="L49" t="n">
        <v>5114.52030271203</v>
      </c>
      <c r="M49" t="n">
        <v>6104.85415778252</v>
      </c>
      <c r="N49" t="n">
        <v>7014.35443229459</v>
      </c>
      <c r="O49" t="n">
        <v>7952.19134414974</v>
      </c>
      <c r="P49" t="n">
        <v>8648.26711895699</v>
      </c>
      <c r="Q49" t="n">
        <v>9372.64474631039</v>
      </c>
      <c r="R49" t="n">
        <v>10765.0070541394</v>
      </c>
      <c r="S49" t="n">
        <v>11242.8534069982</v>
      </c>
      <c r="T49" t="n">
        <v>12459.1566563232</v>
      </c>
      <c r="U49" t="n">
        <v>13037.067452</v>
      </c>
      <c r="V49" t="n">
        <v>10907.4637942136</v>
      </c>
      <c r="W49" t="n">
        <v>10097.6725018532</v>
      </c>
      <c r="X49" t="n">
        <v>8555.43051504935</v>
      </c>
      <c r="Y49" t="n">
        <v>10091.6950899874</v>
      </c>
      <c r="Z49" t="n">
        <v>9006.1590669008</v>
      </c>
      <c r="AA49" t="n">
        <v>9700.96441027867</v>
      </c>
      <c r="AB49" t="n">
        <v>10011.8626851552</v>
      </c>
      <c r="AC49" t="n">
        <v>11940.1048809904</v>
      </c>
      <c r="AD49"/>
      <c r="AE49"/>
      <c r="AF49"/>
    </row>
    <row r="50">
      <c r="A50" t="s">
        <v>12</v>
      </c>
      <c r="B50" t="s">
        <v>257</v>
      </c>
      <c r="C50" t="s">
        <v>131</v>
      </c>
      <c r="D50" t="s">
        <v>258</v>
      </c>
      <c r="E50" t="s">
        <v>132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10039.9486061667</v>
      </c>
      <c r="M50" t="n">
        <v>11918.918065592</v>
      </c>
      <c r="N50" t="n">
        <v>12864.3304282487</v>
      </c>
      <c r="O50" t="n">
        <v>14527.2478534507</v>
      </c>
      <c r="P50" t="n">
        <v>15720.2081684551</v>
      </c>
      <c r="Q50" t="n">
        <v>17393.1318990569</v>
      </c>
      <c r="R50" t="n">
        <v>19564.8483044379</v>
      </c>
      <c r="S50" t="n">
        <v>21283.547404677</v>
      </c>
      <c r="T50" t="n">
        <v>22949.7467582653</v>
      </c>
      <c r="U50" t="n">
        <v>19303.6836</v>
      </c>
      <c r="V50" t="n">
        <v>16201.6583068891</v>
      </c>
      <c r="W50" t="n">
        <v>17524.1734245138</v>
      </c>
      <c r="X50" t="n">
        <v>18225.3482789464</v>
      </c>
      <c r="Y50" t="n">
        <v>17832.9653074568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12</v>
      </c>
      <c r="B51" t="s">
        <v>259</v>
      </c>
      <c r="C51" t="s">
        <v>131</v>
      </c>
      <c r="D51" t="s">
        <v>260</v>
      </c>
      <c r="E51" t="s">
        <v>132</v>
      </c>
      <c r="F51"/>
      <c r="G51"/>
      <c r="H51"/>
      <c r="I51"/>
      <c r="J51"/>
      <c r="K51"/>
      <c r="L51" t="n">
        <v>8796.93411786969</v>
      </c>
      <c r="M51" t="n">
        <v>10198.0873421742</v>
      </c>
      <c r="N51" t="n">
        <v>10902.8916506022</v>
      </c>
      <c r="O51" t="n">
        <v>11965.1891508503</v>
      </c>
      <c r="P51" t="n">
        <v>12632.5873851311</v>
      </c>
      <c r="Q51" t="n">
        <v>13817.3422952172</v>
      </c>
      <c r="R51" t="n">
        <v>15097.6104187112</v>
      </c>
      <c r="S51" t="n">
        <v>16862.6762083164</v>
      </c>
      <c r="T51" t="n">
        <v>18247.9252665665</v>
      </c>
      <c r="U51" t="n">
        <v>15499.066464</v>
      </c>
      <c r="V51" t="n">
        <v>12374.8592486437</v>
      </c>
      <c r="W51" t="n">
        <v>12626.6670096022</v>
      </c>
      <c r="X51" t="n">
        <v>12932.1526860222</v>
      </c>
      <c r="Y51" t="n">
        <v>12490.1174573193</v>
      </c>
      <c r="Z51"/>
      <c r="AA51"/>
      <c r="AB51"/>
      <c r="AC51"/>
      <c r="AD51"/>
      <c r="AE51"/>
      <c r="AF51"/>
    </row>
    <row r="52">
      <c r="A52" t="s">
        <v>12</v>
      </c>
      <c r="B52" t="s">
        <v>261</v>
      </c>
      <c r="C52" t="s">
        <v>131</v>
      </c>
      <c r="D52" t="s">
        <v>262</v>
      </c>
      <c r="E52" t="s">
        <v>132</v>
      </c>
      <c r="F52"/>
      <c r="G52"/>
      <c r="H52"/>
      <c r="I52"/>
      <c r="J52"/>
      <c r="K52"/>
      <c r="L52" t="n">
        <v>1243.014488297</v>
      </c>
      <c r="M52" t="n">
        <v>1720.83072341777</v>
      </c>
      <c r="N52" t="n">
        <v>1961.4387776465</v>
      </c>
      <c r="O52" t="n">
        <v>2562.05870260032</v>
      </c>
      <c r="P52" t="n">
        <v>3087.62078332402</v>
      </c>
      <c r="Q52" t="n">
        <v>3575.78960383974</v>
      </c>
      <c r="R52" t="n">
        <v>4467.23788572675</v>
      </c>
      <c r="S52" t="n">
        <v>4420.87119636059</v>
      </c>
      <c r="T52" t="n">
        <v>4701.82149169887</v>
      </c>
      <c r="U52" t="n">
        <v>3804.617136</v>
      </c>
      <c r="V52" t="n">
        <v>3826.79905824547</v>
      </c>
      <c r="W52" t="n">
        <v>4897.50641491164</v>
      </c>
      <c r="X52" t="n">
        <v>5293.19559292427</v>
      </c>
      <c r="Y52" t="n">
        <v>5342.84785013751</v>
      </c>
      <c r="Z52"/>
      <c r="AA52"/>
      <c r="AB52"/>
      <c r="AC52"/>
      <c r="AD52"/>
      <c r="AE52"/>
      <c r="AF52"/>
    </row>
    <row r="53">
      <c r="A53" t="s">
        <v>12</v>
      </c>
      <c r="B53" t="s">
        <v>263</v>
      </c>
      <c r="C53" t="s">
        <v>131</v>
      </c>
      <c r="D53" t="s">
        <v>264</v>
      </c>
      <c r="E53" t="s">
        <v>132</v>
      </c>
      <c r="F53"/>
      <c r="G53"/>
      <c r="H53"/>
      <c r="I53"/>
      <c r="J53"/>
      <c r="K53"/>
      <c r="L53" t="n">
        <v>2228.29956757483</v>
      </c>
      <c r="M53" t="n">
        <v>2688.58401836689</v>
      </c>
      <c r="N53" t="n">
        <v>3295.91637007781</v>
      </c>
      <c r="O53" t="n">
        <v>3226.37995309319</v>
      </c>
      <c r="P53" t="n">
        <v>3393.75719415364</v>
      </c>
      <c r="Q53" t="n">
        <v>3925.36291886702</v>
      </c>
      <c r="R53" t="n">
        <v>4985.62163438829</v>
      </c>
      <c r="S53" t="n">
        <v>6331.59516378738</v>
      </c>
      <c r="T53" t="n">
        <v>5982.90945682593</v>
      </c>
      <c r="U53" t="n">
        <v>3545.117353</v>
      </c>
      <c r="V53" t="n">
        <v>3371.83800479969</v>
      </c>
      <c r="W53" t="n">
        <v>3268.09434313988</v>
      </c>
      <c r="X53" t="n">
        <v>3093.63799263655</v>
      </c>
      <c r="Y53" t="n">
        <v>2972.9109043693</v>
      </c>
      <c r="Z53" t="n">
        <v>3522.32814828564</v>
      </c>
      <c r="AA53" t="n">
        <v>3155.84994648313</v>
      </c>
      <c r="AB53" t="n">
        <v>3856.27617023023</v>
      </c>
      <c r="AC53" t="n">
        <v>2233.71305918572</v>
      </c>
      <c r="AD53"/>
      <c r="AE53"/>
      <c r="AF53"/>
    </row>
    <row r="54">
      <c r="A54" t="s">
        <v>12</v>
      </c>
      <c r="B54" t="s">
        <v>265</v>
      </c>
      <c r="C54" t="s">
        <v>131</v>
      </c>
      <c r="D54" t="s">
        <v>266</v>
      </c>
      <c r="E54" t="s">
        <v>132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3948.96995205234</v>
      </c>
      <c r="M54" t="n">
        <v>5056.97544444219</v>
      </c>
      <c r="N54" t="n">
        <v>5629.4006055293</v>
      </c>
      <c r="O54" t="n">
        <v>5313.48457385609</v>
      </c>
      <c r="P54" t="n">
        <v>5492.5456346196</v>
      </c>
      <c r="Q54" t="n">
        <v>6096.31111857897</v>
      </c>
      <c r="R54" t="n">
        <v>7402.68497721974</v>
      </c>
      <c r="S54" t="n">
        <v>8890.46704183357</v>
      </c>
      <c r="T54" t="n">
        <v>8555.48610615954</v>
      </c>
      <c r="U54" t="n">
        <v>7371.414493</v>
      </c>
      <c r="V54" t="n">
        <v>9084.15528941657</v>
      </c>
      <c r="W54" t="n">
        <v>7308.24755693576</v>
      </c>
      <c r="X54" t="n">
        <v>6860.69726873204</v>
      </c>
      <c r="Y54" t="n">
        <v>6785.40876870631</v>
      </c>
      <c r="Z54" t="n">
        <v>8109.95764795429</v>
      </c>
      <c r="AA54" t="n">
        <v>6820.58987488735</v>
      </c>
      <c r="AB54" t="n">
        <v>7758.96298553293</v>
      </c>
      <c r="AC54" t="n">
        <v>4767.71551965238</v>
      </c>
      <c r="AD54" t="n">
        <v>0</v>
      </c>
      <c r="AE54" t="n">
        <v>0</v>
      </c>
      <c r="AF54" t="n">
        <v>0</v>
      </c>
    </row>
    <row r="55">
      <c r="A55" t="s">
        <v>12</v>
      </c>
      <c r="B55" t="s">
        <v>267</v>
      </c>
      <c r="C55" t="s">
        <v>131</v>
      </c>
      <c r="D55" t="s">
        <v>268</v>
      </c>
      <c r="E55" t="s">
        <v>132</v>
      </c>
      <c r="F55"/>
      <c r="G55"/>
      <c r="H55"/>
      <c r="I55"/>
      <c r="J55"/>
      <c r="K55"/>
      <c r="L55" t="n">
        <v>1720.67038447751</v>
      </c>
      <c r="M55" t="n">
        <v>2368.3914260753</v>
      </c>
      <c r="N55" t="n">
        <v>2333.48423545148</v>
      </c>
      <c r="O55" t="n">
        <v>2087.1046207629</v>
      </c>
      <c r="P55" t="n">
        <v>2098.78844046595</v>
      </c>
      <c r="Q55" t="n">
        <v>2170.94819971195</v>
      </c>
      <c r="R55" t="n">
        <v>2417.06334283146</v>
      </c>
      <c r="S55" t="n">
        <v>2558.87187804618</v>
      </c>
      <c r="T55" t="n">
        <v>2572.57664933362</v>
      </c>
      <c r="U55" t="n">
        <v>3826.29714</v>
      </c>
      <c r="V55" t="n">
        <v>5712.31728461689</v>
      </c>
      <c r="W55" t="n">
        <v>4040.15321379588</v>
      </c>
      <c r="X55" t="n">
        <v>3767.05927609549</v>
      </c>
      <c r="Y55" t="n">
        <v>3812.49786433701</v>
      </c>
      <c r="Z55" t="n">
        <v>4587.62949966865</v>
      </c>
      <c r="AA55" t="n">
        <v>3664.73992840422</v>
      </c>
      <c r="AB55" t="n">
        <v>3902.68681530271</v>
      </c>
      <c r="AC55" t="n">
        <v>2534.00246046665</v>
      </c>
      <c r="AD55"/>
      <c r="AE55"/>
      <c r="AF55"/>
    </row>
    <row r="56">
      <c r="A56" t="s">
        <v>12</v>
      </c>
      <c r="B56" t="s">
        <v>269</v>
      </c>
      <c r="C56" t="s">
        <v>131</v>
      </c>
      <c r="D56" t="s">
        <v>270</v>
      </c>
      <c r="E56" t="s">
        <v>132</v>
      </c>
      <c r="F56"/>
      <c r="G56"/>
      <c r="H56"/>
      <c r="I56"/>
      <c r="J56"/>
      <c r="K56"/>
      <c r="L56" t="n">
        <v>281.526129784497</v>
      </c>
      <c r="M56" t="n">
        <v>267.829495491467</v>
      </c>
      <c r="N56" t="n">
        <v>335.709789919455</v>
      </c>
      <c r="O56" t="n">
        <v>408.359635813562</v>
      </c>
      <c r="P56" t="n">
        <v>434.580942534103</v>
      </c>
      <c r="Q56" t="n">
        <v>608.027076692903</v>
      </c>
      <c r="R56" t="n">
        <v>683.05826844273</v>
      </c>
      <c r="S56" t="n">
        <v>595.808366397109</v>
      </c>
      <c r="T56" t="n">
        <v>394.042240486221</v>
      </c>
      <c r="U56" t="n">
        <v>35.47355</v>
      </c>
      <c r="V56" t="n">
        <v>57.2059003800106</v>
      </c>
      <c r="W56" t="n">
        <v>65.6559391182424</v>
      </c>
      <c r="X56" t="n">
        <v>49.4383643838661</v>
      </c>
      <c r="Y56" t="n">
        <v>42.5452701699426</v>
      </c>
      <c r="Z56" t="n">
        <v>25.1538891691767</v>
      </c>
      <c r="AA56" t="n">
        <v>68.5499279302889</v>
      </c>
      <c r="AB56" t="n">
        <v>155.500695545577</v>
      </c>
      <c r="AC56" t="n">
        <v>275.419527347354</v>
      </c>
      <c r="AD56"/>
      <c r="AE56"/>
      <c r="AF56"/>
    </row>
    <row r="57">
      <c r="A57" t="s">
        <v>12</v>
      </c>
      <c r="B57" t="s">
        <v>271</v>
      </c>
      <c r="C57" t="s">
        <v>131</v>
      </c>
      <c r="D57" t="s">
        <v>272</v>
      </c>
      <c r="E57" t="s">
        <v>132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224530.27553002</v>
      </c>
      <c r="M57" t="n">
        <v>252407.319926877</v>
      </c>
      <c r="N57" t="n">
        <v>260583.350829762</v>
      </c>
      <c r="O57" t="n">
        <v>293682.107199894</v>
      </c>
      <c r="P57" t="n">
        <v>318909.515175583</v>
      </c>
      <c r="Q57" t="n">
        <v>362441.617342866</v>
      </c>
      <c r="R57" t="n">
        <v>391830.1746803</v>
      </c>
      <c r="S57" t="n">
        <v>426463.707773452</v>
      </c>
      <c r="T57" t="n">
        <v>363930.484574421</v>
      </c>
      <c r="U57" t="n">
        <v>344069.591599388</v>
      </c>
      <c r="V57" t="n">
        <v>298743.441462708</v>
      </c>
      <c r="W57" t="n">
        <v>361492.697446218</v>
      </c>
      <c r="X57" t="n">
        <v>360206.044110681</v>
      </c>
      <c r="Y57" t="n">
        <v>412326.602225384</v>
      </c>
      <c r="Z57" t="n">
        <v>241654.906128549</v>
      </c>
      <c r="AA57" t="n">
        <v>272547.349792813</v>
      </c>
      <c r="AB57" t="n">
        <v>283208.943365608</v>
      </c>
      <c r="AC57" t="n">
        <v>251621.290939398</v>
      </c>
      <c r="AD57" t="n">
        <v>0</v>
      </c>
      <c r="AE57" t="n">
        <v>0</v>
      </c>
      <c r="AF57" t="n">
        <v>0</v>
      </c>
    </row>
    <row r="58">
      <c r="A58" t="s">
        <v>12</v>
      </c>
      <c r="B58" t="s">
        <v>273</v>
      </c>
      <c r="C58" t="s">
        <v>131</v>
      </c>
      <c r="D58" t="s">
        <v>274</v>
      </c>
      <c r="E58" t="s">
        <v>132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224248.749400235</v>
      </c>
      <c r="M58" t="n">
        <v>252139.490431386</v>
      </c>
      <c r="N58" t="n">
        <v>260247.641039843</v>
      </c>
      <c r="O58" t="n">
        <v>293273.747564081</v>
      </c>
      <c r="P58" t="n">
        <v>318474.934233049</v>
      </c>
      <c r="Q58" t="n">
        <v>361833.590266173</v>
      </c>
      <c r="R58" t="n">
        <v>391147.116411858</v>
      </c>
      <c r="S58" t="n">
        <v>425867.899407055</v>
      </c>
      <c r="T58" t="n">
        <v>363536.442333935</v>
      </c>
      <c r="U58" t="n">
        <v>344034.118049388</v>
      </c>
      <c r="V58" t="n">
        <v>298686.235562328</v>
      </c>
      <c r="W58" t="n">
        <v>361427.041507099</v>
      </c>
      <c r="X58" t="n">
        <v>360156.605746297</v>
      </c>
      <c r="Y58" t="n">
        <v>412284.056955214</v>
      </c>
      <c r="Z58" t="n">
        <v>241629.75223938</v>
      </c>
      <c r="AA58" t="n">
        <v>272478.799864882</v>
      </c>
      <c r="AB58" t="n">
        <v>283053.442670063</v>
      </c>
      <c r="AC58" t="n">
        <v>251345.87141205</v>
      </c>
      <c r="AD58" t="n">
        <v>0</v>
      </c>
      <c r="AE58" t="n">
        <v>0</v>
      </c>
      <c r="AF58" t="n">
        <v>0</v>
      </c>
    </row>
    <row r="59">
      <c r="A59" t="s">
        <v>12</v>
      </c>
      <c r="B59" t="s">
        <v>275</v>
      </c>
      <c r="C59" t="s">
        <v>131</v>
      </c>
      <c r="D59" t="s">
        <v>276</v>
      </c>
      <c r="E59" t="s">
        <v>132</v>
      </c>
      <c r="F59"/>
      <c r="G59"/>
      <c r="H59"/>
      <c r="I59"/>
      <c r="J59"/>
      <c r="K59"/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14</v>
      </c>
      <c r="B2" t="s">
        <v>84</v>
      </c>
      <c r="C2" t="s">
        <v>131</v>
      </c>
      <c r="D2" t="s">
        <v>86</v>
      </c>
      <c r="E2" t="s">
        <v>132</v>
      </c>
      <c r="F2"/>
      <c r="G2"/>
      <c r="H2"/>
      <c r="I2"/>
      <c r="J2"/>
      <c r="K2"/>
      <c r="L2" t="n">
        <v>4451.81650212022</v>
      </c>
      <c r="M2" t="n">
        <v>3317.4679466182</v>
      </c>
      <c r="N2" t="n">
        <v>3301.13095955662</v>
      </c>
      <c r="O2" t="n">
        <v>3240.06690692197</v>
      </c>
      <c r="P2" t="n">
        <v>3480.26957710456</v>
      </c>
      <c r="Q2" t="n">
        <v>4554.67861632653</v>
      </c>
      <c r="R2" t="n">
        <v>4132.8431243058</v>
      </c>
      <c r="S2" t="n">
        <v>6447.1942080124</v>
      </c>
      <c r="T2" t="n">
        <v>7520.60215649083</v>
      </c>
      <c r="U2" t="n">
        <v>2513.314873</v>
      </c>
      <c r="V2" t="n">
        <v>4209.73887790762</v>
      </c>
      <c r="W2" t="n">
        <v>5713.71421816059</v>
      </c>
      <c r="X2" t="n">
        <v>5874.77155013141</v>
      </c>
      <c r="Y2" t="n">
        <v>5633.72653024656</v>
      </c>
      <c r="Z2" t="n">
        <v>5566.80165146527</v>
      </c>
      <c r="AA2" t="n">
        <v>5876.27901936332</v>
      </c>
      <c r="AB2" t="n">
        <v>5588.68677413157</v>
      </c>
      <c r="AC2"/>
      <c r="AD2"/>
      <c r="AE2"/>
      <c r="AF2"/>
    </row>
    <row r="3">
      <c r="A3" t="s">
        <v>14</v>
      </c>
      <c r="B3" t="s">
        <v>163</v>
      </c>
      <c r="C3" t="s">
        <v>131</v>
      </c>
      <c r="D3" t="s">
        <v>164</v>
      </c>
      <c r="E3" t="s">
        <v>132</v>
      </c>
      <c r="F3"/>
      <c r="G3"/>
      <c r="H3"/>
      <c r="I3"/>
      <c r="J3"/>
      <c r="K3"/>
      <c r="L3" t="n">
        <v>689.747930302058</v>
      </c>
      <c r="M3" t="n">
        <v>834.157621014723</v>
      </c>
      <c r="N3" t="n">
        <v>857.779412915851</v>
      </c>
      <c r="O3" t="n">
        <v>913.377943500593</v>
      </c>
      <c r="P3" t="n">
        <v>761.161550713558</v>
      </c>
      <c r="Q3" t="n">
        <v>667.679944818762</v>
      </c>
      <c r="R3" t="n">
        <v>988.648880236607</v>
      </c>
      <c r="S3" t="n">
        <v>2391.39693160026</v>
      </c>
      <c r="T3" t="n">
        <v>963.538326459595</v>
      </c>
      <c r="U3" t="n">
        <v>1098.495392</v>
      </c>
      <c r="V3" t="n">
        <v>804.437202733621</v>
      </c>
      <c r="W3" t="n">
        <v>476.42959262435</v>
      </c>
      <c r="X3" t="n">
        <v>400.591739854966</v>
      </c>
      <c r="Y3" t="n">
        <v>298.039003017099</v>
      </c>
      <c r="Z3" t="n">
        <v>253.876444684384</v>
      </c>
      <c r="AA3" t="n">
        <v>1496.72204414371</v>
      </c>
      <c r="AB3" t="n">
        <v>1077.71034803365</v>
      </c>
      <c r="AC3" t="n">
        <v>668.613356157744</v>
      </c>
      <c r="AD3"/>
      <c r="AE3"/>
      <c r="AF3"/>
    </row>
    <row r="4">
      <c r="A4" t="s">
        <v>14</v>
      </c>
      <c r="B4" t="s">
        <v>165</v>
      </c>
      <c r="C4" t="s">
        <v>131</v>
      </c>
      <c r="D4" t="s">
        <v>166</v>
      </c>
      <c r="E4" t="s">
        <v>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42382.5755492785</v>
      </c>
      <c r="M4" t="n">
        <v>53086.5730059418</v>
      </c>
      <c r="N4" t="n">
        <v>53781.8097650319</v>
      </c>
      <c r="O4" t="n">
        <v>63234.0590186417</v>
      </c>
      <c r="P4" t="n">
        <v>67906.4658872193</v>
      </c>
      <c r="Q4" t="n">
        <v>73669.5596628284</v>
      </c>
      <c r="R4" t="n">
        <v>69645.3726883189</v>
      </c>
      <c r="S4" t="n">
        <v>74044.9553852273</v>
      </c>
      <c r="T4" t="n">
        <v>55855.5457809082</v>
      </c>
      <c r="U4" t="n">
        <v>57588.919279</v>
      </c>
      <c r="V4" t="n">
        <v>44979.9931499249</v>
      </c>
      <c r="W4" t="n">
        <v>62047.0669898892</v>
      </c>
      <c r="X4" t="n">
        <v>52617.0330857158</v>
      </c>
      <c r="Y4" t="n">
        <v>71309.0374091943</v>
      </c>
      <c r="Z4" t="n">
        <v>-35257.5541290742</v>
      </c>
      <c r="AA4" t="n">
        <v>-52412.1128218196</v>
      </c>
      <c r="AB4" t="n">
        <v>-52628.7011120052</v>
      </c>
      <c r="AC4" t="n">
        <v>-75195.3006215898</v>
      </c>
      <c r="AD4" t="n">
        <v>0</v>
      </c>
      <c r="AE4" t="n">
        <v>0</v>
      </c>
      <c r="AF4" t="n">
        <v>0</v>
      </c>
    </row>
    <row r="5">
      <c r="A5" t="s">
        <v>14</v>
      </c>
      <c r="B5" t="s">
        <v>167</v>
      </c>
      <c r="C5" t="s">
        <v>131</v>
      </c>
      <c r="D5" t="s">
        <v>168</v>
      </c>
      <c r="E5" t="s">
        <v>132</v>
      </c>
      <c r="F5"/>
      <c r="G5"/>
      <c r="H5"/>
      <c r="I5"/>
      <c r="J5"/>
      <c r="K5"/>
      <c r="L5" t="n">
        <v>9083.53156648405</v>
      </c>
      <c r="M5" t="n">
        <v>11251.1849606619</v>
      </c>
      <c r="N5" t="n">
        <v>11200.787038332</v>
      </c>
      <c r="O5" t="n">
        <v>15603.0853272797</v>
      </c>
      <c r="P5" t="n">
        <v>14691.3336116118</v>
      </c>
      <c r="Q5" t="n">
        <v>13975.304413333</v>
      </c>
      <c r="R5" t="n">
        <v>15691.6334085955</v>
      </c>
      <c r="S5" t="n">
        <v>15727.5412999687</v>
      </c>
      <c r="T5" t="n">
        <v>14289.5209058086</v>
      </c>
      <c r="U5" t="n">
        <v>13714.097529</v>
      </c>
      <c r="V5" t="n">
        <v>17328.9131722906</v>
      </c>
      <c r="W5" t="n">
        <v>18683.8406814177</v>
      </c>
      <c r="X5" t="n">
        <v>13833.2431843049</v>
      </c>
      <c r="Y5" t="n">
        <v>16993.0358102935</v>
      </c>
      <c r="Z5" t="n">
        <v>17317.6990971226</v>
      </c>
      <c r="AA5" t="n">
        <v>18962.8783447429</v>
      </c>
      <c r="AB5" t="n">
        <v>17600.9622945747</v>
      </c>
      <c r="AC5" t="n">
        <v>14142.7937185796</v>
      </c>
      <c r="AD5"/>
      <c r="AE5"/>
      <c r="AF5"/>
    </row>
    <row r="6">
      <c r="A6" t="s">
        <v>14</v>
      </c>
      <c r="B6" t="s">
        <v>169</v>
      </c>
      <c r="C6" t="s">
        <v>131</v>
      </c>
      <c r="D6" t="s">
        <v>170</v>
      </c>
      <c r="E6" t="s">
        <v>132</v>
      </c>
      <c r="F6"/>
      <c r="G6"/>
      <c r="H6"/>
      <c r="I6"/>
      <c r="J6"/>
      <c r="K6"/>
      <c r="L6" t="n">
        <v>678.022570802474</v>
      </c>
      <c r="M6" t="n">
        <v>482.33828829863</v>
      </c>
      <c r="N6" t="n">
        <v>624.978787878788</v>
      </c>
      <c r="O6" t="n">
        <v>544.682758890804</v>
      </c>
      <c r="P6" t="n">
        <v>361.103927506913</v>
      </c>
      <c r="Q6" t="n">
        <v>320.26333894243</v>
      </c>
      <c r="R6" t="n">
        <v>335.545329376855</v>
      </c>
      <c r="S6" t="n">
        <v>453.740603520384</v>
      </c>
      <c r="T6" t="n">
        <v>329.202655361318</v>
      </c>
      <c r="U6" t="n">
        <v>328.17886</v>
      </c>
      <c r="V6" t="n">
        <v>122.836102236422</v>
      </c>
      <c r="W6" t="n">
        <v>191.862199322357</v>
      </c>
      <c r="X6" t="n">
        <v>303.63265743482</v>
      </c>
      <c r="Y6" t="n">
        <v>244.985446541782</v>
      </c>
      <c r="Z6" t="n">
        <v>253.626165685592</v>
      </c>
      <c r="AA6" t="n">
        <v>216.676044413136</v>
      </c>
      <c r="AB6" t="n">
        <v>250.11461262753</v>
      </c>
      <c r="AC6" t="n">
        <v>319.172345831104</v>
      </c>
      <c r="AD6"/>
      <c r="AE6"/>
      <c r="AF6"/>
    </row>
    <row r="7">
      <c r="A7" t="s">
        <v>14</v>
      </c>
      <c r="B7" t="s">
        <v>171</v>
      </c>
      <c r="C7" t="s">
        <v>131</v>
      </c>
      <c r="D7" t="s">
        <v>172</v>
      </c>
      <c r="E7" t="s">
        <v>132</v>
      </c>
      <c r="F7"/>
      <c r="G7"/>
      <c r="H7"/>
      <c r="I7"/>
      <c r="J7"/>
      <c r="K7"/>
      <c r="L7" t="n">
        <v>2021.1414024574</v>
      </c>
      <c r="M7" t="n">
        <v>2836.83108823806</v>
      </c>
      <c r="N7" t="n">
        <v>2836.65921860974</v>
      </c>
      <c r="O7" t="n">
        <v>2783.54376364338</v>
      </c>
      <c r="P7" t="n">
        <v>3114.47774165566</v>
      </c>
      <c r="Q7" t="n">
        <v>4148.8561462428</v>
      </c>
      <c r="R7" t="n">
        <v>3565.89568243147</v>
      </c>
      <c r="S7" t="n">
        <v>3343.57556003822</v>
      </c>
      <c r="T7" t="n">
        <v>1872.95434588812</v>
      </c>
      <c r="U7" t="n">
        <v>1757.605544</v>
      </c>
      <c r="V7" t="n">
        <v>1070.94350971769</v>
      </c>
      <c r="W7" t="n">
        <v>1713.32952705846</v>
      </c>
      <c r="X7" t="n">
        <v>1205.03675976837</v>
      </c>
      <c r="Y7" t="n">
        <v>1639.27554544557</v>
      </c>
      <c r="Z7" t="n">
        <v>1453.25781625656</v>
      </c>
      <c r="AA7" t="n">
        <v>1718.93163599801</v>
      </c>
      <c r="AB7" t="n">
        <v>1737.93631681965</v>
      </c>
      <c r="AC7" t="n">
        <v>1391.15356764344</v>
      </c>
      <c r="AD7"/>
      <c r="AE7"/>
      <c r="AF7"/>
    </row>
    <row r="8">
      <c r="A8" t="s">
        <v>14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</v>
      </c>
      <c r="B10" t="s">
        <v>177</v>
      </c>
      <c r="C10" t="s">
        <v>131</v>
      </c>
      <c r="D10" t="s">
        <v>178</v>
      </c>
      <c r="E10" t="s">
        <v>132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6902.17417078487</v>
      </c>
      <c r="M10" t="n">
        <v>9247.07279153588</v>
      </c>
      <c r="N10" t="n">
        <v>13933.189623066</v>
      </c>
      <c r="O10" t="n">
        <v>11421.6638690837</v>
      </c>
      <c r="P10" t="n">
        <v>12061.9345806143</v>
      </c>
      <c r="Q10" t="n">
        <v>14707.755218509</v>
      </c>
      <c r="R10" t="n">
        <v>12139.8888510831</v>
      </c>
      <c r="S10" t="n">
        <v>16474.1358875631</v>
      </c>
      <c r="T10" t="n">
        <v>20837.0148290121</v>
      </c>
      <c r="U10" t="n">
        <v>29781.003768</v>
      </c>
      <c r="V10" t="n">
        <v>18748.7633986482</v>
      </c>
      <c r="W10" t="n">
        <v>20739.5039634539</v>
      </c>
      <c r="X10" t="n">
        <v>22149.3376481313</v>
      </c>
      <c r="Y10" t="n">
        <v>33136.124251184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 t="n">
        <v>6902.17417078487</v>
      </c>
      <c r="M11" t="n">
        <v>9247.07279153588</v>
      </c>
      <c r="N11" t="n">
        <v>13933.189623066</v>
      </c>
      <c r="O11" t="n">
        <v>11421.6638690837</v>
      </c>
      <c r="P11" t="n">
        <v>12061.9345806143</v>
      </c>
      <c r="Q11" t="n">
        <v>14707.755218509</v>
      </c>
      <c r="R11" t="n">
        <v>12139.8888510831</v>
      </c>
      <c r="S11" t="n">
        <v>16474.1358875631</v>
      </c>
      <c r="T11" t="n">
        <v>20837.0148290121</v>
      </c>
      <c r="U11" t="n">
        <v>29781.003768</v>
      </c>
      <c r="V11" t="n">
        <v>18748.7633986482</v>
      </c>
      <c r="W11" t="n">
        <v>20739.5039634539</v>
      </c>
      <c r="X11" t="n">
        <v>22149.3376481313</v>
      </c>
      <c r="Y11" t="n">
        <v>33136.124251184</v>
      </c>
      <c r="Z11"/>
      <c r="AA11"/>
      <c r="AB11"/>
      <c r="AC11"/>
      <c r="AD11"/>
      <c r="AE11"/>
      <c r="AF11"/>
    </row>
    <row r="12">
      <c r="A12" t="s">
        <v>14</v>
      </c>
      <c r="B12" t="s">
        <v>181</v>
      </c>
      <c r="C12" t="s">
        <v>131</v>
      </c>
      <c r="D12" t="s">
        <v>182</v>
      </c>
      <c r="E12" t="s">
        <v>132</v>
      </c>
      <c r="F12"/>
      <c r="G12"/>
      <c r="H12"/>
      <c r="I12"/>
      <c r="J12"/>
      <c r="K12"/>
      <c r="L12" t="n">
        <v>1977.98480373527</v>
      </c>
      <c r="M12" t="n">
        <v>1980.20295151699</v>
      </c>
      <c r="N12" t="n">
        <v>2204.66826378378</v>
      </c>
      <c r="O12" t="n">
        <v>2379.76780653111</v>
      </c>
      <c r="P12" t="n">
        <v>2557.39493786606</v>
      </c>
      <c r="Q12" t="n">
        <v>2769.3307998653</v>
      </c>
      <c r="R12" t="n">
        <v>3453.83800778668</v>
      </c>
      <c r="S12" t="n">
        <v>3042.26615964218</v>
      </c>
      <c r="T12" t="n">
        <v>2202.58900424807</v>
      </c>
      <c r="U12" t="n">
        <v>1781.75465</v>
      </c>
      <c r="V12" t="n">
        <v>1688.60305403893</v>
      </c>
      <c r="W12" t="n">
        <v>1580.32409427683</v>
      </c>
      <c r="X12" t="n">
        <v>1541.65450189017</v>
      </c>
      <c r="Y12" t="n">
        <v>2056.02623569552</v>
      </c>
      <c r="Z12" t="n">
        <v>2081.31657113089</v>
      </c>
      <c r="AA12" t="n">
        <v>2778.10443802992</v>
      </c>
      <c r="AB12" t="n">
        <v>2473.55810229072</v>
      </c>
      <c r="AC12" t="n">
        <v>2871.98518033593</v>
      </c>
      <c r="AD12"/>
      <c r="AE12"/>
      <c r="AF12"/>
    </row>
    <row r="13">
      <c r="A13" t="s">
        <v>14</v>
      </c>
      <c r="B13" t="s">
        <v>183</v>
      </c>
      <c r="C13" t="s">
        <v>131</v>
      </c>
      <c r="D13" t="s">
        <v>184</v>
      </c>
      <c r="E13" t="s">
        <v>132</v>
      </c>
      <c r="F13"/>
      <c r="G13"/>
      <c r="H13"/>
      <c r="I13"/>
      <c r="J13"/>
      <c r="K13"/>
      <c r="L13" t="n">
        <v>1335.64378958964</v>
      </c>
      <c r="M13" t="n">
        <v>1456.95221674877</v>
      </c>
      <c r="N13" t="n">
        <v>1558.83269968608</v>
      </c>
      <c r="O13" t="n">
        <v>1607.36506580606</v>
      </c>
      <c r="P13" t="n">
        <v>2045.54760545541</v>
      </c>
      <c r="Q13" t="n">
        <v>1964.00747695889</v>
      </c>
      <c r="R13" t="n">
        <v>2480.48708147036</v>
      </c>
      <c r="S13" t="n">
        <v>2847.78577139355</v>
      </c>
      <c r="T13" t="n">
        <v>1530.75759630741</v>
      </c>
      <c r="U13" t="n">
        <v>1578.20323</v>
      </c>
      <c r="V13" t="n">
        <v>1342.03216725316</v>
      </c>
      <c r="W13" t="n">
        <v>1044.94144926511</v>
      </c>
      <c r="X13" t="n">
        <v>1705.16427693927</v>
      </c>
      <c r="Y13" t="n">
        <v>1726.16143150699</v>
      </c>
      <c r="Z13" t="n">
        <v>1852.73769054782</v>
      </c>
      <c r="AA13" t="n">
        <v>2470.36894408056</v>
      </c>
      <c r="AB13" t="n">
        <v>2779.79385672954</v>
      </c>
      <c r="AC13" t="n">
        <v>1814.0845362955</v>
      </c>
      <c r="AD13"/>
      <c r="AE13"/>
      <c r="AF13"/>
    </row>
    <row r="14">
      <c r="A14" t="s">
        <v>14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 t="n">
        <v>17393.0052318863</v>
      </c>
      <c r="M14" t="n">
        <v>21278.8269377971</v>
      </c>
      <c r="N14" t="n">
        <v>16491.682388886</v>
      </c>
      <c r="O14" t="n">
        <v>23165.2961407423</v>
      </c>
      <c r="P14" t="n">
        <v>23790.6554119846</v>
      </c>
      <c r="Q14" t="n">
        <v>28753.2256099184</v>
      </c>
      <c r="R14" t="n">
        <v>23010.287432929</v>
      </c>
      <c r="S14" t="n">
        <v>23604.5345128686</v>
      </c>
      <c r="T14" t="n">
        <v>9735.92402418003</v>
      </c>
      <c r="U14" t="n">
        <v>6391.946774</v>
      </c>
      <c r="V14" t="n">
        <v>3923.323335903</v>
      </c>
      <c r="W14" t="n">
        <v>8692.88831570918</v>
      </c>
      <c r="X14" t="n">
        <v>8612.59809366745</v>
      </c>
      <c r="Y14" t="n">
        <v>9506.85331464852</v>
      </c>
      <c r="Z14"/>
      <c r="AA14"/>
      <c r="AB14"/>
      <c r="AC14"/>
      <c r="AD14"/>
      <c r="AE14"/>
      <c r="AF14"/>
    </row>
    <row r="15">
      <c r="A15" t="s">
        <v>14</v>
      </c>
      <c r="B15" t="s">
        <v>187</v>
      </c>
      <c r="C15" t="s">
        <v>131</v>
      </c>
      <c r="D15" t="s">
        <v>188</v>
      </c>
      <c r="E15" t="s">
        <v>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18196.4365922677</v>
      </c>
      <c r="M15" t="n">
        <v>22416.5659707115</v>
      </c>
      <c r="N15" t="n">
        <v>16974.5447537473</v>
      </c>
      <c r="O15" t="n">
        <v>23294.0195857328</v>
      </c>
      <c r="P15" t="n">
        <v>24442.8991795084</v>
      </c>
      <c r="Q15" t="n">
        <v>29549.0368853946</v>
      </c>
      <c r="R15" t="n">
        <v>24192.0807681092</v>
      </c>
      <c r="S15" t="n">
        <v>24926.4273020873</v>
      </c>
      <c r="T15" t="n">
        <v>9885.34283099955</v>
      </c>
      <c r="U15" t="n">
        <v>6509.893814</v>
      </c>
      <c r="V15" t="n">
        <v>4319.72696200981</v>
      </c>
      <c r="W15" t="n">
        <v>9164.96989839455</v>
      </c>
      <c r="X15" t="n">
        <v>9162.0677395626</v>
      </c>
      <c r="Y15" t="n">
        <v>10039.5616881019</v>
      </c>
      <c r="Z15" t="n">
        <v>787.781919797933</v>
      </c>
      <c r="AA15" t="n">
        <v>1245.22833138037</v>
      </c>
      <c r="AB15" t="n">
        <v>1153.87077679422</v>
      </c>
      <c r="AC15" t="n">
        <v>602.462084732432</v>
      </c>
      <c r="AD15" t="n">
        <v>0</v>
      </c>
      <c r="AE15" t="n">
        <v>0</v>
      </c>
      <c r="AF15" t="n">
        <v>0</v>
      </c>
    </row>
    <row r="16">
      <c r="A16" t="s">
        <v>14</v>
      </c>
      <c r="B16" t="s">
        <v>189</v>
      </c>
      <c r="C16" t="s">
        <v>131</v>
      </c>
      <c r="D16" t="s">
        <v>190</v>
      </c>
      <c r="E16" t="s">
        <v>132</v>
      </c>
      <c r="F16"/>
      <c r="G16"/>
      <c r="H16"/>
      <c r="I16"/>
      <c r="J16"/>
      <c r="K16"/>
      <c r="L16" t="n">
        <v>803.431360381427</v>
      </c>
      <c r="M16" t="n">
        <v>1137.73903291435</v>
      </c>
      <c r="N16" t="n">
        <v>482.862364861336</v>
      </c>
      <c r="O16" t="n">
        <v>128.723444990503</v>
      </c>
      <c r="P16" t="n">
        <v>652.243767523745</v>
      </c>
      <c r="Q16" t="n">
        <v>795.811275476262</v>
      </c>
      <c r="R16" t="n">
        <v>1181.79333518022</v>
      </c>
      <c r="S16" t="n">
        <v>1321.89278921872</v>
      </c>
      <c r="T16" t="n">
        <v>149.418806819524</v>
      </c>
      <c r="U16" t="n">
        <v>117.94704</v>
      </c>
      <c r="V16" t="n">
        <v>396.403626106816</v>
      </c>
      <c r="W16" t="n">
        <v>472.081582685376</v>
      </c>
      <c r="X16" t="n">
        <v>549.469645895149</v>
      </c>
      <c r="Y16" t="n">
        <v>532.708373453339</v>
      </c>
      <c r="Z16" t="n">
        <v>787.781919797933</v>
      </c>
      <c r="AA16" t="n">
        <v>1245.22833138037</v>
      </c>
      <c r="AB16" t="n">
        <v>1153.87077679422</v>
      </c>
      <c r="AC16" t="n">
        <v>602.462084732432</v>
      </c>
      <c r="AD16"/>
      <c r="AE16"/>
      <c r="AF16"/>
    </row>
    <row r="17">
      <c r="A17" t="s">
        <v>14</v>
      </c>
      <c r="B17" t="s">
        <v>191</v>
      </c>
      <c r="C17" t="s">
        <v>131</v>
      </c>
      <c r="D17" t="s">
        <v>192</v>
      </c>
      <c r="E17" t="s">
        <v>132</v>
      </c>
      <c r="F17"/>
      <c r="G17"/>
      <c r="H17"/>
      <c r="I17"/>
      <c r="J17"/>
      <c r="K17"/>
      <c r="L17" t="n">
        <v>866.491125727082</v>
      </c>
      <c r="M17" t="n">
        <v>1011.7001071301</v>
      </c>
      <c r="N17" t="n">
        <v>1781.47463229746</v>
      </c>
      <c r="O17" t="n">
        <v>1286.74342692677</v>
      </c>
      <c r="P17" t="n">
        <v>1878.47843665611</v>
      </c>
      <c r="Q17" t="n">
        <v>2001.77929932167</v>
      </c>
      <c r="R17" t="n">
        <v>2115.74637618415</v>
      </c>
      <c r="S17" t="n">
        <v>1907.22270376629</v>
      </c>
      <c r="T17" t="n">
        <v>1769.88465163947</v>
      </c>
      <c r="U17" t="n">
        <v>1575.805554</v>
      </c>
      <c r="V17" t="n">
        <v>1024.90211998073</v>
      </c>
      <c r="W17" t="n">
        <v>1640.83560803826</v>
      </c>
      <c r="X17" t="n">
        <v>1505.52179057973</v>
      </c>
      <c r="Y17" t="n">
        <v>1789.5050639112</v>
      </c>
      <c r="Z17"/>
      <c r="AA17"/>
      <c r="AB17"/>
      <c r="AC17"/>
      <c r="AD17"/>
      <c r="AE17"/>
      <c r="AF17"/>
    </row>
    <row r="18">
      <c r="A18" t="s">
        <v>14</v>
      </c>
      <c r="B18" t="s">
        <v>193</v>
      </c>
      <c r="C18" t="s">
        <v>131</v>
      </c>
      <c r="D18" t="s">
        <v>194</v>
      </c>
      <c r="E18" t="s">
        <v>132</v>
      </c>
      <c r="F18"/>
      <c r="G18"/>
      <c r="H18"/>
      <c r="I18"/>
      <c r="J18"/>
      <c r="K18"/>
      <c r="L18" t="n">
        <v>701.808629170231</v>
      </c>
      <c r="M18" t="n">
        <v>751.292099984571</v>
      </c>
      <c r="N18" t="n">
        <v>533.285365778422</v>
      </c>
      <c r="O18" t="n">
        <v>947.46953245254</v>
      </c>
      <c r="P18" t="n">
        <v>650.351144747809</v>
      </c>
      <c r="Q18" t="n">
        <v>908.213813339909</v>
      </c>
      <c r="R18" t="n">
        <v>1030.29845963798</v>
      </c>
      <c r="S18" t="n">
        <v>1102.71097016678</v>
      </c>
      <c r="T18" t="n">
        <v>673.468048780488</v>
      </c>
      <c r="U18" t="n">
        <v>642.71783</v>
      </c>
      <c r="V18" t="n">
        <v>284.602409777544</v>
      </c>
      <c r="W18" t="n">
        <v>562.494323969847</v>
      </c>
      <c r="X18" t="n">
        <v>530.75923010654</v>
      </c>
      <c r="Y18" t="n">
        <v>475.092637591037</v>
      </c>
      <c r="Z18"/>
      <c r="AA18" t="n">
        <v>514.455199846771</v>
      </c>
      <c r="AB18" t="n">
        <v>654.893260162836</v>
      </c>
      <c r="AC18"/>
      <c r="AD18"/>
      <c r="AE18"/>
      <c r="AF18"/>
    </row>
    <row r="19">
      <c r="A19" t="s">
        <v>14</v>
      </c>
      <c r="B19" t="s">
        <v>195</v>
      </c>
      <c r="C19" t="s">
        <v>131</v>
      </c>
      <c r="D19" t="s">
        <v>196</v>
      </c>
      <c r="E19" t="s">
        <v>132</v>
      </c>
      <c r="F19"/>
      <c r="G19"/>
      <c r="H19"/>
      <c r="I19"/>
      <c r="J19"/>
      <c r="K19"/>
      <c r="L19" t="n">
        <v>2564.1408982598</v>
      </c>
      <c r="M19" t="n">
        <v>2600.73253111544</v>
      </c>
      <c r="N19" t="n">
        <v>2937.48938185231</v>
      </c>
      <c r="O19" t="n">
        <v>4034.1178822948</v>
      </c>
      <c r="P19" t="n">
        <v>6787.04472159688</v>
      </c>
      <c r="Q19" t="n">
        <v>4011.41227092073</v>
      </c>
      <c r="R19" t="n">
        <v>5628.75872364352</v>
      </c>
      <c r="S19" t="n">
        <v>6067.0491270808</v>
      </c>
      <c r="T19" t="n">
        <v>3582.51091286307</v>
      </c>
      <c r="U19" t="n">
        <v>2005.1585</v>
      </c>
      <c r="V19" t="n">
        <v>1089.07025397175</v>
      </c>
      <c r="W19" t="n">
        <v>9457.96524469215</v>
      </c>
      <c r="X19" t="n">
        <v>3782.81529699813</v>
      </c>
      <c r="Y19" t="n">
        <v>6335.6692989229</v>
      </c>
      <c r="Z19" t="n">
        <v>-5588.27338961558</v>
      </c>
      <c r="AA19" t="n">
        <v>-8802.55576031122</v>
      </c>
      <c r="AB19" t="n">
        <v>-2937.23033200438</v>
      </c>
      <c r="AC19" t="n">
        <v>-6172.55205500774</v>
      </c>
      <c r="AD19"/>
      <c r="AE19"/>
      <c r="AF19"/>
    </row>
    <row r="20">
      <c r="A20" t="s">
        <v>14</v>
      </c>
      <c r="B20" t="s">
        <v>197</v>
      </c>
      <c r="C20" t="s">
        <v>131</v>
      </c>
      <c r="D20" t="s">
        <v>198</v>
      </c>
      <c r="E20" t="s">
        <v>132</v>
      </c>
      <c r="F20"/>
      <c r="G20"/>
      <c r="H20"/>
      <c r="I20"/>
      <c r="J20"/>
      <c r="K20"/>
      <c r="L20" t="n">
        <v>1289.28396133335</v>
      </c>
      <c r="M20" t="n">
        <v>1548.60830055943</v>
      </c>
      <c r="N20" t="n">
        <v>1360.6137040565</v>
      </c>
      <c r="O20" t="n">
        <v>2020.68360985769</v>
      </c>
      <c r="P20" t="n">
        <v>3368.478469285</v>
      </c>
      <c r="Q20" t="n">
        <v>3447.25727652423</v>
      </c>
      <c r="R20" t="n">
        <v>3324.76404974155</v>
      </c>
      <c r="S20" t="n">
        <v>4628.79956039637</v>
      </c>
      <c r="T20" t="n">
        <v>3199.89005751849</v>
      </c>
      <c r="U20" t="n">
        <v>3656.15776</v>
      </c>
      <c r="V20" t="n">
        <v>1820.84388450652</v>
      </c>
      <c r="W20" t="n">
        <v>3380.59084861923</v>
      </c>
      <c r="X20" t="n">
        <v>3531.04936854857</v>
      </c>
      <c r="Y20" t="n">
        <v>4553.09252749995</v>
      </c>
      <c r="Z20" t="n">
        <v>2949.935260222</v>
      </c>
      <c r="AA20" t="n">
        <v>3341.48906183951</v>
      </c>
      <c r="AB20" t="n">
        <v>2353.22248220811</v>
      </c>
      <c r="AC20" t="n">
        <v>3834.42215111911</v>
      </c>
      <c r="AD20"/>
      <c r="AE20"/>
      <c r="AF20"/>
    </row>
    <row r="21">
      <c r="A21" t="s">
        <v>14</v>
      </c>
      <c r="B21" t="s">
        <v>199</v>
      </c>
      <c r="C21" t="s">
        <v>131</v>
      </c>
      <c r="D21" t="s">
        <v>200</v>
      </c>
      <c r="E21" t="s">
        <v>132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2119.75924126095</v>
      </c>
      <c r="M21" t="n">
        <v>2474.10111154812</v>
      </c>
      <c r="N21" t="n">
        <v>2540.9871670775</v>
      </c>
      <c r="O21" t="n">
        <v>2806.54508193312</v>
      </c>
      <c r="P21" t="n">
        <v>4686.78597514895</v>
      </c>
      <c r="Q21" t="n">
        <v>4854.99692777517</v>
      </c>
      <c r="R21" t="n">
        <v>5269.12839462068</v>
      </c>
      <c r="S21" t="n">
        <v>6747.53442534514</v>
      </c>
      <c r="T21" t="n">
        <v>4985.70369818915</v>
      </c>
      <c r="U21" t="n">
        <v>4127.227893</v>
      </c>
      <c r="V21" t="n">
        <v>3557.68648795329</v>
      </c>
      <c r="W21" t="n">
        <v>4450.62116055736</v>
      </c>
      <c r="X21" t="n">
        <v>5018.47027559578</v>
      </c>
      <c r="Y21" t="n">
        <v>5728.58475719854</v>
      </c>
      <c r="Z21" t="n">
        <v>3181.44474325768</v>
      </c>
      <c r="AA21" t="n">
        <v>4673.25257588015</v>
      </c>
      <c r="AB21" t="n">
        <v>3733.7879490692</v>
      </c>
      <c r="AC21" t="n">
        <v>4806.81765930502</v>
      </c>
      <c r="AD21" t="n">
        <v>0</v>
      </c>
      <c r="AE21" t="n">
        <v>0</v>
      </c>
      <c r="AF21" t="n">
        <v>0</v>
      </c>
    </row>
    <row r="22">
      <c r="A22" t="s">
        <v>14</v>
      </c>
      <c r="B22" t="s">
        <v>201</v>
      </c>
      <c r="C22" t="s">
        <v>131</v>
      </c>
      <c r="D22" t="s">
        <v>202</v>
      </c>
      <c r="E22" t="s">
        <v>132</v>
      </c>
      <c r="F22"/>
      <c r="G22"/>
      <c r="H22"/>
      <c r="I22"/>
      <c r="J22"/>
      <c r="K22"/>
      <c r="L22" t="n">
        <v>830.475279927604</v>
      </c>
      <c r="M22" t="n">
        <v>925.492810988689</v>
      </c>
      <c r="N22" t="n">
        <v>1180.37346302099</v>
      </c>
      <c r="O22" t="n">
        <v>785.861472075429</v>
      </c>
      <c r="P22" t="n">
        <v>1318.30750586396</v>
      </c>
      <c r="Q22" t="n">
        <v>1407.73965125095</v>
      </c>
      <c r="R22" t="n">
        <v>1944.36434487912</v>
      </c>
      <c r="S22" t="n">
        <v>2118.73486494877</v>
      </c>
      <c r="T22" t="n">
        <v>1785.81364067066</v>
      </c>
      <c r="U22" t="n">
        <v>471.070133</v>
      </c>
      <c r="V22" t="n">
        <v>1736.84260344677</v>
      </c>
      <c r="W22" t="n">
        <v>1070.03031193813</v>
      </c>
      <c r="X22" t="n">
        <v>1487.42090704721</v>
      </c>
      <c r="Y22" t="n">
        <v>1175.49222969859</v>
      </c>
      <c r="Z22" t="n">
        <v>231.509483035685</v>
      </c>
      <c r="AA22" t="n">
        <v>1331.76351404065</v>
      </c>
      <c r="AB22" t="n">
        <v>1380.56546686109</v>
      </c>
      <c r="AC22" t="n">
        <v>972.395508185909</v>
      </c>
      <c r="AD22"/>
      <c r="AE22"/>
      <c r="AF22"/>
    </row>
    <row r="23">
      <c r="A23" t="s">
        <v>14</v>
      </c>
      <c r="B23" t="s">
        <v>203</v>
      </c>
      <c r="C23" t="s">
        <v>131</v>
      </c>
      <c r="D23" t="s">
        <v>204</v>
      </c>
      <c r="E23" t="s">
        <v>132</v>
      </c>
      <c r="F23"/>
      <c r="G23"/>
      <c r="H23"/>
      <c r="I23"/>
      <c r="J23"/>
      <c r="K23"/>
      <c r="L23" t="n">
        <v>14482.0388448207</v>
      </c>
      <c r="M23" t="n">
        <v>16523.4196322908</v>
      </c>
      <c r="N23" t="n">
        <v>17681.7691514802</v>
      </c>
      <c r="O23" t="n">
        <v>20500.0298362669</v>
      </c>
      <c r="P23" t="n">
        <v>22752.4022306975</v>
      </c>
      <c r="Q23" t="n">
        <v>26895.5628685556</v>
      </c>
      <c r="R23" t="n">
        <v>36803.6686404167</v>
      </c>
      <c r="S23" t="n">
        <v>41486.126512107</v>
      </c>
      <c r="T23" t="n">
        <v>25219.878381237</v>
      </c>
      <c r="U23" t="n">
        <v>12861.422652</v>
      </c>
      <c r="V23" t="n">
        <v>5469.36580891508</v>
      </c>
      <c r="W23" t="n">
        <v>7367.15209700263</v>
      </c>
      <c r="X23" t="n">
        <v>4019.66414807551</v>
      </c>
      <c r="Y23" t="n">
        <v>9275.73577258768</v>
      </c>
      <c r="Z23" t="n">
        <v>9703.60693292166</v>
      </c>
      <c r="AA23" t="n">
        <v>12742.3240571745</v>
      </c>
      <c r="AB23" t="n">
        <v>16734.141363213</v>
      </c>
      <c r="AC23" t="n">
        <v>19334.6764145068</v>
      </c>
      <c r="AD23"/>
      <c r="AE23"/>
      <c r="AF23"/>
    </row>
    <row r="24">
      <c r="A24" t="s">
        <v>14</v>
      </c>
      <c r="B24" t="s">
        <v>205</v>
      </c>
      <c r="C24" t="s">
        <v>131</v>
      </c>
      <c r="D24" t="s">
        <v>206</v>
      </c>
      <c r="E24" t="s">
        <v>132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5911.75142474019</v>
      </c>
      <c r="M24" t="n">
        <v>6195.16829021827</v>
      </c>
      <c r="N24" t="n">
        <v>6766.87294236738</v>
      </c>
      <c r="O24" t="n">
        <v>9161.86226233122</v>
      </c>
      <c r="P24" t="n">
        <v>7779.86091723125</v>
      </c>
      <c r="Q24" t="n">
        <v>12915.7165845996</v>
      </c>
      <c r="R24" t="n">
        <v>15579.9162712391</v>
      </c>
      <c r="S24" t="n">
        <v>15542.0333597056</v>
      </c>
      <c r="T24" t="n">
        <v>16085.8476765638</v>
      </c>
      <c r="U24" t="n">
        <v>15763.973061</v>
      </c>
      <c r="V24" t="n">
        <v>16732.5284326159</v>
      </c>
      <c r="W24" t="n">
        <v>16455.5610776676</v>
      </c>
      <c r="X24" t="n">
        <v>15297.2765466265</v>
      </c>
      <c r="Y24" t="n">
        <v>14786.8245592743</v>
      </c>
      <c r="Z24" t="n">
        <v>12514.4987927546</v>
      </c>
      <c r="AA24" t="n">
        <v>24717.2672331468</v>
      </c>
      <c r="AB24" t="n">
        <v>20017.2415927793</v>
      </c>
      <c r="AC24" t="n">
        <v>25383.2787323075</v>
      </c>
      <c r="AD24" t="n">
        <v>0</v>
      </c>
      <c r="AE24" t="n">
        <v>0</v>
      </c>
      <c r="AF24" t="n">
        <v>0</v>
      </c>
    </row>
    <row r="25">
      <c r="A25" t="s">
        <v>14</v>
      </c>
      <c r="B25" t="s">
        <v>207</v>
      </c>
      <c r="C25" t="s">
        <v>131</v>
      </c>
      <c r="D25" t="s">
        <v>208</v>
      </c>
      <c r="E25" t="s">
        <v>132</v>
      </c>
      <c r="F25"/>
      <c r="G25"/>
      <c r="H25"/>
      <c r="I25"/>
      <c r="J25"/>
      <c r="K25"/>
      <c r="L25" t="n">
        <v>911.020797016426</v>
      </c>
      <c r="M25" t="n">
        <v>480.804082457558</v>
      </c>
      <c r="N25" t="n">
        <v>369.799720791573</v>
      </c>
      <c r="O25" t="n">
        <v>1040.58093138606</v>
      </c>
      <c r="P25" t="n">
        <v>406.082165158478</v>
      </c>
      <c r="Q25" t="n">
        <v>826.992662649053</v>
      </c>
      <c r="R25" t="n">
        <v>1241.20075689208</v>
      </c>
      <c r="S25" t="n">
        <v>1215.56479296145</v>
      </c>
      <c r="T25" t="n">
        <v>1375.21816754834</v>
      </c>
      <c r="U25" t="n">
        <v>766.647175</v>
      </c>
      <c r="V25" t="n">
        <v>152.465398757334</v>
      </c>
      <c r="W25" t="n">
        <v>688.807716283715</v>
      </c>
      <c r="X25" t="n">
        <v>785.728825575114</v>
      </c>
      <c r="Y25" t="n">
        <v>509.304015904516</v>
      </c>
      <c r="Z25" t="n">
        <v>452.909134113041</v>
      </c>
      <c r="AA25" t="n">
        <v>886.664885241113</v>
      </c>
      <c r="AB25" t="n">
        <v>1092.02685941785</v>
      </c>
      <c r="AC25" t="n">
        <v>1751.1802541856</v>
      </c>
      <c r="AD25"/>
      <c r="AE25"/>
      <c r="AF25"/>
    </row>
    <row r="26">
      <c r="A26" t="s">
        <v>14</v>
      </c>
      <c r="B26" t="s">
        <v>209</v>
      </c>
      <c r="C26" t="s">
        <v>131</v>
      </c>
      <c r="D26" t="s">
        <v>210</v>
      </c>
      <c r="E26" t="s">
        <v>132</v>
      </c>
      <c r="F26"/>
      <c r="G26"/>
      <c r="H26"/>
      <c r="I26"/>
      <c r="J26"/>
      <c r="K26"/>
      <c r="L26" t="n">
        <v>2518.2605640295</v>
      </c>
      <c r="M26" t="n">
        <v>3738.60894300728</v>
      </c>
      <c r="N26" t="n">
        <v>3776.24696708455</v>
      </c>
      <c r="O26" t="n">
        <v>4092.05881573648</v>
      </c>
      <c r="P26" t="n">
        <v>5486.93978206282</v>
      </c>
      <c r="Q26" t="n">
        <v>7569.49193506899</v>
      </c>
      <c r="R26" t="n">
        <v>7707.6663687617</v>
      </c>
      <c r="S26" t="n">
        <v>8709.76016033096</v>
      </c>
      <c r="T26" t="n">
        <v>7064.94651153309</v>
      </c>
      <c r="U26" t="n">
        <v>10986.726352</v>
      </c>
      <c r="V26" t="n">
        <v>12362.8163261955</v>
      </c>
      <c r="W26" t="n">
        <v>11340.4605088416</v>
      </c>
      <c r="X26" t="n">
        <v>9847.78115932516</v>
      </c>
      <c r="Y26" t="n">
        <v>9073.86287612093</v>
      </c>
      <c r="Z26" t="n">
        <v>9334.42685033877</v>
      </c>
      <c r="AA26" t="n">
        <v>17438.0512384904</v>
      </c>
      <c r="AB26" t="n">
        <v>12668.548778464</v>
      </c>
      <c r="AC26" t="n">
        <v>17529.9333288268</v>
      </c>
      <c r="AD26"/>
      <c r="AE26"/>
      <c r="AF26"/>
    </row>
    <row r="27">
      <c r="A27" t="s">
        <v>14</v>
      </c>
      <c r="B27" t="s">
        <v>211</v>
      </c>
      <c r="C27" t="s">
        <v>131</v>
      </c>
      <c r="D27" t="s">
        <v>212</v>
      </c>
      <c r="E27" t="s">
        <v>132</v>
      </c>
      <c r="F27"/>
      <c r="G27"/>
      <c r="H27"/>
      <c r="I27"/>
      <c r="J27"/>
      <c r="K27"/>
      <c r="L27" t="n">
        <v>2482.47006369427</v>
      </c>
      <c r="M27" t="n">
        <v>1975.75526475343</v>
      </c>
      <c r="N27" t="n">
        <v>2620.82625449125</v>
      </c>
      <c r="O27" t="n">
        <v>4029.22251520868</v>
      </c>
      <c r="P27" t="n">
        <v>1886.83897000995</v>
      </c>
      <c r="Q27" t="n">
        <v>4519.23198688151</v>
      </c>
      <c r="R27" t="n">
        <v>6631.04914558528</v>
      </c>
      <c r="S27" t="n">
        <v>5616.70840641324</v>
      </c>
      <c r="T27" t="n">
        <v>7645.68299748239</v>
      </c>
      <c r="U27" t="n">
        <v>4010.599534</v>
      </c>
      <c r="V27" t="n">
        <v>4217.24670766311</v>
      </c>
      <c r="W27" t="n">
        <v>4426.29285254229</v>
      </c>
      <c r="X27" t="n">
        <v>4663.76656172619</v>
      </c>
      <c r="Y27" t="n">
        <v>5203.65766724887</v>
      </c>
      <c r="Z27" t="n">
        <v>2727.16280830275</v>
      </c>
      <c r="AA27" t="n">
        <v>6392.55110941524</v>
      </c>
      <c r="AB27" t="n">
        <v>6256.66595489748</v>
      </c>
      <c r="AC27" t="n">
        <v>6102.16514929507</v>
      </c>
      <c r="AD27"/>
      <c r="AE27"/>
      <c r="AF27"/>
    </row>
    <row r="28">
      <c r="A28" t="s">
        <v>14</v>
      </c>
      <c r="B28" t="s">
        <v>213</v>
      </c>
      <c r="C28" t="s">
        <v>131</v>
      </c>
      <c r="D28" t="s">
        <v>214</v>
      </c>
      <c r="E28" t="s">
        <v>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2414.12096774194</v>
      </c>
      <c r="M28" t="n">
        <v>2363.89302028244</v>
      </c>
      <c r="N28" t="n">
        <v>2658.19548424633</v>
      </c>
      <c r="O28" t="n">
        <v>3444.07897505153</v>
      </c>
      <c r="P28" t="n">
        <v>4271.14951136123</v>
      </c>
      <c r="Q28" t="n">
        <v>4718.44219560207</v>
      </c>
      <c r="R28" t="n">
        <v>5006.53686123584</v>
      </c>
      <c r="S28" t="n">
        <v>8214.22037170665</v>
      </c>
      <c r="T28" t="n">
        <v>4754.1341234526</v>
      </c>
      <c r="U28" t="n">
        <v>6754.753088</v>
      </c>
      <c r="V28" t="n">
        <v>5355.12380273079</v>
      </c>
      <c r="W28" t="n">
        <v>12911.263250145</v>
      </c>
      <c r="X28" t="n">
        <v>8333.46702199519</v>
      </c>
      <c r="Y28" t="n">
        <v>8995.04136286056</v>
      </c>
      <c r="Z28" t="n">
        <v>-229.919389272804</v>
      </c>
      <c r="AA28" t="n">
        <v>-458.306436063661</v>
      </c>
      <c r="AB28" t="n">
        <v>-1314.93018086603</v>
      </c>
      <c r="AC28" t="n">
        <v>187.870441598631</v>
      </c>
      <c r="AD28" t="n">
        <v>0</v>
      </c>
      <c r="AE28" t="n">
        <v>0</v>
      </c>
      <c r="AF28" t="n">
        <v>0</v>
      </c>
    </row>
    <row r="29">
      <c r="A29" t="s">
        <v>14</v>
      </c>
      <c r="B29" t="s">
        <v>215</v>
      </c>
      <c r="C29" t="s">
        <v>131</v>
      </c>
      <c r="D29" t="s">
        <v>216</v>
      </c>
      <c r="E29" t="s">
        <v>132</v>
      </c>
      <c r="F29"/>
      <c r="G29"/>
      <c r="H29"/>
      <c r="I29"/>
      <c r="J29"/>
      <c r="K29"/>
      <c r="L29" t="n">
        <v>1303.1122891388</v>
      </c>
      <c r="M29" t="n">
        <v>1081.93604347068</v>
      </c>
      <c r="N29" t="n">
        <v>1098.23540547798</v>
      </c>
      <c r="O29" t="n">
        <v>1922.00225318075</v>
      </c>
      <c r="P29" t="n">
        <v>1744.08722277692</v>
      </c>
      <c r="Q29" t="n">
        <v>1363.1544027271</v>
      </c>
      <c r="R29" t="n">
        <v>1735.91783583105</v>
      </c>
      <c r="S29" t="n">
        <v>2837.07769584118</v>
      </c>
      <c r="T29" t="n">
        <v>947.742033536622</v>
      </c>
      <c r="U29" t="n">
        <v>2652.539858</v>
      </c>
      <c r="V29" t="n">
        <v>1776.71530651944</v>
      </c>
      <c r="W29" t="n">
        <v>6263.53985247545</v>
      </c>
      <c r="X29" t="n">
        <v>1386.34426682446</v>
      </c>
      <c r="Y29" t="n">
        <v>2153.05838722511</v>
      </c>
      <c r="Z29" t="n">
        <v>2426.44199524363</v>
      </c>
      <c r="AA29" t="n">
        <v>2339.45420932309</v>
      </c>
      <c r="AB29" t="n">
        <v>1538.39542834118</v>
      </c>
      <c r="AC29" t="n">
        <v>3458.67139832837</v>
      </c>
      <c r="AD29"/>
      <c r="AE29"/>
      <c r="AF29"/>
    </row>
    <row r="30">
      <c r="A30" t="s">
        <v>14</v>
      </c>
      <c r="B30" t="s">
        <v>217</v>
      </c>
      <c r="C30" t="s">
        <v>131</v>
      </c>
      <c r="D30" t="s">
        <v>218</v>
      </c>
      <c r="E30" t="s">
        <v>132</v>
      </c>
      <c r="F30"/>
      <c r="G30"/>
      <c r="H30"/>
      <c r="I30"/>
      <c r="J30"/>
      <c r="K30"/>
      <c r="L30" t="n">
        <v>184.269939331163</v>
      </c>
      <c r="M30" t="n">
        <v>221.99852385657</v>
      </c>
      <c r="N30" t="n">
        <v>202.884859470104</v>
      </c>
      <c r="O30" t="n">
        <v>266.684298812993</v>
      </c>
      <c r="P30" t="n">
        <v>-3.6690357326556</v>
      </c>
      <c r="Q30" t="n">
        <v>270.815901670828</v>
      </c>
      <c r="R30" t="n">
        <v>331.655834159426</v>
      </c>
      <c r="S30" t="n">
        <v>172.786036361076</v>
      </c>
      <c r="T30" t="n">
        <v>326.597621154989</v>
      </c>
      <c r="U30" t="n">
        <v>140.799295</v>
      </c>
      <c r="V30" t="n">
        <v>143.629607054857</v>
      </c>
      <c r="W30" t="n">
        <v>130.947842812025</v>
      </c>
      <c r="X30" t="n">
        <v>391.767277533297</v>
      </c>
      <c r="Y30" t="n">
        <v>478.821931417766</v>
      </c>
      <c r="Z30" t="n">
        <v>436.366038015542</v>
      </c>
      <c r="AA30" t="n">
        <v>450.389304402506</v>
      </c>
      <c r="AB30" t="n">
        <v>468.522620452193</v>
      </c>
      <c r="AC30" t="n">
        <v>468.731413157268</v>
      </c>
      <c r="AD30"/>
      <c r="AE30"/>
      <c r="AF30"/>
    </row>
    <row r="31">
      <c r="A31" t="s">
        <v>14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 t="n">
        <v>0.234914175791687</v>
      </c>
      <c r="M31" t="n">
        <v>559.401255303074</v>
      </c>
      <c r="N31" t="n">
        <v>432.10253311851</v>
      </c>
      <c r="O31" t="n">
        <v>700.791598550004</v>
      </c>
      <c r="P31" t="n">
        <v>829.626162597198</v>
      </c>
      <c r="Q31" t="n">
        <v>1479.8630281352</v>
      </c>
      <c r="R31" t="n">
        <v>1808.62142398974</v>
      </c>
      <c r="S31" t="n">
        <v>2038.90072862951</v>
      </c>
      <c r="T31" t="n">
        <v>2175.93754986239</v>
      </c>
      <c r="U31" t="n">
        <v>2488.006147</v>
      </c>
      <c r="V31" t="n">
        <v>2343.79590566352</v>
      </c>
      <c r="W31" t="n">
        <v>5141.7960857303</v>
      </c>
      <c r="X31" t="n">
        <v>5282.3476513313</v>
      </c>
      <c r="Y31" t="n">
        <v>5090.0474491204</v>
      </c>
      <c r="Z31"/>
      <c r="AA31"/>
      <c r="AB31"/>
      <c r="AC31"/>
      <c r="AD31"/>
      <c r="AE31"/>
      <c r="AF31"/>
    </row>
    <row r="32">
      <c r="A32" t="s">
        <v>14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 t="n">
        <v>816.891469369636</v>
      </c>
      <c r="M32" t="n">
        <v>473.200249898297</v>
      </c>
      <c r="N32" t="n">
        <v>946.758436269244</v>
      </c>
      <c r="O32" t="n">
        <v>575.391491932618</v>
      </c>
      <c r="P32" t="n">
        <v>1218.93406250946</v>
      </c>
      <c r="Q32" t="n">
        <v>1158.8362804878</v>
      </c>
      <c r="R32" t="n">
        <v>773.886885532684</v>
      </c>
      <c r="S32" t="n">
        <v>2625.08566148647</v>
      </c>
      <c r="T32" t="n">
        <v>1244.69149217358</v>
      </c>
      <c r="U32" t="n">
        <v>1065.376057</v>
      </c>
      <c r="V32" t="n">
        <v>831.915375067158</v>
      </c>
      <c r="W32" t="n">
        <v>965.978846272621</v>
      </c>
      <c r="X32" t="n">
        <v>863.692816779145</v>
      </c>
      <c r="Y32" t="n">
        <v>866.887613517525</v>
      </c>
      <c r="Z32"/>
      <c r="AA32"/>
      <c r="AB32"/>
      <c r="AC32"/>
      <c r="AD32"/>
      <c r="AE32"/>
      <c r="AF32"/>
    </row>
    <row r="33">
      <c r="A33" t="s">
        <v>14</v>
      </c>
      <c r="B33" t="s">
        <v>223</v>
      </c>
      <c r="C33" t="s">
        <v>131</v>
      </c>
      <c r="D33" t="s">
        <v>224</v>
      </c>
      <c r="E33" t="s">
        <v>132</v>
      </c>
      <c r="F33"/>
      <c r="G33"/>
      <c r="H33"/>
      <c r="I33"/>
      <c r="J33"/>
      <c r="K33"/>
      <c r="L33" t="n">
        <v>109.612355726546</v>
      </c>
      <c r="M33" t="n">
        <v>27.3569477538211</v>
      </c>
      <c r="N33" t="n">
        <v>-21.7857500895094</v>
      </c>
      <c r="O33" t="n">
        <v>-20.7906674248347</v>
      </c>
      <c r="P33" t="n">
        <v>482.171099210311</v>
      </c>
      <c r="Q33" t="n">
        <v>445.772582581141</v>
      </c>
      <c r="R33" t="n">
        <v>356.454881722938</v>
      </c>
      <c r="S33" t="n">
        <v>540.370249388409</v>
      </c>
      <c r="T33" t="n">
        <v>59.1654267250264</v>
      </c>
      <c r="U33" t="n">
        <v>408.031731</v>
      </c>
      <c r="V33" t="n">
        <v>259.067608425811</v>
      </c>
      <c r="W33" t="n">
        <v>409.000622854612</v>
      </c>
      <c r="X33" t="n">
        <v>409.315009526988</v>
      </c>
      <c r="Y33" t="n">
        <v>406.225981579757</v>
      </c>
      <c r="Z33" t="n">
        <v>427.47257746802</v>
      </c>
      <c r="AA33" t="n">
        <v>413.150050210739</v>
      </c>
      <c r="AB33" t="n">
        <v>341.051770340595</v>
      </c>
      <c r="AC33" t="n">
        <v>200.867630112995</v>
      </c>
      <c r="AD33"/>
      <c r="AE33"/>
      <c r="AF33"/>
    </row>
    <row r="34">
      <c r="A34" t="s">
        <v>14</v>
      </c>
      <c r="B34" t="s">
        <v>225</v>
      </c>
      <c r="C34" t="s">
        <v>131</v>
      </c>
      <c r="D34" t="s">
        <v>226</v>
      </c>
      <c r="E34" t="s">
        <v>132</v>
      </c>
      <c r="F34"/>
      <c r="G34"/>
      <c r="H34"/>
      <c r="I34"/>
      <c r="J34"/>
      <c r="K34"/>
      <c r="L34" t="n">
        <v>4220.2015503876</v>
      </c>
      <c r="M34" t="n">
        <v>4211.75851519747</v>
      </c>
      <c r="N34" t="n">
        <v>4350.08508506917</v>
      </c>
      <c r="O34" t="n">
        <v>4872.0091796875</v>
      </c>
      <c r="P34" t="n">
        <v>4230.76230448233</v>
      </c>
      <c r="Q34" t="n">
        <v>4428.59443570385</v>
      </c>
      <c r="R34" t="n">
        <v>4887.1648883625</v>
      </c>
      <c r="S34" t="n">
        <v>6969.97112263629</v>
      </c>
      <c r="T34" t="n">
        <v>5009.08331950364</v>
      </c>
      <c r="U34" t="n">
        <v>4279.689468</v>
      </c>
      <c r="V34" t="n">
        <v>3079.77986894794</v>
      </c>
      <c r="W34" t="n">
        <v>2904.94671141781</v>
      </c>
      <c r="X34" t="n">
        <v>2265.28406482065</v>
      </c>
      <c r="Y34" t="n">
        <v>2599.4616528862</v>
      </c>
      <c r="Z34" t="n">
        <v>2468.91578548896</v>
      </c>
      <c r="AA34" t="n">
        <v>2742.77739905088</v>
      </c>
      <c r="AB34" t="n">
        <v>2640.40337108156</v>
      </c>
      <c r="AC34" t="n">
        <v>1963.45698533327</v>
      </c>
      <c r="AD34"/>
      <c r="AE34"/>
      <c r="AF34"/>
    </row>
    <row r="35">
      <c r="A35" t="s">
        <v>14</v>
      </c>
      <c r="B35" t="s">
        <v>227</v>
      </c>
      <c r="C35" t="s">
        <v>131</v>
      </c>
      <c r="D35" t="s">
        <v>228</v>
      </c>
      <c r="E35" t="s">
        <v>132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22976.3216818042</v>
      </c>
      <c r="M35" t="n">
        <v>23382.4350322061</v>
      </c>
      <c r="N35" t="n">
        <v>22807.8030555127</v>
      </c>
      <c r="O35" t="n">
        <v>19436.1751247157</v>
      </c>
      <c r="P35" t="n">
        <v>23267.2013149262</v>
      </c>
      <c r="Q35" t="n">
        <v>30198.1588645155</v>
      </c>
      <c r="R35" t="n">
        <v>29233.7685350392</v>
      </c>
      <c r="S35" t="n">
        <v>32590.9001463121</v>
      </c>
      <c r="T35" t="n">
        <v>32998.2183191256</v>
      </c>
      <c r="U35" t="n">
        <v>34799.415618</v>
      </c>
      <c r="V35" t="n">
        <v>28375.2193111313</v>
      </c>
      <c r="W35" t="n">
        <v>46051.1229201994</v>
      </c>
      <c r="X35" t="n">
        <v>53825.063912431</v>
      </c>
      <c r="Y35" t="n">
        <v>55137.60443134</v>
      </c>
      <c r="Z35" t="n">
        <v>-18999.7070845903</v>
      </c>
      <c r="AA35" t="n">
        <v>-21214.5809265929</v>
      </c>
      <c r="AB35" t="n">
        <v>-27142.9185447625</v>
      </c>
      <c r="AC35" t="n">
        <v>-34069.8765103747</v>
      </c>
      <c r="AD35" t="n">
        <v>0</v>
      </c>
      <c r="AE35" t="n">
        <v>0</v>
      </c>
      <c r="AF35" t="n">
        <v>0</v>
      </c>
    </row>
    <row r="36">
      <c r="A36" t="s">
        <v>14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 t="n">
        <v>6357.87496111424</v>
      </c>
      <c r="M36" t="n">
        <v>8183.01489484781</v>
      </c>
      <c r="N36" t="n">
        <v>7186.81665575786</v>
      </c>
      <c r="O36" t="n">
        <v>7088.79652332928</v>
      </c>
      <c r="P36" t="n">
        <v>8052.55766283642</v>
      </c>
      <c r="Q36" t="n">
        <v>10306.9419142032</v>
      </c>
      <c r="R36" t="n">
        <v>11242.4964689266</v>
      </c>
      <c r="S36" t="n">
        <v>12821.6510361573</v>
      </c>
      <c r="T36" t="n">
        <v>8135.53239103375</v>
      </c>
      <c r="U36" t="n">
        <v>10880.900916</v>
      </c>
      <c r="V36" t="n">
        <v>5820.26443047078</v>
      </c>
      <c r="W36" t="n">
        <v>8419.60486402593</v>
      </c>
      <c r="X36" t="n">
        <v>14703.9917599242</v>
      </c>
      <c r="Y36" t="n">
        <v>14265.5144793726</v>
      </c>
      <c r="Z36"/>
      <c r="AA36"/>
      <c r="AB36"/>
      <c r="AC36"/>
      <c r="AD36"/>
      <c r="AE36"/>
      <c r="AF36"/>
    </row>
    <row r="37">
      <c r="A37" t="s">
        <v>14</v>
      </c>
      <c r="B37" t="s">
        <v>231</v>
      </c>
      <c r="C37" t="s">
        <v>131</v>
      </c>
      <c r="D37" t="s">
        <v>232</v>
      </c>
      <c r="E37" t="s">
        <v>132</v>
      </c>
      <c r="F37"/>
      <c r="G37"/>
      <c r="H37"/>
      <c r="I37"/>
      <c r="J37"/>
      <c r="K37"/>
      <c r="L37" t="n">
        <v>11522.4815493562</v>
      </c>
      <c r="M37" t="n">
        <v>9684.0264631397</v>
      </c>
      <c r="N37" t="n">
        <v>7851.89223047077</v>
      </c>
      <c r="O37" t="n">
        <v>6470.5843939715</v>
      </c>
      <c r="P37" t="n">
        <v>5508.62905083811</v>
      </c>
      <c r="Q37" t="n">
        <v>7459.95884315295</v>
      </c>
      <c r="R37" t="n">
        <v>8085.18149602402</v>
      </c>
      <c r="S37" t="n">
        <v>5263.57619922563</v>
      </c>
      <c r="T37" t="n">
        <v>4153.73824881803</v>
      </c>
      <c r="U37" t="n">
        <v>4532.369602</v>
      </c>
      <c r="V37" t="n">
        <v>1619.08339696385</v>
      </c>
      <c r="W37" t="n">
        <v>1322.22741480795</v>
      </c>
      <c r="X37" t="n">
        <v>1532.02372606302</v>
      </c>
      <c r="Y37" t="n">
        <v>1064.24253393864</v>
      </c>
      <c r="Z37" t="n">
        <v>1705.49291540968</v>
      </c>
      <c r="AA37" t="n">
        <v>2523.41907340708</v>
      </c>
      <c r="AB37" t="n">
        <v>3459.68145523745</v>
      </c>
      <c r="AC37" t="n">
        <v>2903.8234896253</v>
      </c>
      <c r="AD37"/>
      <c r="AE37"/>
      <c r="AF37"/>
    </row>
    <row r="38">
      <c r="A38" t="s">
        <v>14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 t="n">
        <v>5095.96517133382</v>
      </c>
      <c r="M38" t="n">
        <v>5515.39367421855</v>
      </c>
      <c r="N38" t="n">
        <v>7769.09416928405</v>
      </c>
      <c r="O38" t="n">
        <v>5876.79420741487</v>
      </c>
      <c r="P38" t="n">
        <v>9706.01460125163</v>
      </c>
      <c r="Q38" t="n">
        <v>12431.2581071593</v>
      </c>
      <c r="R38" t="n">
        <v>9906.09057008859</v>
      </c>
      <c r="S38" t="n">
        <v>14505.6729109292</v>
      </c>
      <c r="T38" t="n">
        <v>20708.9476792738</v>
      </c>
      <c r="U38" t="n">
        <v>19386.1451</v>
      </c>
      <c r="V38" t="n">
        <v>20935.8714836967</v>
      </c>
      <c r="W38" t="n">
        <v>36309.2906413655</v>
      </c>
      <c r="X38" t="n">
        <v>37589.0484264438</v>
      </c>
      <c r="Y38" t="n">
        <v>39807.8474180287</v>
      </c>
      <c r="Z38"/>
      <c r="AA38"/>
      <c r="AB38"/>
      <c r="AC38"/>
      <c r="AD38"/>
      <c r="AE38"/>
      <c r="AF38"/>
    </row>
    <row r="39">
      <c r="A39" t="s">
        <v>14</v>
      </c>
      <c r="B39" t="s">
        <v>235</v>
      </c>
      <c r="C39" t="s">
        <v>131</v>
      </c>
      <c r="D39" t="s">
        <v>236</v>
      </c>
      <c r="E39" t="s">
        <v>132</v>
      </c>
      <c r="F39"/>
      <c r="G39"/>
      <c r="H39"/>
      <c r="I39"/>
      <c r="J39"/>
      <c r="K39"/>
      <c r="L39" t="n">
        <v>9088.65308579265</v>
      </c>
      <c r="M39" t="n">
        <v>11269.9364423393</v>
      </c>
      <c r="N39" t="n">
        <v>10008.7453958463</v>
      </c>
      <c r="O39" t="n">
        <v>16011.6650123048</v>
      </c>
      <c r="P39" t="n">
        <v>18774.0340256884</v>
      </c>
      <c r="Q39" t="n">
        <v>25247.4633269763</v>
      </c>
      <c r="R39" t="n">
        <v>24973.7712365706</v>
      </c>
      <c r="S39" t="n">
        <v>26160.3954642616</v>
      </c>
      <c r="T39" t="n">
        <v>19533.3096188411</v>
      </c>
      <c r="U39" t="n">
        <v>19703.962492</v>
      </c>
      <c r="V39" t="n">
        <v>17821.7406258287</v>
      </c>
      <c r="W39" t="n">
        <v>14394.520890531</v>
      </c>
      <c r="X39" t="n">
        <v>16142.4631534031</v>
      </c>
      <c r="Y39" t="n">
        <v>19019.544402925</v>
      </c>
      <c r="Z39" t="n">
        <v>17655.2310634546</v>
      </c>
      <c r="AA39" t="n">
        <v>18947.783861228</v>
      </c>
      <c r="AB39" t="n">
        <v>17027.2174031365</v>
      </c>
      <c r="AC39" t="n">
        <v>10535.6677570024</v>
      </c>
      <c r="AD39"/>
      <c r="AE39"/>
      <c r="AF39"/>
    </row>
    <row r="40">
      <c r="A40" t="s">
        <v>14</v>
      </c>
      <c r="B40" t="s">
        <v>237</v>
      </c>
      <c r="C40" t="s">
        <v>131</v>
      </c>
      <c r="D40" t="s">
        <v>238</v>
      </c>
      <c r="E40" t="s">
        <v>132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t="n">
        <v>4593.25819791692</v>
      </c>
      <c r="X40" t="n">
        <v>3673.78830621711</v>
      </c>
      <c r="Y40" t="n">
        <v>3792.05786236742</v>
      </c>
      <c r="Z40" t="n">
        <v>3899.76588151694</v>
      </c>
      <c r="AA40" t="n">
        <v>3666.13646164729</v>
      </c>
      <c r="AB40" t="n">
        <v>4276.56105937943</v>
      </c>
      <c r="AC40"/>
      <c r="AD40"/>
      <c r="AE40"/>
      <c r="AF40"/>
    </row>
    <row r="41">
      <c r="A41" t="s">
        <v>14</v>
      </c>
      <c r="B41" t="s">
        <v>239</v>
      </c>
      <c r="C41" t="s">
        <v>131</v>
      </c>
      <c r="D41" t="s">
        <v>240</v>
      </c>
      <c r="E41" t="s">
        <v>132</v>
      </c>
      <c r="F41"/>
      <c r="G41"/>
      <c r="H41"/>
      <c r="I41"/>
      <c r="J41"/>
      <c r="K41"/>
      <c r="L41" t="n">
        <v>878.459061335851</v>
      </c>
      <c r="M41" t="n">
        <v>902.607295443409</v>
      </c>
      <c r="N41" t="n">
        <v>2093.22816493582</v>
      </c>
      <c r="O41" t="n">
        <v>2483.56135652281</v>
      </c>
      <c r="P41" t="n">
        <v>2878.17918724623</v>
      </c>
      <c r="Q41" t="n">
        <v>1368.62823457668</v>
      </c>
      <c r="R41" t="n">
        <v>682.597052734298</v>
      </c>
      <c r="S41" t="n">
        <v>-31.882799612742</v>
      </c>
      <c r="T41" t="n">
        <v>6451.83169642212</v>
      </c>
      <c r="U41" t="n">
        <v>-108.015875</v>
      </c>
      <c r="V41" t="n">
        <v>-338.635706177673</v>
      </c>
      <c r="W41" t="n">
        <v>2587.30534386842</v>
      </c>
      <c r="X41" t="n">
        <v>2690.47593552449</v>
      </c>
      <c r="Y41" t="n">
        <v>3814.88294982877</v>
      </c>
      <c r="Z41"/>
      <c r="AA41"/>
      <c r="AB41"/>
      <c r="AC41"/>
      <c r="AD41"/>
      <c r="AE41"/>
      <c r="AF41"/>
    </row>
    <row r="42">
      <c r="A42" t="s">
        <v>14</v>
      </c>
      <c r="B42" t="s">
        <v>241</v>
      </c>
      <c r="C42" t="s">
        <v>131</v>
      </c>
      <c r="D42" t="s">
        <v>242</v>
      </c>
      <c r="E42" t="s">
        <v>132</v>
      </c>
      <c r="F42"/>
      <c r="G42"/>
      <c r="H42"/>
      <c r="I42"/>
      <c r="J42"/>
      <c r="K42"/>
      <c r="L42" t="n">
        <v>7192.9682988803</v>
      </c>
      <c r="M42" t="n">
        <v>7063.59062918233</v>
      </c>
      <c r="N42" t="n">
        <v>9025.70964415045</v>
      </c>
      <c r="O42" t="n">
        <v>8260.71843646531</v>
      </c>
      <c r="P42" t="n">
        <v>9628.43601901169</v>
      </c>
      <c r="Q42" t="n">
        <v>9088.75546707865</v>
      </c>
      <c r="R42" t="n">
        <v>12335.197338852</v>
      </c>
      <c r="S42" t="n">
        <v>18527.8517650997</v>
      </c>
      <c r="T42" t="n">
        <v>14592.5285588267</v>
      </c>
      <c r="U42" t="n">
        <v>10979.0416083884</v>
      </c>
      <c r="V42" t="n">
        <v>7338.28619379693</v>
      </c>
      <c r="W42" t="n">
        <v>10419.8909569198</v>
      </c>
      <c r="X42" t="n">
        <v>7090.83919106652</v>
      </c>
      <c r="Y42" t="n">
        <v>7376.869343185</v>
      </c>
      <c r="Z42" t="n">
        <v>7838.79833088242</v>
      </c>
      <c r="AA42" t="n">
        <v>11333.0863405555</v>
      </c>
      <c r="AB42" t="n">
        <v>9267.43000102719</v>
      </c>
      <c r="AC42" t="n">
        <v>4696.54205300294</v>
      </c>
      <c r="AD42"/>
      <c r="AE42"/>
      <c r="AF42"/>
    </row>
    <row r="43">
      <c r="A43" t="s">
        <v>14</v>
      </c>
      <c r="B43" t="s">
        <v>243</v>
      </c>
      <c r="C43" t="s">
        <v>131</v>
      </c>
      <c r="D43" t="s">
        <v>244</v>
      </c>
      <c r="E43" t="s">
        <v>132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12965.3769055959</v>
      </c>
      <c r="M43" t="n">
        <v>10231.6346046733</v>
      </c>
      <c r="N43" t="n">
        <v>11366.2519042083</v>
      </c>
      <c r="O43" t="n">
        <v>11207.4600935748</v>
      </c>
      <c r="P43" t="n">
        <v>12641.650841357</v>
      </c>
      <c r="Q43" t="n">
        <v>15125.3634456521</v>
      </c>
      <c r="R43" t="n">
        <v>14018.3924748237</v>
      </c>
      <c r="S43" t="n">
        <v>27541.3090868381</v>
      </c>
      <c r="T43" t="n">
        <v>26106.6088211081</v>
      </c>
      <c r="U43" t="n">
        <v>19209.7434483884</v>
      </c>
      <c r="V43" t="n">
        <v>6638.70532804718</v>
      </c>
      <c r="W43" t="n">
        <v>17238.6858416472</v>
      </c>
      <c r="X43" t="n">
        <v>17352.3830273057</v>
      </c>
      <c r="Y43" t="n">
        <v>13768.5975839605</v>
      </c>
      <c r="Z43" t="n">
        <v>15274.5117514396</v>
      </c>
      <c r="AA43" t="n">
        <v>18629.6279387187</v>
      </c>
      <c r="AB43" t="n">
        <v>20336.3967044253</v>
      </c>
      <c r="AC43" t="n">
        <v>13471.0306642261</v>
      </c>
      <c r="AD43" t="n">
        <v>0</v>
      </c>
      <c r="AE43" t="n">
        <v>0</v>
      </c>
      <c r="AF43" t="n">
        <v>0</v>
      </c>
    </row>
    <row r="44">
      <c r="A44" t="s">
        <v>14</v>
      </c>
      <c r="B44" t="s">
        <v>245</v>
      </c>
      <c r="C44" t="s">
        <v>131</v>
      </c>
      <c r="D44" t="s">
        <v>246</v>
      </c>
      <c r="E44" t="s">
        <v>132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123553.833635897</v>
      </c>
      <c r="M44" t="n">
        <v>136535.220666773</v>
      </c>
      <c r="N44" t="n">
        <v>139209.330928842</v>
      </c>
      <c r="O44" t="n">
        <v>157200.414008786</v>
      </c>
      <c r="P44" t="n">
        <v>173045.78977055</v>
      </c>
      <c r="Q44" t="n">
        <v>205946.027991933</v>
      </c>
      <c r="R44" t="n">
        <v>214453.996972389</v>
      </c>
      <c r="S44" t="n">
        <v>253209.204055586</v>
      </c>
      <c r="T44" t="n">
        <v>203914.856328039</v>
      </c>
      <c r="U44" t="n">
        <v>182727.031757388</v>
      </c>
      <c r="V44" t="n">
        <v>142645.674186153</v>
      </c>
      <c r="W44" t="n">
        <v>193919.032306778</v>
      </c>
      <c r="X44" t="n">
        <v>184769.565794688</v>
      </c>
      <c r="Y44" t="n">
        <v>209757.806234197</v>
      </c>
      <c r="Z44" t="n">
        <v>16336.3642104836</v>
      </c>
      <c r="AA44" t="n">
        <v>18644.7238191172</v>
      </c>
      <c r="AB44" t="n">
        <v>9978.49865376938</v>
      </c>
      <c r="AC44" t="n">
        <v>-35330.4496018747</v>
      </c>
      <c r="AD44" t="n">
        <v>0</v>
      </c>
      <c r="AE44" t="n">
        <v>0</v>
      </c>
      <c r="AF44" t="n">
        <v>0</v>
      </c>
    </row>
    <row r="45">
      <c r="A45" t="s">
        <v>14</v>
      </c>
      <c r="B45" t="s">
        <v>247</v>
      </c>
      <c r="C45" t="s">
        <v>131</v>
      </c>
      <c r="D45" t="s">
        <v>248</v>
      </c>
      <c r="E45" t="s">
        <v>132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119102.017133777</v>
      </c>
      <c r="M45" t="n">
        <v>133217.752720154</v>
      </c>
      <c r="N45" t="n">
        <v>135908.199969285</v>
      </c>
      <c r="O45" t="n">
        <v>153960.347101864</v>
      </c>
      <c r="P45" t="n">
        <v>169565.520193445</v>
      </c>
      <c r="Q45" t="n">
        <v>201391.349375606</v>
      </c>
      <c r="R45" t="n">
        <v>210321.153848083</v>
      </c>
      <c r="S45" t="n">
        <v>246762.009847574</v>
      </c>
      <c r="T45" t="n">
        <v>196394.254171549</v>
      </c>
      <c r="U45" t="n">
        <v>180213.716884388</v>
      </c>
      <c r="V45" t="n">
        <v>138435.935308245</v>
      </c>
      <c r="W45" t="n">
        <v>188205.318088617</v>
      </c>
      <c r="X45" t="n">
        <v>178894.794244556</v>
      </c>
      <c r="Y45" t="n">
        <v>204124.07970395</v>
      </c>
      <c r="Z45" t="n">
        <v>10769.5625590184</v>
      </c>
      <c r="AA45" t="n">
        <v>12768.4447997539</v>
      </c>
      <c r="AB45" t="n">
        <v>4389.8118796378</v>
      </c>
      <c r="AC45" t="n">
        <v>-32359.7496018747</v>
      </c>
      <c r="AD45" t="n">
        <v>0</v>
      </c>
      <c r="AE45" t="n">
        <v>0</v>
      </c>
      <c r="AF45" t="n">
        <v>0</v>
      </c>
    </row>
    <row r="46">
      <c r="A46" t="s">
        <v>14</v>
      </c>
      <c r="B46" t="s">
        <v>249</v>
      </c>
      <c r="C46" t="s">
        <v>131</v>
      </c>
      <c r="D46" t="s">
        <v>250</v>
      </c>
      <c r="E46" t="s">
        <v>132</v>
      </c>
      <c r="F46"/>
      <c r="G46"/>
      <c r="H46"/>
      <c r="I46"/>
      <c r="J46"/>
      <c r="K46"/>
      <c r="L46" t="n">
        <v>5772.40860671556</v>
      </c>
      <c r="M46" t="n">
        <v>3168.04397549094</v>
      </c>
      <c r="N46" t="n">
        <v>2340.54226005788</v>
      </c>
      <c r="O46" t="n">
        <v>2946.74165710947</v>
      </c>
      <c r="P46" t="n">
        <v>3013.21482234535</v>
      </c>
      <c r="Q46" t="n">
        <v>6036.60797857344</v>
      </c>
      <c r="R46" t="n">
        <v>1683.1951359717</v>
      </c>
      <c r="S46" t="n">
        <v>9013.4573217384</v>
      </c>
      <c r="T46" t="n">
        <v>11514.0802622814</v>
      </c>
      <c r="U46" t="n">
        <v>8230.70184</v>
      </c>
      <c r="V46" t="n">
        <v>-699.58086574975</v>
      </c>
      <c r="W46" t="n">
        <v>6818.79488472749</v>
      </c>
      <c r="X46" t="n">
        <v>10261.5438362392</v>
      </c>
      <c r="Y46" t="n">
        <v>6391.72824077548</v>
      </c>
      <c r="Z46" t="n">
        <v>7435.71342055716</v>
      </c>
      <c r="AA46" t="n">
        <v>7296.5415981632</v>
      </c>
      <c r="AB46" t="n">
        <v>11068.9667033982</v>
      </c>
      <c r="AC46" t="n">
        <v>8774.48861122315</v>
      </c>
      <c r="AD46"/>
      <c r="AE46"/>
      <c r="AF46"/>
    </row>
    <row r="47">
      <c r="A47" t="s">
        <v>14</v>
      </c>
      <c r="B47" t="s">
        <v>251</v>
      </c>
      <c r="C47" t="s">
        <v>131</v>
      </c>
      <c r="D47" t="s">
        <v>252</v>
      </c>
      <c r="E47" t="s">
        <v>132</v>
      </c>
      <c r="F47"/>
      <c r="G47"/>
      <c r="H47"/>
      <c r="I47"/>
      <c r="J47"/>
      <c r="K47"/>
      <c r="L47" t="n">
        <v>1851.94685545901</v>
      </c>
      <c r="M47" t="n">
        <v>1969.69754123872</v>
      </c>
      <c r="N47" t="n">
        <v>1966.62525045794</v>
      </c>
      <c r="O47" t="n">
        <v>2232.29435769432</v>
      </c>
      <c r="P47" t="n">
        <v>1451.76917508685</v>
      </c>
      <c r="Q47" t="n">
        <v>1842.7856288733</v>
      </c>
      <c r="R47" t="n">
        <v>1950.86408089107</v>
      </c>
      <c r="S47" t="n">
        <v>1672.89453979405</v>
      </c>
      <c r="T47" t="n">
        <v>2323.38259130725</v>
      </c>
      <c r="U47" t="n">
        <v>4663.13524</v>
      </c>
      <c r="V47" t="n">
        <v>4943.23927507205</v>
      </c>
      <c r="W47" t="n">
        <v>1617.50507603759</v>
      </c>
      <c r="X47" t="n">
        <v>691.572851396639</v>
      </c>
      <c r="Y47" t="n">
        <v>7328.93246120517</v>
      </c>
      <c r="Z47" t="n">
        <v>5607.66308047843</v>
      </c>
      <c r="AA47" t="n">
        <v>4979.07517383922</v>
      </c>
      <c r="AB47" t="n">
        <v>4555.92027175864</v>
      </c>
      <c r="AC47" t="n">
        <v>2544.71613293464</v>
      </c>
      <c r="AD47"/>
      <c r="AE47"/>
      <c r="AF47"/>
    </row>
    <row r="48">
      <c r="A48" t="s">
        <v>14</v>
      </c>
      <c r="B48" t="s">
        <v>253</v>
      </c>
      <c r="C48" t="s">
        <v>131</v>
      </c>
      <c r="D48" t="s">
        <v>254</v>
      </c>
      <c r="E48" t="s">
        <v>132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7531.61576433773</v>
      </c>
      <c r="M48" t="n">
        <v>8817.56976461323</v>
      </c>
      <c r="N48" t="n">
        <v>9331.11011100118</v>
      </c>
      <c r="O48" t="n">
        <v>10182.1335552947</v>
      </c>
      <c r="P48" t="n">
        <v>9998.74446249897</v>
      </c>
      <c r="Q48" t="n">
        <v>10775.2622742406</v>
      </c>
      <c r="R48" t="n">
        <v>12571.0194394684</v>
      </c>
      <c r="S48" t="n">
        <v>13305.2953514692</v>
      </c>
      <c r="T48" t="n">
        <v>14891.1860058958</v>
      </c>
      <c r="U48" t="n">
        <v>14119.186292</v>
      </c>
      <c r="V48" t="n">
        <v>10092.1613761748</v>
      </c>
      <c r="W48" t="n">
        <v>9115.25100240465</v>
      </c>
      <c r="X48" t="n">
        <v>6784.85164539242</v>
      </c>
      <c r="Y48" t="n">
        <v>15102.2928586494</v>
      </c>
      <c r="Z48" t="n">
        <v>-6604.17785262077</v>
      </c>
      <c r="AA48" t="n">
        <v>-6927.86041588211</v>
      </c>
      <c r="AB48" t="n">
        <v>-7957.21704308618</v>
      </c>
      <c r="AC48" t="n">
        <v>-9380.67898607496</v>
      </c>
      <c r="AD48" t="n">
        <v>0</v>
      </c>
      <c r="AE48" t="n">
        <v>0</v>
      </c>
      <c r="AF48" t="n">
        <v>0</v>
      </c>
    </row>
    <row r="49">
      <c r="A49" t="s">
        <v>14</v>
      </c>
      <c r="B49" t="s">
        <v>255</v>
      </c>
      <c r="C49" t="s">
        <v>131</v>
      </c>
      <c r="D49" t="s">
        <v>256</v>
      </c>
      <c r="E49" t="s">
        <v>132</v>
      </c>
      <c r="F49"/>
      <c r="G49"/>
      <c r="H49"/>
      <c r="I49"/>
      <c r="J49"/>
      <c r="K49"/>
      <c r="L49" t="n">
        <v>1242.32030271203</v>
      </c>
      <c r="M49" t="n">
        <v>1616.45415778252</v>
      </c>
      <c r="N49" t="n">
        <v>1787.35443229459</v>
      </c>
      <c r="O49" t="n">
        <v>1985.29134414974</v>
      </c>
      <c r="P49" t="n">
        <v>2208.76711895699</v>
      </c>
      <c r="Q49" t="n">
        <v>2313.64474631039</v>
      </c>
      <c r="R49" t="n">
        <v>2754.60705413944</v>
      </c>
      <c r="S49" t="n">
        <v>2790.95340699816</v>
      </c>
      <c r="T49" t="n">
        <v>3127.35665632317</v>
      </c>
      <c r="U49" t="n">
        <v>3308.767452</v>
      </c>
      <c r="V49" t="n">
        <v>1235.36379421362</v>
      </c>
      <c r="W49" t="n">
        <v>2330.87250185323</v>
      </c>
      <c r="X49" t="n">
        <v>629.030515049346</v>
      </c>
      <c r="Y49" t="n">
        <v>2111.59508998742</v>
      </c>
      <c r="Z49" t="n">
        <v>707.1590669008</v>
      </c>
      <c r="AA49" t="n">
        <v>1163.26441027867</v>
      </c>
      <c r="AB49" t="n">
        <v>1382.56268515517</v>
      </c>
      <c r="AC49" t="n">
        <v>2738.40488099041</v>
      </c>
      <c r="AD49"/>
      <c r="AE49"/>
      <c r="AF49"/>
    </row>
    <row r="50">
      <c r="A50" t="s">
        <v>14</v>
      </c>
      <c r="B50" t="s">
        <v>257</v>
      </c>
      <c r="C50" t="s">
        <v>131</v>
      </c>
      <c r="D50" t="s">
        <v>258</v>
      </c>
      <c r="E50" t="s">
        <v>132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4437.34860616669</v>
      </c>
      <c r="M50" t="n">
        <v>5231.418065592</v>
      </c>
      <c r="N50" t="n">
        <v>5577.13042824865</v>
      </c>
      <c r="O50" t="n">
        <v>5964.44785345066</v>
      </c>
      <c r="P50" t="n">
        <v>6338.10816845512</v>
      </c>
      <c r="Q50" t="n">
        <v>6618.83189905693</v>
      </c>
      <c r="R50" t="n">
        <v>7865.6483044379</v>
      </c>
      <c r="S50" t="n">
        <v>8841.44740467702</v>
      </c>
      <c r="T50" t="n">
        <v>9440.44675826535</v>
      </c>
      <c r="U50" t="n">
        <v>6147.3836</v>
      </c>
      <c r="V50" t="n">
        <v>3913.65830688914</v>
      </c>
      <c r="W50" t="n">
        <v>5166.77342451384</v>
      </c>
      <c r="X50" t="n">
        <v>5464.14827894643</v>
      </c>
      <c r="Y50" t="n">
        <v>5661.6653074568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</v>
      </c>
      <c r="B51" t="s">
        <v>259</v>
      </c>
      <c r="C51" t="s">
        <v>131</v>
      </c>
      <c r="D51" t="s">
        <v>260</v>
      </c>
      <c r="E51" t="s">
        <v>132</v>
      </c>
      <c r="F51"/>
      <c r="G51"/>
      <c r="H51"/>
      <c r="I51"/>
      <c r="J51"/>
      <c r="K51"/>
      <c r="L51" t="n">
        <v>4027.23411786969</v>
      </c>
      <c r="M51" t="n">
        <v>4414.08734217422</v>
      </c>
      <c r="N51" t="n">
        <v>4654.09165060216</v>
      </c>
      <c r="O51" t="n">
        <v>4834.88915085033</v>
      </c>
      <c r="P51" t="n">
        <v>4988.0873851311</v>
      </c>
      <c r="Q51" t="n">
        <v>5192.1422952172</v>
      </c>
      <c r="R51" t="n">
        <v>5840.91041871115</v>
      </c>
      <c r="S51" t="n">
        <v>7183.07620831643</v>
      </c>
      <c r="T51" t="n">
        <v>7833.72526656648</v>
      </c>
      <c r="U51" t="n">
        <v>5155.866464</v>
      </c>
      <c r="V51" t="n">
        <v>3066.25924864367</v>
      </c>
      <c r="W51" t="n">
        <v>3717.0670096022</v>
      </c>
      <c r="X51" t="n">
        <v>3857.55268602216</v>
      </c>
      <c r="Y51" t="n">
        <v>3910.01745731929</v>
      </c>
      <c r="Z51"/>
      <c r="AA51"/>
      <c r="AB51"/>
      <c r="AC51"/>
      <c r="AD51"/>
      <c r="AE51"/>
      <c r="AF51"/>
    </row>
    <row r="52">
      <c r="A52" t="s">
        <v>14</v>
      </c>
      <c r="B52" t="s">
        <v>261</v>
      </c>
      <c r="C52" t="s">
        <v>131</v>
      </c>
      <c r="D52" t="s">
        <v>262</v>
      </c>
      <c r="E52" t="s">
        <v>132</v>
      </c>
      <c r="F52"/>
      <c r="G52"/>
      <c r="H52"/>
      <c r="I52"/>
      <c r="J52"/>
      <c r="K52"/>
      <c r="L52" t="n">
        <v>410.114488297004</v>
      </c>
      <c r="M52" t="n">
        <v>817.330723417772</v>
      </c>
      <c r="N52" t="n">
        <v>923.038777646498</v>
      </c>
      <c r="O52" t="n">
        <v>1129.55870260032</v>
      </c>
      <c r="P52" t="n">
        <v>1350.02078332402</v>
      </c>
      <c r="Q52" t="n">
        <v>1426.68960383974</v>
      </c>
      <c r="R52" t="n">
        <v>2024.73788572675</v>
      </c>
      <c r="S52" t="n">
        <v>1658.37119636059</v>
      </c>
      <c r="T52" t="n">
        <v>1606.72149169887</v>
      </c>
      <c r="U52" t="n">
        <v>991.517136</v>
      </c>
      <c r="V52" t="n">
        <v>847.39905824547</v>
      </c>
      <c r="W52" t="n">
        <v>1449.70641491164</v>
      </c>
      <c r="X52" t="n">
        <v>1606.59559292427</v>
      </c>
      <c r="Y52" t="n">
        <v>1751.64785013751</v>
      </c>
      <c r="Z52"/>
      <c r="AA52"/>
      <c r="AB52"/>
      <c r="AC52"/>
      <c r="AD52"/>
      <c r="AE52"/>
      <c r="AF52"/>
    </row>
    <row r="53">
      <c r="A53" t="s">
        <v>14</v>
      </c>
      <c r="B53" t="s">
        <v>263</v>
      </c>
      <c r="C53" t="s">
        <v>131</v>
      </c>
      <c r="D53" t="s">
        <v>264</v>
      </c>
      <c r="E53" t="s">
        <v>132</v>
      </c>
      <c r="F53"/>
      <c r="G53"/>
      <c r="H53"/>
      <c r="I53"/>
      <c r="J53"/>
      <c r="K53"/>
      <c r="L53" t="n">
        <v>757.799567574834</v>
      </c>
      <c r="M53" t="n">
        <v>1063.58401836689</v>
      </c>
      <c r="N53" t="n">
        <v>1660.81637007782</v>
      </c>
      <c r="O53" t="n">
        <v>1283.37995309319</v>
      </c>
      <c r="P53" t="n">
        <v>1444.05719415364</v>
      </c>
      <c r="Q53" t="n">
        <v>1607.06291886702</v>
      </c>
      <c r="R53" t="n">
        <v>2585.92163438829</v>
      </c>
      <c r="S53" t="n">
        <v>3596.39516378738</v>
      </c>
      <c r="T53" t="n">
        <v>3395.30945682593</v>
      </c>
      <c r="U53" t="n">
        <v>1180.717353</v>
      </c>
      <c r="V53" t="n">
        <v>1159.23800479969</v>
      </c>
      <c r="W53" t="n">
        <v>1118.29434313988</v>
      </c>
      <c r="X53" t="n">
        <v>1137.33799263655</v>
      </c>
      <c r="Y53" t="n">
        <v>795.410904369299</v>
      </c>
      <c r="Z53" t="n">
        <v>1216.72814828564</v>
      </c>
      <c r="AA53" t="n">
        <v>660.649946483132</v>
      </c>
      <c r="AB53" t="n">
        <v>1742.57617023023</v>
      </c>
      <c r="AC53" t="n">
        <v>-236.386940814275</v>
      </c>
      <c r="AD53"/>
      <c r="AE53"/>
      <c r="AF53"/>
    </row>
    <row r="54">
      <c r="A54" t="s">
        <v>14</v>
      </c>
      <c r="B54" t="s">
        <v>265</v>
      </c>
      <c r="C54" t="s">
        <v>131</v>
      </c>
      <c r="D54" t="s">
        <v>266</v>
      </c>
      <c r="E54" t="s">
        <v>132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1851.46995205234</v>
      </c>
      <c r="M54" t="n">
        <v>2644.67544444219</v>
      </c>
      <c r="N54" t="n">
        <v>3087.9006055293</v>
      </c>
      <c r="O54" t="n">
        <v>2373.08457385609</v>
      </c>
      <c r="P54" t="n">
        <v>2494.0456346196</v>
      </c>
      <c r="Q54" t="n">
        <v>2669.81111857897</v>
      </c>
      <c r="R54" t="n">
        <v>3914.78497721974</v>
      </c>
      <c r="S54" t="n">
        <v>5073.16704183357</v>
      </c>
      <c r="T54" t="n">
        <v>4882.38610615954</v>
      </c>
      <c r="U54" t="n">
        <v>4026.114493</v>
      </c>
      <c r="V54" t="n">
        <v>5621.35528941657</v>
      </c>
      <c r="W54" t="n">
        <v>3907.94755693576</v>
      </c>
      <c r="X54" t="n">
        <v>3623.09726873204</v>
      </c>
      <c r="Y54" t="n">
        <v>3205.60876870631</v>
      </c>
      <c r="Z54" t="n">
        <v>4204.65764795429</v>
      </c>
      <c r="AA54" t="n">
        <v>2903.68987488735</v>
      </c>
      <c r="AB54" t="n">
        <v>3909.46298553293</v>
      </c>
      <c r="AC54" t="n">
        <v>554.015519652378</v>
      </c>
      <c r="AD54" t="n">
        <v>0</v>
      </c>
      <c r="AE54" t="n">
        <v>0</v>
      </c>
      <c r="AF54" t="n">
        <v>0</v>
      </c>
    </row>
    <row r="55">
      <c r="A55" t="s">
        <v>14</v>
      </c>
      <c r="B55" t="s">
        <v>267</v>
      </c>
      <c r="C55" t="s">
        <v>131</v>
      </c>
      <c r="D55" t="s">
        <v>268</v>
      </c>
      <c r="E55" t="s">
        <v>132</v>
      </c>
      <c r="F55"/>
      <c r="G55"/>
      <c r="H55"/>
      <c r="I55"/>
      <c r="J55"/>
      <c r="K55"/>
      <c r="L55" t="n">
        <v>1093.67038447751</v>
      </c>
      <c r="M55" t="n">
        <v>1581.0914260753</v>
      </c>
      <c r="N55" t="n">
        <v>1427.08423545148</v>
      </c>
      <c r="O55" t="n">
        <v>1089.7046207629</v>
      </c>
      <c r="P55" t="n">
        <v>1049.98844046595</v>
      </c>
      <c r="Q55" t="n">
        <v>1062.74819971195</v>
      </c>
      <c r="R55" t="n">
        <v>1328.86334283146</v>
      </c>
      <c r="S55" t="n">
        <v>1476.77187804618</v>
      </c>
      <c r="T55" t="n">
        <v>1487.07664933362</v>
      </c>
      <c r="U55" t="n">
        <v>2845.39714</v>
      </c>
      <c r="V55" t="n">
        <v>4462.11728461689</v>
      </c>
      <c r="W55" t="n">
        <v>2789.65321379588</v>
      </c>
      <c r="X55" t="n">
        <v>2485.75927609549</v>
      </c>
      <c r="Y55" t="n">
        <v>2410.19786433701</v>
      </c>
      <c r="Z55" t="n">
        <v>2987.92949966865</v>
      </c>
      <c r="AA55" t="n">
        <v>2243.03992840422</v>
      </c>
      <c r="AB55" t="n">
        <v>2166.88681530271</v>
      </c>
      <c r="AC55" t="n">
        <v>790.402460466654</v>
      </c>
      <c r="AD55"/>
      <c r="AE55"/>
      <c r="AF55"/>
    </row>
    <row r="56">
      <c r="A56" t="s">
        <v>14</v>
      </c>
      <c r="B56" t="s">
        <v>269</v>
      </c>
      <c r="C56" t="s">
        <v>131</v>
      </c>
      <c r="D56" t="s">
        <v>270</v>
      </c>
      <c r="E56" t="s">
        <v>132</v>
      </c>
      <c r="F56"/>
      <c r="G56"/>
      <c r="H56"/>
      <c r="I56"/>
      <c r="J56"/>
      <c r="K56"/>
      <c r="L56" t="n">
        <v>191.926129784497</v>
      </c>
      <c r="M56" t="n">
        <v>177.029495491467</v>
      </c>
      <c r="N56" t="n">
        <v>232.209789919455</v>
      </c>
      <c r="O56" t="n">
        <v>298.759635813562</v>
      </c>
      <c r="P56" t="n">
        <v>290.280942534103</v>
      </c>
      <c r="Q56" t="n">
        <v>414.727076692903</v>
      </c>
      <c r="R56" t="n">
        <v>446.05826844273</v>
      </c>
      <c r="S56" t="n">
        <v>375.008366397109</v>
      </c>
      <c r="T56" t="n">
        <v>208.042240486221</v>
      </c>
      <c r="U56" t="n">
        <v>0.473549999999996</v>
      </c>
      <c r="V56" t="n">
        <v>1.80590038001063</v>
      </c>
      <c r="W56" t="n">
        <v>0.655939118242372</v>
      </c>
      <c r="X56" t="n">
        <v>-5.36163561613393</v>
      </c>
      <c r="Y56" t="n">
        <v>-16.2547298300574</v>
      </c>
      <c r="Z56" t="n">
        <v>-33.6461108308233</v>
      </c>
      <c r="AA56" t="n">
        <v>0.149927930288925</v>
      </c>
      <c r="AB56" t="n">
        <v>0.600695545576912</v>
      </c>
      <c r="AC56" t="n">
        <v>94.1195273473535</v>
      </c>
      <c r="AD56"/>
      <c r="AE56"/>
      <c r="AF56"/>
    </row>
    <row r="57">
      <c r="A57" t="s">
        <v>14</v>
      </c>
      <c r="B57" t="s">
        <v>271</v>
      </c>
      <c r="C57" t="s">
        <v>131</v>
      </c>
      <c r="D57" t="s">
        <v>272</v>
      </c>
      <c r="E57" t="s">
        <v>132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124123.47553002</v>
      </c>
      <c r="M57" t="n">
        <v>136964.219926877</v>
      </c>
      <c r="N57" t="n">
        <v>138414.250829762</v>
      </c>
      <c r="O57" t="n">
        <v>157989.207199894</v>
      </c>
      <c r="P57" t="n">
        <v>173108.815175583</v>
      </c>
      <c r="Q57" t="n">
        <v>206055.217342866</v>
      </c>
      <c r="R57" t="n">
        <v>216540.0746803</v>
      </c>
      <c r="S57" t="n">
        <v>255327.707773452</v>
      </c>
      <c r="T57" t="n">
        <v>207261.284574421</v>
      </c>
      <c r="U57" t="n">
        <v>188994.291599388</v>
      </c>
      <c r="V57" t="n">
        <v>142757.641462708</v>
      </c>
      <c r="W57" t="n">
        <v>207628.097446218</v>
      </c>
      <c r="X57" t="n">
        <v>195222.744110681</v>
      </c>
      <c r="Y57" t="n">
        <v>228635.802225384</v>
      </c>
      <c r="Z57" t="n">
        <v>13598.306128549</v>
      </c>
      <c r="AA57" t="n">
        <v>15383.3497928126</v>
      </c>
      <c r="AB57" t="n">
        <v>6298.54336560826</v>
      </c>
      <c r="AC57" t="n">
        <v>-61564.7090606022</v>
      </c>
      <c r="AD57" t="n">
        <v>0</v>
      </c>
      <c r="AE57" t="n">
        <v>0</v>
      </c>
      <c r="AF57" t="n">
        <v>0</v>
      </c>
    </row>
    <row r="58">
      <c r="A58" t="s">
        <v>14</v>
      </c>
      <c r="B58" t="s">
        <v>273</v>
      </c>
      <c r="C58" t="s">
        <v>131</v>
      </c>
      <c r="D58" t="s">
        <v>274</v>
      </c>
      <c r="E58" t="s">
        <v>132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123931.549400235</v>
      </c>
      <c r="M58" t="n">
        <v>136787.190431386</v>
      </c>
      <c r="N58" t="n">
        <v>138182.041039843</v>
      </c>
      <c r="O58" t="n">
        <v>157690.447564081</v>
      </c>
      <c r="P58" t="n">
        <v>172818.534233049</v>
      </c>
      <c r="Q58" t="n">
        <v>205640.490266173</v>
      </c>
      <c r="R58" t="n">
        <v>216094.016411858</v>
      </c>
      <c r="S58" t="n">
        <v>254952.699407055</v>
      </c>
      <c r="T58" t="n">
        <v>207053.242333935</v>
      </c>
      <c r="U58" t="n">
        <v>188993.818049388</v>
      </c>
      <c r="V58" t="n">
        <v>142755.835562328</v>
      </c>
      <c r="W58" t="n">
        <v>207627.4415071</v>
      </c>
      <c r="X58" t="n">
        <v>195228.105746297</v>
      </c>
      <c r="Y58" t="n">
        <v>228652.056955214</v>
      </c>
      <c r="Z58" t="n">
        <v>13631.9522393798</v>
      </c>
      <c r="AA58" t="n">
        <v>15383.1998648823</v>
      </c>
      <c r="AB58" t="n">
        <v>6297.94267006271</v>
      </c>
      <c r="AC58" t="n">
        <v>-61658.8285879496</v>
      </c>
      <c r="AD58" t="n">
        <v>0</v>
      </c>
      <c r="AE58" t="n">
        <v>0</v>
      </c>
      <c r="AF58" t="n">
        <v>0</v>
      </c>
    </row>
    <row r="59">
      <c r="A59" t="s">
        <v>14</v>
      </c>
      <c r="B59" t="s">
        <v>275</v>
      </c>
      <c r="C59" t="s">
        <v>131</v>
      </c>
      <c r="D59" t="s">
        <v>276</v>
      </c>
      <c r="E59" t="s">
        <v>132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16</v>
      </c>
      <c r="B2" t="s">
        <v>84</v>
      </c>
      <c r="C2" t="s">
        <v>131</v>
      </c>
      <c r="D2" t="s">
        <v>86</v>
      </c>
      <c r="E2" t="s">
        <v>132</v>
      </c>
      <c r="F2" t="n">
        <v>453.2</v>
      </c>
      <c r="G2" t="n">
        <v>426.1</v>
      </c>
      <c r="H2" t="n">
        <v>437.7</v>
      </c>
      <c r="I2" t="n">
        <v>462.8</v>
      </c>
      <c r="J2" t="n">
        <v>489</v>
      </c>
      <c r="K2" t="n">
        <v>492.6</v>
      </c>
      <c r="L2" t="n">
        <v>495.7</v>
      </c>
      <c r="M2" t="n">
        <v>492.8</v>
      </c>
      <c r="N2" t="n">
        <v>516.3</v>
      </c>
      <c r="O2" t="n">
        <v>529.9</v>
      </c>
      <c r="P2" t="n">
        <v>535.4</v>
      </c>
      <c r="Q2" t="n">
        <v>597.9</v>
      </c>
      <c r="R2" t="n">
        <v>608.3</v>
      </c>
      <c r="S2" t="n">
        <v>574.5</v>
      </c>
      <c r="T2" t="n">
        <v>578.4</v>
      </c>
      <c r="U2" t="n">
        <v>613.7</v>
      </c>
      <c r="V2" t="n">
        <v>614.8</v>
      </c>
      <c r="W2" t="n">
        <v>615.6</v>
      </c>
      <c r="X2" t="n">
        <v>630.8</v>
      </c>
      <c r="Y2" t="n">
        <v>658.5</v>
      </c>
      <c r="Z2" t="n">
        <v>669.1</v>
      </c>
      <c r="AA2" t="n">
        <v>696.5</v>
      </c>
      <c r="AB2" t="n">
        <v>728.1</v>
      </c>
      <c r="AC2" t="n">
        <v>751.3</v>
      </c>
      <c r="AD2" t="n">
        <v>917.5</v>
      </c>
      <c r="AE2" t="n">
        <v>1023.6</v>
      </c>
      <c r="AF2" t="n">
        <v>1103.1</v>
      </c>
    </row>
    <row r="3">
      <c r="A3" t="s">
        <v>16</v>
      </c>
      <c r="B3" t="s">
        <v>163</v>
      </c>
      <c r="C3" t="s">
        <v>131</v>
      </c>
      <c r="D3" t="s">
        <v>164</v>
      </c>
      <c r="E3" t="s">
        <v>132</v>
      </c>
      <c r="F3" t="n">
        <v>188.8</v>
      </c>
      <c r="G3" t="n">
        <v>191.1</v>
      </c>
      <c r="H3" t="n">
        <v>183.4</v>
      </c>
      <c r="I3" t="n">
        <v>210</v>
      </c>
      <c r="J3" t="n">
        <v>221.5</v>
      </c>
      <c r="K3" t="n">
        <v>245</v>
      </c>
      <c r="L3" t="n">
        <v>288</v>
      </c>
      <c r="M3" t="n">
        <v>262.3</v>
      </c>
      <c r="N3" t="n">
        <v>296.7</v>
      </c>
      <c r="O3" t="n">
        <v>311.5</v>
      </c>
      <c r="P3" t="n">
        <v>303</v>
      </c>
      <c r="Q3" t="n">
        <v>363</v>
      </c>
      <c r="R3" t="n">
        <v>400.2</v>
      </c>
      <c r="S3" t="n">
        <v>408.5</v>
      </c>
      <c r="T3" t="n">
        <v>378.6</v>
      </c>
      <c r="U3" t="n">
        <v>302.2</v>
      </c>
      <c r="V3" t="n">
        <v>279.8</v>
      </c>
      <c r="W3" t="n">
        <v>276</v>
      </c>
      <c r="X3" t="n">
        <v>291.9</v>
      </c>
      <c r="Y3" t="n">
        <v>288.2</v>
      </c>
      <c r="Z3" t="n">
        <v>305.9</v>
      </c>
      <c r="AA3" t="n">
        <v>272.7</v>
      </c>
      <c r="AB3" t="n">
        <v>264.3</v>
      </c>
      <c r="AC3" t="n">
        <v>272.1</v>
      </c>
      <c r="AD3" t="n">
        <v>259.8</v>
      </c>
      <c r="AE3" t="n">
        <v>227.9</v>
      </c>
      <c r="AF3" t="n">
        <v>242.7</v>
      </c>
    </row>
    <row r="4">
      <c r="A4" t="s">
        <v>16</v>
      </c>
      <c r="B4" t="s">
        <v>165</v>
      </c>
      <c r="C4" t="s">
        <v>131</v>
      </c>
      <c r="D4" t="s">
        <v>166</v>
      </c>
      <c r="E4" t="s">
        <v>132</v>
      </c>
      <c r="F4" t="n">
        <v>4954.7</v>
      </c>
      <c r="G4" t="n">
        <v>5322.9</v>
      </c>
      <c r="H4" t="n">
        <v>5792.3</v>
      </c>
      <c r="I4" t="n">
        <v>6654.4</v>
      </c>
      <c r="J4" t="n">
        <v>7066.5</v>
      </c>
      <c r="K4" t="n">
        <v>7645</v>
      </c>
      <c r="L4" t="n">
        <v>8315.5</v>
      </c>
      <c r="M4" t="n">
        <v>8271</v>
      </c>
      <c r="N4" t="n">
        <v>8760.1</v>
      </c>
      <c r="O4" t="n">
        <v>8772.6</v>
      </c>
      <c r="P4" t="n">
        <v>9423.9</v>
      </c>
      <c r="Q4" t="n">
        <v>9726.5</v>
      </c>
      <c r="R4" t="n">
        <v>10330.5</v>
      </c>
      <c r="S4" t="n">
        <v>10234.6</v>
      </c>
      <c r="T4" t="n">
        <v>8892</v>
      </c>
      <c r="U4" t="n">
        <v>8397.1</v>
      </c>
      <c r="V4" t="n">
        <v>7857.4</v>
      </c>
      <c r="W4" t="n">
        <v>7829.8</v>
      </c>
      <c r="X4" t="n">
        <v>8332.6</v>
      </c>
      <c r="Y4" t="n">
        <v>8886.5</v>
      </c>
      <c r="Z4" t="n">
        <v>9808.6</v>
      </c>
      <c r="AA4" t="n">
        <v>10313.6</v>
      </c>
      <c r="AB4" t="n">
        <v>10961.2</v>
      </c>
      <c r="AC4" t="n">
        <v>11991.9</v>
      </c>
      <c r="AD4" t="n">
        <v>12966</v>
      </c>
      <c r="AE4" t="n">
        <v>13108.7</v>
      </c>
      <c r="AF4" t="n">
        <v>14277.3</v>
      </c>
    </row>
    <row r="5">
      <c r="A5" t="s">
        <v>16</v>
      </c>
      <c r="B5" t="s">
        <v>167</v>
      </c>
      <c r="C5" t="s">
        <v>131</v>
      </c>
      <c r="D5" t="s">
        <v>168</v>
      </c>
      <c r="E5" t="s">
        <v>132</v>
      </c>
      <c r="F5" t="n">
        <v>1178.3</v>
      </c>
      <c r="G5" t="n">
        <v>1233.1</v>
      </c>
      <c r="H5" t="n">
        <v>1261.8</v>
      </c>
      <c r="I5" t="n">
        <v>1371.7</v>
      </c>
      <c r="J5" t="n">
        <v>1445.1</v>
      </c>
      <c r="K5" t="n">
        <v>1596.3</v>
      </c>
      <c r="L5" t="n">
        <v>1768</v>
      </c>
      <c r="M5" t="n">
        <v>1728.9</v>
      </c>
      <c r="N5" t="n">
        <v>1850.1</v>
      </c>
      <c r="O5" t="n">
        <v>1829</v>
      </c>
      <c r="P5" t="n">
        <v>1933.5</v>
      </c>
      <c r="Q5" t="n">
        <v>1892.5</v>
      </c>
      <c r="R5" t="n">
        <v>1952.7</v>
      </c>
      <c r="S5" t="n">
        <v>1962.8</v>
      </c>
      <c r="T5" t="n">
        <v>1736.1</v>
      </c>
      <c r="U5" t="n">
        <v>1796.6</v>
      </c>
      <c r="V5" t="n">
        <v>1380.8</v>
      </c>
      <c r="W5" t="n">
        <v>1449.5</v>
      </c>
      <c r="X5" t="n">
        <v>1536.3</v>
      </c>
      <c r="Y5" t="n">
        <v>1654.9</v>
      </c>
      <c r="Z5" t="n">
        <v>1765.8</v>
      </c>
      <c r="AA5" t="n">
        <v>1875.4</v>
      </c>
      <c r="AB5" t="n">
        <v>1978.4</v>
      </c>
      <c r="AC5" t="n">
        <v>2148</v>
      </c>
      <c r="AD5" t="n">
        <v>2329.2</v>
      </c>
      <c r="AE5" t="n">
        <v>2344.3</v>
      </c>
      <c r="AF5" t="n">
        <v>2507</v>
      </c>
    </row>
    <row r="6">
      <c r="A6" t="s">
        <v>16</v>
      </c>
      <c r="B6" t="s">
        <v>169</v>
      </c>
      <c r="C6" t="s">
        <v>131</v>
      </c>
      <c r="D6" t="s">
        <v>170</v>
      </c>
      <c r="E6" t="s">
        <v>132</v>
      </c>
      <c r="F6" t="n">
        <v>332</v>
      </c>
      <c r="G6" t="n">
        <v>315.7</v>
      </c>
      <c r="H6" t="n">
        <v>310.9</v>
      </c>
      <c r="I6" t="n">
        <v>299.9</v>
      </c>
      <c r="J6" t="n">
        <v>269.8</v>
      </c>
      <c r="K6" t="n">
        <v>258.6</v>
      </c>
      <c r="L6" t="n">
        <v>263.3</v>
      </c>
      <c r="M6" t="n">
        <v>240.3</v>
      </c>
      <c r="N6" t="n">
        <v>213.8</v>
      </c>
      <c r="O6" t="n">
        <v>188.9</v>
      </c>
      <c r="P6" t="n">
        <v>172.5</v>
      </c>
      <c r="Q6" t="n">
        <v>140.7</v>
      </c>
      <c r="R6" t="n">
        <v>153.2</v>
      </c>
      <c r="S6" t="n">
        <v>138.7</v>
      </c>
      <c r="T6" t="n">
        <v>121.3</v>
      </c>
      <c r="U6" t="n">
        <v>88.8</v>
      </c>
      <c r="V6" t="n">
        <v>71.1</v>
      </c>
      <c r="W6" t="n">
        <v>68.9</v>
      </c>
      <c r="X6" t="n">
        <v>68.2</v>
      </c>
      <c r="Y6" t="n">
        <v>69.1</v>
      </c>
      <c r="Z6" t="n">
        <v>75.7</v>
      </c>
      <c r="AA6" t="n">
        <v>81.4</v>
      </c>
      <c r="AB6" t="n">
        <v>85.5</v>
      </c>
      <c r="AC6" t="n">
        <v>86.9</v>
      </c>
      <c r="AD6" t="n">
        <v>87</v>
      </c>
      <c r="AE6" t="n">
        <v>75.8</v>
      </c>
      <c r="AF6" t="n">
        <v>88</v>
      </c>
    </row>
    <row r="7">
      <c r="A7" t="s">
        <v>16</v>
      </c>
      <c r="B7" t="s">
        <v>171</v>
      </c>
      <c r="C7" t="s">
        <v>131</v>
      </c>
      <c r="D7" t="s">
        <v>172</v>
      </c>
      <c r="E7" t="s">
        <v>132</v>
      </c>
      <c r="F7" t="n">
        <v>391.9</v>
      </c>
      <c r="G7" t="n">
        <v>422.5</v>
      </c>
      <c r="H7" t="n">
        <v>486.3</v>
      </c>
      <c r="I7" t="n">
        <v>524.4</v>
      </c>
      <c r="J7" t="n">
        <v>566.9</v>
      </c>
      <c r="K7" t="n">
        <v>631.1</v>
      </c>
      <c r="L7" t="n">
        <v>687.6</v>
      </c>
      <c r="M7" t="n">
        <v>739.9</v>
      </c>
      <c r="N7" t="n">
        <v>749.7</v>
      </c>
      <c r="O7" t="n">
        <v>709.2</v>
      </c>
      <c r="P7" t="n">
        <v>694.3</v>
      </c>
      <c r="Q7" t="n">
        <v>786.1</v>
      </c>
      <c r="R7" t="n">
        <v>853.7</v>
      </c>
      <c r="S7" t="n">
        <v>735</v>
      </c>
      <c r="T7" t="n">
        <v>642.6</v>
      </c>
      <c r="U7" t="n">
        <v>546.7</v>
      </c>
      <c r="V7" t="n">
        <v>480.8</v>
      </c>
      <c r="W7" t="n">
        <v>455.7</v>
      </c>
      <c r="X7" t="n">
        <v>449.2</v>
      </c>
      <c r="Y7" t="n">
        <v>466.1</v>
      </c>
      <c r="Z7" t="n">
        <v>497.5</v>
      </c>
      <c r="AA7" t="n">
        <v>517.8</v>
      </c>
      <c r="AB7" t="n">
        <v>541.5</v>
      </c>
      <c r="AC7" t="n">
        <v>573</v>
      </c>
      <c r="AD7" t="n">
        <v>583.6</v>
      </c>
      <c r="AE7" t="n">
        <v>538.1</v>
      </c>
      <c r="AF7" t="n">
        <v>602.5</v>
      </c>
    </row>
    <row r="8">
      <c r="A8" t="s">
        <v>16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16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16</v>
      </c>
      <c r="B10" t="s">
        <v>177</v>
      </c>
      <c r="C10" t="s">
        <v>131</v>
      </c>
      <c r="D10" t="s">
        <v>178</v>
      </c>
      <c r="E10" t="s">
        <v>132</v>
      </c>
      <c r="F10" t="n">
        <v>368.1</v>
      </c>
      <c r="G10" t="n">
        <v>395.1</v>
      </c>
      <c r="H10" t="n">
        <v>450</v>
      </c>
      <c r="I10" t="n">
        <v>526.1</v>
      </c>
      <c r="J10" t="n">
        <v>580</v>
      </c>
      <c r="K10" t="n">
        <v>620.3</v>
      </c>
      <c r="L10" t="n">
        <v>709.5</v>
      </c>
      <c r="M10" t="n">
        <v>738.4</v>
      </c>
      <c r="N10" t="n">
        <v>761</v>
      </c>
      <c r="O10" t="n">
        <v>854.8</v>
      </c>
      <c r="P10" t="n">
        <v>986</v>
      </c>
      <c r="Q10" t="n">
        <v>977.4</v>
      </c>
      <c r="R10" t="n">
        <v>1009</v>
      </c>
      <c r="S10" t="n">
        <v>1063.4</v>
      </c>
      <c r="T10" t="n">
        <v>1298.6</v>
      </c>
      <c r="U10" t="n">
        <v>1335.5</v>
      </c>
      <c r="V10" t="n">
        <v>1052.2</v>
      </c>
      <c r="W10" t="n">
        <v>1059.2</v>
      </c>
      <c r="X10" t="n">
        <v>1095.3</v>
      </c>
      <c r="Y10" t="n">
        <v>1159.2</v>
      </c>
      <c r="Z10"/>
      <c r="AA10"/>
      <c r="AB10"/>
      <c r="AC10"/>
      <c r="AD10"/>
      <c r="AE10"/>
      <c r="AF10"/>
    </row>
    <row r="11">
      <c r="A11" t="s">
        <v>16</v>
      </c>
      <c r="B11" t="s">
        <v>179</v>
      </c>
      <c r="C11" t="s">
        <v>131</v>
      </c>
      <c r="D11" t="s">
        <v>180</v>
      </c>
      <c r="E11" t="s">
        <v>132</v>
      </c>
      <c r="F11" t="n">
        <v>368.1</v>
      </c>
      <c r="G11" t="n">
        <v>395.1</v>
      </c>
      <c r="H11" t="n">
        <v>450</v>
      </c>
      <c r="I11" t="n">
        <v>526.1</v>
      </c>
      <c r="J11" t="n">
        <v>580</v>
      </c>
      <c r="K11" t="n">
        <v>620.3</v>
      </c>
      <c r="L11" t="n">
        <v>709.5</v>
      </c>
      <c r="M11" t="n">
        <v>738.4</v>
      </c>
      <c r="N11" t="n">
        <v>761</v>
      </c>
      <c r="O11" t="n">
        <v>854.8</v>
      </c>
      <c r="P11" t="n">
        <v>986</v>
      </c>
      <c r="Q11" t="n">
        <v>977.4</v>
      </c>
      <c r="R11" t="n">
        <v>1009</v>
      </c>
      <c r="S11" t="n">
        <v>1063.4</v>
      </c>
      <c r="T11" t="n">
        <v>1298.6</v>
      </c>
      <c r="U11" t="n">
        <v>1335.5</v>
      </c>
      <c r="V11" t="n">
        <v>1052.2</v>
      </c>
      <c r="W11" t="n">
        <v>1059.2</v>
      </c>
      <c r="X11" t="n">
        <v>1095.3</v>
      </c>
      <c r="Y11" t="n">
        <v>1159.2</v>
      </c>
      <c r="Z11"/>
      <c r="AA11"/>
      <c r="AB11"/>
      <c r="AC11"/>
      <c r="AD11"/>
      <c r="AE11"/>
      <c r="AF11"/>
    </row>
    <row r="12">
      <c r="A12" t="s">
        <v>16</v>
      </c>
      <c r="B12" t="s">
        <v>181</v>
      </c>
      <c r="C12" t="s">
        <v>131</v>
      </c>
      <c r="D12" t="s">
        <v>182</v>
      </c>
      <c r="E12" t="s">
        <v>132</v>
      </c>
      <c r="F12" t="n">
        <v>476.2</v>
      </c>
      <c r="G12" t="n">
        <v>512.6</v>
      </c>
      <c r="H12" t="n">
        <v>536.6</v>
      </c>
      <c r="I12" t="n">
        <v>586.7</v>
      </c>
      <c r="J12" t="n">
        <v>628.3</v>
      </c>
      <c r="K12" t="n">
        <v>691.7</v>
      </c>
      <c r="L12" t="n">
        <v>673.8</v>
      </c>
      <c r="M12" t="n">
        <v>657.7</v>
      </c>
      <c r="N12" t="n">
        <v>715.1</v>
      </c>
      <c r="O12" t="n">
        <v>768.1</v>
      </c>
      <c r="P12" t="n">
        <v>870.4</v>
      </c>
      <c r="Q12" t="n">
        <v>889.6</v>
      </c>
      <c r="R12" t="n">
        <v>954.8</v>
      </c>
      <c r="S12" t="n">
        <v>897.1</v>
      </c>
      <c r="T12" t="n">
        <v>690.6</v>
      </c>
      <c r="U12" t="n">
        <v>579.5</v>
      </c>
      <c r="V12" t="n">
        <v>551.3</v>
      </c>
      <c r="W12" t="n">
        <v>534.7</v>
      </c>
      <c r="X12" t="n">
        <v>603.6</v>
      </c>
      <c r="Y12" t="n">
        <v>608.3</v>
      </c>
      <c r="Z12" t="n">
        <v>616.2</v>
      </c>
      <c r="AA12" t="n">
        <v>727.5</v>
      </c>
      <c r="AB12" t="n">
        <v>799.8</v>
      </c>
      <c r="AC12" t="n">
        <v>787.6</v>
      </c>
      <c r="AD12" t="n">
        <v>822</v>
      </c>
      <c r="AE12" t="n">
        <v>806.1</v>
      </c>
      <c r="AF12" t="n">
        <v>897</v>
      </c>
    </row>
    <row r="13">
      <c r="A13" t="s">
        <v>16</v>
      </c>
      <c r="B13" t="s">
        <v>183</v>
      </c>
      <c r="C13" t="s">
        <v>131</v>
      </c>
      <c r="D13" t="s">
        <v>184</v>
      </c>
      <c r="E13" t="s">
        <v>132</v>
      </c>
      <c r="F13" t="n">
        <v>284.8</v>
      </c>
      <c r="G13" t="n">
        <v>317.7</v>
      </c>
      <c r="H13" t="n">
        <v>344.7</v>
      </c>
      <c r="I13" t="n">
        <v>375</v>
      </c>
      <c r="J13" t="n">
        <v>442.1</v>
      </c>
      <c r="K13" t="n">
        <v>507.7</v>
      </c>
      <c r="L13" t="n">
        <v>486.9</v>
      </c>
      <c r="M13" t="n">
        <v>525.2</v>
      </c>
      <c r="N13" t="n">
        <v>541.9</v>
      </c>
      <c r="O13" t="n">
        <v>598</v>
      </c>
      <c r="P13" t="n">
        <v>653.8</v>
      </c>
      <c r="Q13" t="n">
        <v>683</v>
      </c>
      <c r="R13" t="n">
        <v>761.8</v>
      </c>
      <c r="S13" t="n">
        <v>765</v>
      </c>
      <c r="T13" t="n">
        <v>599.3</v>
      </c>
      <c r="U13" t="n">
        <v>537.8</v>
      </c>
      <c r="V13" t="n">
        <v>532</v>
      </c>
      <c r="W13" t="n">
        <v>530.5</v>
      </c>
      <c r="X13" t="n">
        <v>561</v>
      </c>
      <c r="Y13" t="n">
        <v>625.2</v>
      </c>
      <c r="Z13" t="n">
        <v>651.6</v>
      </c>
      <c r="AA13" t="n">
        <v>710</v>
      </c>
      <c r="AB13" t="n">
        <v>754.3</v>
      </c>
      <c r="AC13" t="n">
        <v>817.1</v>
      </c>
      <c r="AD13" t="n">
        <v>852.8</v>
      </c>
      <c r="AE13" t="n">
        <v>826</v>
      </c>
      <c r="AF13" t="n">
        <v>916.7</v>
      </c>
    </row>
    <row r="14">
      <c r="A14" t="s">
        <v>16</v>
      </c>
      <c r="B14" t="s">
        <v>185</v>
      </c>
      <c r="C14" t="s">
        <v>131</v>
      </c>
      <c r="D14" t="s">
        <v>186</v>
      </c>
      <c r="E14" t="s">
        <v>132</v>
      </c>
      <c r="F14" t="n">
        <v>512.3</v>
      </c>
      <c r="G14" t="n">
        <v>573.7</v>
      </c>
      <c r="H14" t="n">
        <v>694.7</v>
      </c>
      <c r="I14" t="n">
        <v>824.3</v>
      </c>
      <c r="J14" t="n">
        <v>763.8</v>
      </c>
      <c r="K14" t="n">
        <v>870.9</v>
      </c>
      <c r="L14" t="n">
        <v>1195.2</v>
      </c>
      <c r="M14" t="n">
        <v>1159.9</v>
      </c>
      <c r="N14" t="n">
        <v>1030.6</v>
      </c>
      <c r="O14" t="n">
        <v>1096.5</v>
      </c>
      <c r="P14" t="n">
        <v>1231.7</v>
      </c>
      <c r="Q14" t="n">
        <v>1301.9</v>
      </c>
      <c r="R14" t="n">
        <v>1224.3</v>
      </c>
      <c r="S14" t="n">
        <v>1329.4</v>
      </c>
      <c r="T14" t="n">
        <v>1125.3</v>
      </c>
      <c r="U14" t="n">
        <v>931</v>
      </c>
      <c r="V14" t="n">
        <v>956.2</v>
      </c>
      <c r="W14" t="n">
        <v>843.4</v>
      </c>
      <c r="X14" t="n">
        <v>915.5</v>
      </c>
      <c r="Y14" t="n">
        <v>934.6</v>
      </c>
      <c r="Z14"/>
      <c r="AA14"/>
      <c r="AB14"/>
      <c r="AC14"/>
      <c r="AD14"/>
      <c r="AE14"/>
      <c r="AF14"/>
    </row>
    <row r="15">
      <c r="A15" t="s">
        <v>16</v>
      </c>
      <c r="B15" t="s">
        <v>187</v>
      </c>
      <c r="C15" t="s">
        <v>131</v>
      </c>
      <c r="D15" t="s">
        <v>188</v>
      </c>
      <c r="E15" t="s">
        <v>132</v>
      </c>
      <c r="F15" t="n">
        <v>696.2</v>
      </c>
      <c r="G15" t="n">
        <v>779.7</v>
      </c>
      <c r="H15" t="n">
        <v>944.1</v>
      </c>
      <c r="I15" t="n">
        <v>1114.3</v>
      </c>
      <c r="J15" t="n">
        <v>1070.9</v>
      </c>
      <c r="K15" t="n">
        <v>1255.5</v>
      </c>
      <c r="L15" t="n">
        <v>1531.6</v>
      </c>
      <c r="M15" t="n">
        <v>1469</v>
      </c>
      <c r="N15" t="n">
        <v>1281.2</v>
      </c>
      <c r="O15" t="n">
        <v>1207</v>
      </c>
      <c r="P15" t="n">
        <v>1395.1</v>
      </c>
      <c r="Q15" t="n">
        <v>1512.8</v>
      </c>
      <c r="R15" t="n">
        <v>1444.7</v>
      </c>
      <c r="S15" t="n">
        <v>1581</v>
      </c>
      <c r="T15" t="n">
        <v>1324.5</v>
      </c>
      <c r="U15" t="n">
        <v>1067.9</v>
      </c>
      <c r="V15" t="n">
        <v>1109.6</v>
      </c>
      <c r="W15" t="n">
        <v>994</v>
      </c>
      <c r="X15" t="n">
        <v>1073.8</v>
      </c>
      <c r="Y15" t="n">
        <v>1099.2</v>
      </c>
      <c r="Z15" t="n">
        <v>172</v>
      </c>
      <c r="AA15" t="n">
        <v>188</v>
      </c>
      <c r="AB15" t="n">
        <v>203</v>
      </c>
      <c r="AC15" t="n">
        <v>213</v>
      </c>
      <c r="AD15" t="n">
        <v>217.6</v>
      </c>
      <c r="AE15" t="n">
        <v>238.1</v>
      </c>
      <c r="AF15" t="n">
        <v>281.6</v>
      </c>
    </row>
    <row r="16">
      <c r="A16" t="s">
        <v>16</v>
      </c>
      <c r="B16" t="s">
        <v>189</v>
      </c>
      <c r="C16" t="s">
        <v>131</v>
      </c>
      <c r="D16" t="s">
        <v>190</v>
      </c>
      <c r="E16" t="s">
        <v>132</v>
      </c>
      <c r="F16" t="n">
        <v>183.9</v>
      </c>
      <c r="G16" t="n">
        <v>206</v>
      </c>
      <c r="H16" t="n">
        <v>249.4</v>
      </c>
      <c r="I16" t="n">
        <v>290</v>
      </c>
      <c r="J16" t="n">
        <v>307.1</v>
      </c>
      <c r="K16" t="n">
        <v>384.6</v>
      </c>
      <c r="L16" t="n">
        <v>336.4</v>
      </c>
      <c r="M16" t="n">
        <v>309.1</v>
      </c>
      <c r="N16" t="n">
        <v>250.6</v>
      </c>
      <c r="O16" t="n">
        <v>110.5</v>
      </c>
      <c r="P16" t="n">
        <v>163.4</v>
      </c>
      <c r="Q16" t="n">
        <v>210.9</v>
      </c>
      <c r="R16" t="n">
        <v>220.4</v>
      </c>
      <c r="S16" t="n">
        <v>251.6</v>
      </c>
      <c r="T16" t="n">
        <v>199.2</v>
      </c>
      <c r="U16" t="n">
        <v>136.9</v>
      </c>
      <c r="V16" t="n">
        <v>153.4</v>
      </c>
      <c r="W16" t="n">
        <v>150.6</v>
      </c>
      <c r="X16" t="n">
        <v>158.3</v>
      </c>
      <c r="Y16" t="n">
        <v>164.6</v>
      </c>
      <c r="Z16" t="n">
        <v>172</v>
      </c>
      <c r="AA16" t="n">
        <v>188</v>
      </c>
      <c r="AB16" t="n">
        <v>203</v>
      </c>
      <c r="AC16" t="n">
        <v>213</v>
      </c>
      <c r="AD16" t="n">
        <v>217.6</v>
      </c>
      <c r="AE16" t="n">
        <v>238.1</v>
      </c>
      <c r="AF16" t="n">
        <v>281.6</v>
      </c>
    </row>
    <row r="17">
      <c r="A17" t="s">
        <v>16</v>
      </c>
      <c r="B17" t="s">
        <v>191</v>
      </c>
      <c r="C17" t="s">
        <v>131</v>
      </c>
      <c r="D17" t="s">
        <v>192</v>
      </c>
      <c r="E17" t="s">
        <v>132</v>
      </c>
      <c r="F17" t="n">
        <v>291.3</v>
      </c>
      <c r="G17" t="n">
        <v>309.5</v>
      </c>
      <c r="H17" t="n">
        <v>320.7</v>
      </c>
      <c r="I17" t="n">
        <v>262.8</v>
      </c>
      <c r="J17" t="n">
        <v>378.6</v>
      </c>
      <c r="K17" t="n">
        <v>371.1</v>
      </c>
      <c r="L17" t="n">
        <v>415</v>
      </c>
      <c r="M17" t="n">
        <v>437.3</v>
      </c>
      <c r="N17" t="n">
        <v>463.1</v>
      </c>
      <c r="O17" t="n">
        <v>494.2</v>
      </c>
      <c r="P17" t="n">
        <v>504.4</v>
      </c>
      <c r="Q17" t="n">
        <v>477.5</v>
      </c>
      <c r="R17" t="n">
        <v>575.5</v>
      </c>
      <c r="S17" t="n">
        <v>575.3</v>
      </c>
      <c r="T17" t="n">
        <v>483.1</v>
      </c>
      <c r="U17" t="n">
        <v>442.9</v>
      </c>
      <c r="V17" t="n">
        <v>417.7</v>
      </c>
      <c r="W17" t="n">
        <v>447.9</v>
      </c>
      <c r="X17" t="n">
        <v>465.2</v>
      </c>
      <c r="Y17" t="n">
        <v>491.8</v>
      </c>
      <c r="Z17" t="n">
        <v>523.3</v>
      </c>
      <c r="AA17" t="n">
        <v>628.2</v>
      </c>
      <c r="AB17" t="n">
        <v>577.5</v>
      </c>
      <c r="AC17" t="n">
        <v>627.8</v>
      </c>
      <c r="AD17" t="n">
        <v>604.2</v>
      </c>
      <c r="AE17" t="n">
        <v>580.6</v>
      </c>
      <c r="AF17" t="n">
        <v>634.5</v>
      </c>
    </row>
    <row r="18">
      <c r="A18" t="s">
        <v>16</v>
      </c>
      <c r="B18" t="s">
        <v>193</v>
      </c>
      <c r="C18" t="s">
        <v>131</v>
      </c>
      <c r="D18" t="s">
        <v>194</v>
      </c>
      <c r="E18" t="s">
        <v>132</v>
      </c>
      <c r="F18" t="n">
        <v>229.6</v>
      </c>
      <c r="G18" t="n">
        <v>260</v>
      </c>
      <c r="H18" t="n">
        <v>254.6</v>
      </c>
      <c r="I18" t="n">
        <v>373</v>
      </c>
      <c r="J18" t="n">
        <v>211</v>
      </c>
      <c r="K18" t="n">
        <v>262.6</v>
      </c>
      <c r="L18" t="n">
        <v>246.8</v>
      </c>
      <c r="M18" t="n">
        <v>217.9</v>
      </c>
      <c r="N18" t="n">
        <v>450.7</v>
      </c>
      <c r="O18" t="n">
        <v>303</v>
      </c>
      <c r="P18" t="n">
        <v>348.8</v>
      </c>
      <c r="Q18" t="n">
        <v>308.5</v>
      </c>
      <c r="R18" t="n">
        <v>323.7</v>
      </c>
      <c r="S18" t="n">
        <v>319.5</v>
      </c>
      <c r="T18" t="n">
        <v>234.5</v>
      </c>
      <c r="U18" t="n">
        <v>155.7</v>
      </c>
      <c r="V18" t="n">
        <v>139.6</v>
      </c>
      <c r="W18" t="n">
        <v>139.2</v>
      </c>
      <c r="X18" t="n">
        <v>141.8</v>
      </c>
      <c r="Y18" t="n">
        <v>185.3</v>
      </c>
      <c r="Z18" t="n">
        <v>196.5</v>
      </c>
      <c r="AA18" t="n">
        <v>213.1</v>
      </c>
      <c r="AB18" t="n">
        <v>219.3</v>
      </c>
      <c r="AC18" t="n">
        <v>245.1</v>
      </c>
      <c r="AD18" t="n">
        <v>174.2</v>
      </c>
      <c r="AE18" t="n">
        <v>169.9</v>
      </c>
      <c r="AF18" t="n">
        <v>167.8</v>
      </c>
    </row>
    <row r="19">
      <c r="A19" t="s">
        <v>16</v>
      </c>
      <c r="B19" t="s">
        <v>195</v>
      </c>
      <c r="C19" t="s">
        <v>131</v>
      </c>
      <c r="D19" t="s">
        <v>196</v>
      </c>
      <c r="E19" t="s">
        <v>132</v>
      </c>
      <c r="F19" t="n">
        <v>477.3</v>
      </c>
      <c r="G19" t="n">
        <v>530.7</v>
      </c>
      <c r="H19" t="n">
        <v>602</v>
      </c>
      <c r="I19" t="n">
        <v>892.8</v>
      </c>
      <c r="J19" t="n">
        <v>1114.6</v>
      </c>
      <c r="K19" t="n">
        <v>1070.1</v>
      </c>
      <c r="L19" t="n">
        <v>1098</v>
      </c>
      <c r="M19" t="n">
        <v>1058.2</v>
      </c>
      <c r="N19" t="n">
        <v>1266.6</v>
      </c>
      <c r="O19" t="n">
        <v>1298.7</v>
      </c>
      <c r="P19" t="n">
        <v>1267.4</v>
      </c>
      <c r="Q19" t="n">
        <v>1471.5</v>
      </c>
      <c r="R19" t="n">
        <v>1685</v>
      </c>
      <c r="S19" t="n">
        <v>1538.5</v>
      </c>
      <c r="T19" t="n">
        <v>1377</v>
      </c>
      <c r="U19" t="n">
        <v>1444.4</v>
      </c>
      <c r="V19" t="n">
        <v>1513.7</v>
      </c>
      <c r="W19" t="n">
        <v>1502.3</v>
      </c>
      <c r="X19" t="n">
        <v>1643.8</v>
      </c>
      <c r="Y19" t="n">
        <v>1804.1</v>
      </c>
      <c r="Z19" t="n">
        <v>1893.1</v>
      </c>
      <c r="AA19" t="n">
        <v>2030.3</v>
      </c>
      <c r="AB19" t="n">
        <v>2258</v>
      </c>
      <c r="AC19" t="n">
        <v>2421.3</v>
      </c>
      <c r="AD19" t="n">
        <v>2671.1</v>
      </c>
      <c r="AE19" t="n">
        <v>2734.3</v>
      </c>
      <c r="AF19" t="n">
        <v>2996.5</v>
      </c>
    </row>
    <row r="20">
      <c r="A20" t="s">
        <v>16</v>
      </c>
      <c r="B20" t="s">
        <v>197</v>
      </c>
      <c r="C20" t="s">
        <v>131</v>
      </c>
      <c r="D20" t="s">
        <v>198</v>
      </c>
      <c r="E20" t="s">
        <v>132</v>
      </c>
      <c r="F20" t="n">
        <v>363</v>
      </c>
      <c r="G20" t="n">
        <v>345.1</v>
      </c>
      <c r="H20" t="n">
        <v>389.1</v>
      </c>
      <c r="I20" t="n">
        <v>425.3</v>
      </c>
      <c r="J20" t="n">
        <v>444.8</v>
      </c>
      <c r="K20" t="n">
        <v>431.2</v>
      </c>
      <c r="L20" t="n">
        <v>576.7</v>
      </c>
      <c r="M20" t="n">
        <v>524.8</v>
      </c>
      <c r="N20" t="n">
        <v>536.4</v>
      </c>
      <c r="O20" t="n">
        <v>583.2</v>
      </c>
      <c r="P20" t="n">
        <v>617.1</v>
      </c>
      <c r="Q20" t="n">
        <v>784.8</v>
      </c>
      <c r="R20" t="n">
        <v>709.5</v>
      </c>
      <c r="S20" t="n">
        <v>818.4</v>
      </c>
      <c r="T20" t="n">
        <v>883.1</v>
      </c>
      <c r="U20" t="n">
        <v>797.3</v>
      </c>
      <c r="V20" t="n">
        <v>744.3</v>
      </c>
      <c r="W20" t="n">
        <v>757.1</v>
      </c>
      <c r="X20" t="n">
        <v>667.5</v>
      </c>
      <c r="Y20" t="n">
        <v>711.2</v>
      </c>
      <c r="Z20" t="n">
        <v>740.9</v>
      </c>
      <c r="AA20" t="n">
        <v>766.9</v>
      </c>
      <c r="AB20" t="n">
        <v>820.3</v>
      </c>
      <c r="AC20" t="n">
        <v>837.2</v>
      </c>
      <c r="AD20" t="n">
        <v>878.1</v>
      </c>
      <c r="AE20" t="n">
        <v>910.2</v>
      </c>
      <c r="AF20" t="n">
        <v>880.8</v>
      </c>
    </row>
    <row r="21">
      <c r="A21" t="s">
        <v>16</v>
      </c>
      <c r="B21" t="s">
        <v>199</v>
      </c>
      <c r="C21" t="s">
        <v>131</v>
      </c>
      <c r="D21" t="s">
        <v>200</v>
      </c>
      <c r="E21" t="s">
        <v>132</v>
      </c>
      <c r="F21" t="n">
        <v>512.9</v>
      </c>
      <c r="G21" t="n">
        <v>498.4</v>
      </c>
      <c r="H21" t="n">
        <v>549.8</v>
      </c>
      <c r="I21" t="n">
        <v>648.1</v>
      </c>
      <c r="J21" t="n">
        <v>697.4</v>
      </c>
      <c r="K21" t="n">
        <v>738.2</v>
      </c>
      <c r="L21" t="n">
        <v>879.6</v>
      </c>
      <c r="M21" t="n">
        <v>873</v>
      </c>
      <c r="N21" t="n">
        <v>867.2</v>
      </c>
      <c r="O21" t="n">
        <v>986.6</v>
      </c>
      <c r="P21" t="n">
        <v>992.6</v>
      </c>
      <c r="Q21" t="n">
        <v>1286.8</v>
      </c>
      <c r="R21" t="n">
        <v>1268.3</v>
      </c>
      <c r="S21" t="n">
        <v>1395.9</v>
      </c>
      <c r="T21" t="n">
        <v>1509.8</v>
      </c>
      <c r="U21" t="n">
        <v>1109.6</v>
      </c>
      <c r="V21" t="n">
        <v>1009</v>
      </c>
      <c r="W21" t="n">
        <v>1022.5</v>
      </c>
      <c r="X21" t="n">
        <v>921.4</v>
      </c>
      <c r="Y21" t="n">
        <v>992.8</v>
      </c>
      <c r="Z21" t="n">
        <v>1060</v>
      </c>
      <c r="AA21" t="n">
        <v>1107</v>
      </c>
      <c r="AB21" t="n">
        <v>1204.2</v>
      </c>
      <c r="AC21" t="n">
        <v>1255.3</v>
      </c>
      <c r="AD21" t="n">
        <v>1321.7</v>
      </c>
      <c r="AE21" t="n">
        <v>1360.1</v>
      </c>
      <c r="AF21" t="n">
        <v>1376.1</v>
      </c>
    </row>
    <row r="22">
      <c r="A22" t="s">
        <v>16</v>
      </c>
      <c r="B22" t="s">
        <v>201</v>
      </c>
      <c r="C22" t="s">
        <v>131</v>
      </c>
      <c r="D22" t="s">
        <v>202</v>
      </c>
      <c r="E22" t="s">
        <v>132</v>
      </c>
      <c r="F22" t="n">
        <v>149.9</v>
      </c>
      <c r="G22" t="n">
        <v>153.3</v>
      </c>
      <c r="H22" t="n">
        <v>160.7</v>
      </c>
      <c r="I22" t="n">
        <v>222.8</v>
      </c>
      <c r="J22" t="n">
        <v>252.6</v>
      </c>
      <c r="K22" t="n">
        <v>307</v>
      </c>
      <c r="L22" t="n">
        <v>302.9</v>
      </c>
      <c r="M22" t="n">
        <v>348.2</v>
      </c>
      <c r="N22" t="n">
        <v>330.8</v>
      </c>
      <c r="O22" t="n">
        <v>403.4</v>
      </c>
      <c r="P22" t="n">
        <v>375.5</v>
      </c>
      <c r="Q22" t="n">
        <v>502</v>
      </c>
      <c r="R22" t="n">
        <v>558.8</v>
      </c>
      <c r="S22" t="n">
        <v>577.5</v>
      </c>
      <c r="T22" t="n">
        <v>626.7</v>
      </c>
      <c r="U22" t="n">
        <v>312.3</v>
      </c>
      <c r="V22" t="n">
        <v>264.7</v>
      </c>
      <c r="W22" t="n">
        <v>265.4</v>
      </c>
      <c r="X22" t="n">
        <v>253.9</v>
      </c>
      <c r="Y22" t="n">
        <v>281.6</v>
      </c>
      <c r="Z22" t="n">
        <v>319.1</v>
      </c>
      <c r="AA22" t="n">
        <v>340.1</v>
      </c>
      <c r="AB22" t="n">
        <v>383.9</v>
      </c>
      <c r="AC22" t="n">
        <v>418.1</v>
      </c>
      <c r="AD22" t="n">
        <v>443.6</v>
      </c>
      <c r="AE22" t="n">
        <v>449.9</v>
      </c>
      <c r="AF22" t="n">
        <v>495.3</v>
      </c>
    </row>
    <row r="23">
      <c r="A23" t="s">
        <v>16</v>
      </c>
      <c r="B23" t="s">
        <v>203</v>
      </c>
      <c r="C23" t="s">
        <v>131</v>
      </c>
      <c r="D23" t="s">
        <v>204</v>
      </c>
      <c r="E23" t="s">
        <v>132</v>
      </c>
      <c r="F23" t="n">
        <v>1783.6</v>
      </c>
      <c r="G23" t="n">
        <v>1938.3</v>
      </c>
      <c r="H23" t="n">
        <v>2222.3</v>
      </c>
      <c r="I23" t="n">
        <v>2741.4</v>
      </c>
      <c r="J23" t="n">
        <v>3407.7</v>
      </c>
      <c r="K23" t="n">
        <v>4361.2</v>
      </c>
      <c r="L23" t="n">
        <v>5035.1</v>
      </c>
      <c r="M23" t="n">
        <v>5532.2</v>
      </c>
      <c r="N23" t="n">
        <v>6068.5</v>
      </c>
      <c r="O23" t="n">
        <v>7068</v>
      </c>
      <c r="P23" t="n">
        <v>8788</v>
      </c>
      <c r="Q23" t="n">
        <v>10022.1</v>
      </c>
      <c r="R23" t="n">
        <v>10749.3</v>
      </c>
      <c r="S23" t="n">
        <v>8856</v>
      </c>
      <c r="T23" t="n">
        <v>5567</v>
      </c>
      <c r="U23" t="n">
        <v>3791.3</v>
      </c>
      <c r="V23" t="n">
        <v>2717.6</v>
      </c>
      <c r="W23" t="n">
        <v>2413.2</v>
      </c>
      <c r="X23" t="n">
        <v>2399.8</v>
      </c>
      <c r="Y23" t="n">
        <v>2608.8</v>
      </c>
      <c r="Z23" t="n">
        <v>2858.5</v>
      </c>
      <c r="AA23" t="n">
        <v>3389.1</v>
      </c>
      <c r="AB23" t="n">
        <v>4023.2</v>
      </c>
      <c r="AC23" t="n">
        <v>4461.3</v>
      </c>
      <c r="AD23" t="n">
        <v>4785.4</v>
      </c>
      <c r="AE23" t="n">
        <v>4651.5</v>
      </c>
      <c r="AF23" t="n">
        <v>5419.8</v>
      </c>
    </row>
    <row r="24">
      <c r="A24" t="s">
        <v>16</v>
      </c>
      <c r="B24" t="s">
        <v>205</v>
      </c>
      <c r="C24" t="s">
        <v>131</v>
      </c>
      <c r="D24" t="s">
        <v>206</v>
      </c>
      <c r="E24" t="s">
        <v>132</v>
      </c>
      <c r="F24" t="n">
        <v>2784.1</v>
      </c>
      <c r="G24" t="n">
        <v>3063.3</v>
      </c>
      <c r="H24" t="n">
        <v>3539</v>
      </c>
      <c r="I24" t="n">
        <v>3486.8</v>
      </c>
      <c r="J24" t="n">
        <v>4033.2</v>
      </c>
      <c r="K24" t="n">
        <v>4615.3</v>
      </c>
      <c r="L24" t="n">
        <v>4742.9</v>
      </c>
      <c r="M24" t="n">
        <v>4995.2</v>
      </c>
      <c r="N24" t="n">
        <v>5380.7</v>
      </c>
      <c r="O24" t="n">
        <v>5928.2</v>
      </c>
      <c r="P24" t="n">
        <v>7038.7</v>
      </c>
      <c r="Q24" t="n">
        <v>7512.3</v>
      </c>
      <c r="R24" t="n">
        <v>8504.4</v>
      </c>
      <c r="S24" t="n">
        <v>9176.1</v>
      </c>
      <c r="T24" t="n">
        <v>7575.8</v>
      </c>
      <c r="U24" t="n">
        <v>7839.5</v>
      </c>
      <c r="V24" t="n">
        <v>9481.4</v>
      </c>
      <c r="W24" t="n">
        <v>9757.2</v>
      </c>
      <c r="X24" t="n">
        <v>9803.3</v>
      </c>
      <c r="Y24" t="n">
        <v>10181.7</v>
      </c>
      <c r="Z24" t="n">
        <v>10579.6</v>
      </c>
      <c r="AA24" t="n">
        <v>11440.1</v>
      </c>
      <c r="AB24" t="n">
        <v>12002.5</v>
      </c>
      <c r="AC24" t="n">
        <v>12172.4</v>
      </c>
      <c r="AD24" t="n">
        <v>12552.7</v>
      </c>
      <c r="AE24" t="n">
        <v>12198.2</v>
      </c>
      <c r="AF24" t="n">
        <v>13447.1</v>
      </c>
    </row>
    <row r="25">
      <c r="A25" t="s">
        <v>16</v>
      </c>
      <c r="B25" t="s">
        <v>207</v>
      </c>
      <c r="C25" t="s">
        <v>131</v>
      </c>
      <c r="D25" t="s">
        <v>208</v>
      </c>
      <c r="E25" t="s">
        <v>132</v>
      </c>
      <c r="F25" t="n">
        <v>343.4</v>
      </c>
      <c r="G25" t="n">
        <v>378.1</v>
      </c>
      <c r="H25" t="n">
        <v>436.9</v>
      </c>
      <c r="I25" t="n">
        <v>446.3</v>
      </c>
      <c r="J25" t="n">
        <v>527.4</v>
      </c>
      <c r="K25" t="n">
        <v>613.6</v>
      </c>
      <c r="L25" t="n">
        <v>604</v>
      </c>
      <c r="M25" t="n">
        <v>637.6</v>
      </c>
      <c r="N25" t="n">
        <v>654</v>
      </c>
      <c r="O25" t="n">
        <v>790.8</v>
      </c>
      <c r="P25" t="n">
        <v>919.4</v>
      </c>
      <c r="Q25" t="n">
        <v>989.6</v>
      </c>
      <c r="R25" t="n">
        <v>1124.1</v>
      </c>
      <c r="S25" t="n">
        <v>1314.8</v>
      </c>
      <c r="T25" t="n">
        <v>993.8</v>
      </c>
      <c r="U25" t="n">
        <v>802.1</v>
      </c>
      <c r="V25" t="n">
        <v>775.3</v>
      </c>
      <c r="W25" t="n">
        <v>752.5</v>
      </c>
      <c r="X25" t="n">
        <v>764.6</v>
      </c>
      <c r="Y25" t="n">
        <v>817.5</v>
      </c>
      <c r="Z25" t="n">
        <v>902.8</v>
      </c>
      <c r="AA25" t="n">
        <v>1001.1</v>
      </c>
      <c r="AB25" t="n">
        <v>1048.8</v>
      </c>
      <c r="AC25" t="n">
        <v>1106.3</v>
      </c>
      <c r="AD25" t="n">
        <v>1137.8</v>
      </c>
      <c r="AE25" t="n">
        <v>1023.7</v>
      </c>
      <c r="AF25" t="n">
        <v>1218.9</v>
      </c>
    </row>
    <row r="26">
      <c r="A26" t="s">
        <v>16</v>
      </c>
      <c r="B26" t="s">
        <v>209</v>
      </c>
      <c r="C26" t="s">
        <v>131</v>
      </c>
      <c r="D26" t="s">
        <v>210</v>
      </c>
      <c r="E26" t="s">
        <v>132</v>
      </c>
      <c r="F26" t="n">
        <v>913</v>
      </c>
      <c r="G26" t="n">
        <v>1004.9</v>
      </c>
      <c r="H26" t="n">
        <v>1161.1</v>
      </c>
      <c r="I26" t="n">
        <v>1212.2</v>
      </c>
      <c r="J26" t="n">
        <v>1274.1</v>
      </c>
      <c r="K26" t="n">
        <v>1490.8</v>
      </c>
      <c r="L26" t="n">
        <v>1461</v>
      </c>
      <c r="M26" t="n">
        <v>1483.6</v>
      </c>
      <c r="N26" t="n">
        <v>1448.5</v>
      </c>
      <c r="O26" t="n">
        <v>1618.4</v>
      </c>
      <c r="P26" t="n">
        <v>2133.6</v>
      </c>
      <c r="Q26" t="n">
        <v>2255.6</v>
      </c>
      <c r="R26" t="n">
        <v>2531.1</v>
      </c>
      <c r="S26" t="n">
        <v>2827.5</v>
      </c>
      <c r="T26" t="n">
        <v>2039.4</v>
      </c>
      <c r="U26" t="n">
        <v>2762.7</v>
      </c>
      <c r="V26" t="n">
        <v>4104.4</v>
      </c>
      <c r="W26" t="n">
        <v>4401.7</v>
      </c>
      <c r="X26" t="n">
        <v>4395.5</v>
      </c>
      <c r="Y26" t="n">
        <v>4538.9</v>
      </c>
      <c r="Z26" t="n">
        <v>4706.7</v>
      </c>
      <c r="AA26" t="n">
        <v>5226.6</v>
      </c>
      <c r="AB26" t="n">
        <v>5470.5</v>
      </c>
      <c r="AC26" t="n">
        <v>5513.1</v>
      </c>
      <c r="AD26" t="n">
        <v>5705.8</v>
      </c>
      <c r="AE26" t="n">
        <v>5652.6</v>
      </c>
      <c r="AF26" t="n">
        <v>6218.7</v>
      </c>
    </row>
    <row r="27">
      <c r="A27" t="s">
        <v>16</v>
      </c>
      <c r="B27" t="s">
        <v>211</v>
      </c>
      <c r="C27" t="s">
        <v>131</v>
      </c>
      <c r="D27" t="s">
        <v>212</v>
      </c>
      <c r="E27" t="s">
        <v>132</v>
      </c>
      <c r="F27" t="n">
        <v>1527.7</v>
      </c>
      <c r="G27" t="n">
        <v>1680.3</v>
      </c>
      <c r="H27" t="n">
        <v>1941</v>
      </c>
      <c r="I27" t="n">
        <v>1828.3</v>
      </c>
      <c r="J27" t="n">
        <v>2231.7</v>
      </c>
      <c r="K27" t="n">
        <v>2510.9</v>
      </c>
      <c r="L27" t="n">
        <v>2677.9</v>
      </c>
      <c r="M27" t="n">
        <v>2874</v>
      </c>
      <c r="N27" t="n">
        <v>3278.2</v>
      </c>
      <c r="O27" t="n">
        <v>3519</v>
      </c>
      <c r="P27" t="n">
        <v>3985.7</v>
      </c>
      <c r="Q27" t="n">
        <v>4267.1</v>
      </c>
      <c r="R27" t="n">
        <v>4849.2</v>
      </c>
      <c r="S27" t="n">
        <v>5033.8</v>
      </c>
      <c r="T27" t="n">
        <v>4542.6</v>
      </c>
      <c r="U27" t="n">
        <v>4274.7</v>
      </c>
      <c r="V27" t="n">
        <v>4601.7</v>
      </c>
      <c r="W27" t="n">
        <v>4603</v>
      </c>
      <c r="X27" t="n">
        <v>4643.2</v>
      </c>
      <c r="Y27" t="n">
        <v>4825.3</v>
      </c>
      <c r="Z27" t="n">
        <v>4970.1</v>
      </c>
      <c r="AA27" t="n">
        <v>5212.4</v>
      </c>
      <c r="AB27" t="n">
        <v>5483.2</v>
      </c>
      <c r="AC27" t="n">
        <v>5553</v>
      </c>
      <c r="AD27" t="n">
        <v>5709.1</v>
      </c>
      <c r="AE27" t="n">
        <v>5521.9</v>
      </c>
      <c r="AF27" t="n">
        <v>6009.5</v>
      </c>
    </row>
    <row r="28">
      <c r="A28" t="s">
        <v>16</v>
      </c>
      <c r="B28" t="s">
        <v>213</v>
      </c>
      <c r="C28" t="s">
        <v>131</v>
      </c>
      <c r="D28" t="s">
        <v>214</v>
      </c>
      <c r="E28" t="s">
        <v>132</v>
      </c>
      <c r="F28" t="n">
        <v>1093.9</v>
      </c>
      <c r="G28" t="n">
        <v>1284.9</v>
      </c>
      <c r="H28" t="n">
        <v>1503.1</v>
      </c>
      <c r="I28" t="n">
        <v>1847.6</v>
      </c>
      <c r="J28" t="n">
        <v>2166.8</v>
      </c>
      <c r="K28" t="n">
        <v>2361.4</v>
      </c>
      <c r="L28" t="n">
        <v>2566</v>
      </c>
      <c r="M28" t="n">
        <v>2626.9</v>
      </c>
      <c r="N28" t="n">
        <v>2885.3</v>
      </c>
      <c r="O28" t="n">
        <v>2933</v>
      </c>
      <c r="P28" t="n">
        <v>3034.8</v>
      </c>
      <c r="Q28" t="n">
        <v>3210.5</v>
      </c>
      <c r="R28" t="n">
        <v>3606.8</v>
      </c>
      <c r="S28" t="n">
        <v>3764.6</v>
      </c>
      <c r="T28" t="n">
        <v>3725.8</v>
      </c>
      <c r="U28" t="n">
        <v>3154.3</v>
      </c>
      <c r="V28" t="n">
        <v>3072.1</v>
      </c>
      <c r="W28" t="n">
        <v>3077.7</v>
      </c>
      <c r="X28" t="n">
        <v>3029.4</v>
      </c>
      <c r="Y28" t="n">
        <v>3015.1</v>
      </c>
      <c r="Z28" t="n">
        <v>3169.6</v>
      </c>
      <c r="AA28" t="n">
        <v>3307.7</v>
      </c>
      <c r="AB28" t="n">
        <v>3435.1</v>
      </c>
      <c r="AC28" t="n">
        <v>3652.6</v>
      </c>
      <c r="AD28" t="n">
        <v>4003.2</v>
      </c>
      <c r="AE28" t="n">
        <v>3757.9</v>
      </c>
      <c r="AF28" t="n">
        <v>3970.9</v>
      </c>
    </row>
    <row r="29">
      <c r="A29" t="s">
        <v>16</v>
      </c>
      <c r="B29" t="s">
        <v>215</v>
      </c>
      <c r="C29" t="s">
        <v>131</v>
      </c>
      <c r="D29" t="s">
        <v>216</v>
      </c>
      <c r="E29" t="s">
        <v>132</v>
      </c>
      <c r="F29" t="n">
        <v>316.4</v>
      </c>
      <c r="G29" t="n">
        <v>378.2</v>
      </c>
      <c r="H29" t="n">
        <v>448.7</v>
      </c>
      <c r="I29" t="n">
        <v>602.5</v>
      </c>
      <c r="J29" t="n">
        <v>726.5</v>
      </c>
      <c r="K29" t="n">
        <v>792.8</v>
      </c>
      <c r="L29" t="n">
        <v>960.9</v>
      </c>
      <c r="M29" t="n">
        <v>1028.4</v>
      </c>
      <c r="N29" t="n">
        <v>1050.4</v>
      </c>
      <c r="O29" t="n">
        <v>1302.2</v>
      </c>
      <c r="P29" t="n">
        <v>1279.2</v>
      </c>
      <c r="Q29" t="n">
        <v>1157.8</v>
      </c>
      <c r="R29" t="n">
        <v>1283.5</v>
      </c>
      <c r="S29" t="n">
        <v>1394.8</v>
      </c>
      <c r="T29" t="n">
        <v>1276.2</v>
      </c>
      <c r="U29" t="n">
        <v>1185</v>
      </c>
      <c r="V29" t="n">
        <v>1182.2</v>
      </c>
      <c r="W29" t="n">
        <v>1202.5</v>
      </c>
      <c r="X29" t="n">
        <v>1157.6</v>
      </c>
      <c r="Y29" t="n">
        <v>1202.1</v>
      </c>
      <c r="Z29" t="n">
        <v>1268</v>
      </c>
      <c r="AA29" t="n">
        <v>1353.6</v>
      </c>
      <c r="AB29" t="n">
        <v>1425.6</v>
      </c>
      <c r="AC29" t="n">
        <v>1521.2</v>
      </c>
      <c r="AD29" t="n">
        <v>1624.4</v>
      </c>
      <c r="AE29" t="n">
        <v>1568.5</v>
      </c>
      <c r="AF29" t="n">
        <v>1742.5</v>
      </c>
    </row>
    <row r="30">
      <c r="A30" t="s">
        <v>16</v>
      </c>
      <c r="B30" t="s">
        <v>217</v>
      </c>
      <c r="C30" t="s">
        <v>131</v>
      </c>
      <c r="D30" t="s">
        <v>218</v>
      </c>
      <c r="E30" t="s">
        <v>132</v>
      </c>
      <c r="F30" t="n">
        <v>44.9</v>
      </c>
      <c r="G30" t="n">
        <v>53.7</v>
      </c>
      <c r="H30" t="n">
        <v>63.6</v>
      </c>
      <c r="I30" t="n">
        <v>89.9</v>
      </c>
      <c r="J30" t="n">
        <v>102.5</v>
      </c>
      <c r="K30" t="n">
        <v>103.2</v>
      </c>
      <c r="L30" t="n">
        <v>116.6</v>
      </c>
      <c r="M30" t="n">
        <v>126</v>
      </c>
      <c r="N30" t="n">
        <v>161</v>
      </c>
      <c r="O30" t="n">
        <v>213.9</v>
      </c>
      <c r="P30" t="n">
        <v>124.1</v>
      </c>
      <c r="Q30" t="n">
        <v>116.3</v>
      </c>
      <c r="R30" t="n">
        <v>129.9</v>
      </c>
      <c r="S30" t="n">
        <v>98.2</v>
      </c>
      <c r="T30" t="n">
        <v>132.8</v>
      </c>
      <c r="U30" t="n">
        <v>64.2</v>
      </c>
      <c r="V30" t="n">
        <v>39.1</v>
      </c>
      <c r="W30" t="n">
        <v>43</v>
      </c>
      <c r="X30" t="n">
        <v>36.2</v>
      </c>
      <c r="Y30" t="n">
        <v>37</v>
      </c>
      <c r="Z30" t="n">
        <v>39.3</v>
      </c>
      <c r="AA30" t="n">
        <v>40.1</v>
      </c>
      <c r="AB30" t="n">
        <v>38.3</v>
      </c>
      <c r="AC30" t="n">
        <v>41.7</v>
      </c>
      <c r="AD30" t="n">
        <v>42.4</v>
      </c>
      <c r="AE30" t="n">
        <v>40.3</v>
      </c>
      <c r="AF30" t="n">
        <v>45.7</v>
      </c>
    </row>
    <row r="31">
      <c r="A31" t="s">
        <v>16</v>
      </c>
      <c r="B31" t="s">
        <v>219</v>
      </c>
      <c r="C31" t="s">
        <v>131</v>
      </c>
      <c r="D31" t="s">
        <v>220</v>
      </c>
      <c r="E31" t="s">
        <v>132</v>
      </c>
      <c r="F31" t="n">
        <v>198.3</v>
      </c>
      <c r="G31" t="n">
        <v>236.9</v>
      </c>
      <c r="H31" t="n">
        <v>280.8</v>
      </c>
      <c r="I31" t="n">
        <v>385.1</v>
      </c>
      <c r="J31" t="n">
        <v>493.9</v>
      </c>
      <c r="K31" t="n">
        <v>488.9</v>
      </c>
      <c r="L31" t="n">
        <v>421.4</v>
      </c>
      <c r="M31" t="n">
        <v>423.9</v>
      </c>
      <c r="N31" t="n">
        <v>421.9</v>
      </c>
      <c r="O31" t="n">
        <v>387.8</v>
      </c>
      <c r="P31" t="n">
        <v>373.5</v>
      </c>
      <c r="Q31" t="n">
        <v>485.5</v>
      </c>
      <c r="R31" t="n">
        <v>701.7</v>
      </c>
      <c r="S31" t="n">
        <v>764.8</v>
      </c>
      <c r="T31" t="n">
        <v>855.4</v>
      </c>
      <c r="U31" t="n">
        <v>600.4</v>
      </c>
      <c r="V31" t="n">
        <v>448.4</v>
      </c>
      <c r="W31" t="n">
        <v>447.3</v>
      </c>
      <c r="X31" t="n">
        <v>435.9</v>
      </c>
      <c r="Y31" t="n">
        <v>422.4</v>
      </c>
      <c r="Z31"/>
      <c r="AA31"/>
      <c r="AB31"/>
      <c r="AC31"/>
      <c r="AD31"/>
      <c r="AE31"/>
      <c r="AF31"/>
    </row>
    <row r="32">
      <c r="A32" t="s">
        <v>16</v>
      </c>
      <c r="B32" t="s">
        <v>221</v>
      </c>
      <c r="C32" t="s">
        <v>131</v>
      </c>
      <c r="D32" t="s">
        <v>222</v>
      </c>
      <c r="E32" t="s">
        <v>132</v>
      </c>
      <c r="F32" t="n">
        <v>128.8</v>
      </c>
      <c r="G32" t="n">
        <v>154</v>
      </c>
      <c r="H32" t="n">
        <v>182.7</v>
      </c>
      <c r="I32" t="n">
        <v>234.8</v>
      </c>
      <c r="J32" t="n">
        <v>291.4</v>
      </c>
      <c r="K32" t="n">
        <v>381.9</v>
      </c>
      <c r="L32" t="n">
        <v>393.4</v>
      </c>
      <c r="M32" t="n">
        <v>340.7</v>
      </c>
      <c r="N32" t="n">
        <v>552.4</v>
      </c>
      <c r="O32" t="n">
        <v>485.7</v>
      </c>
      <c r="P32" t="n">
        <v>610.2</v>
      </c>
      <c r="Q32" t="n">
        <v>609</v>
      </c>
      <c r="R32" t="n">
        <v>663.9</v>
      </c>
      <c r="S32" t="n">
        <v>745.8</v>
      </c>
      <c r="T32" t="n">
        <v>732.1</v>
      </c>
      <c r="U32" t="n">
        <v>610.8</v>
      </c>
      <c r="V32" t="n">
        <v>744.4</v>
      </c>
      <c r="W32" t="n">
        <v>746.9</v>
      </c>
      <c r="X32" t="n">
        <v>766.6</v>
      </c>
      <c r="Y32" t="n">
        <v>720.7</v>
      </c>
      <c r="Z32"/>
      <c r="AA32"/>
      <c r="AB32"/>
      <c r="AC32"/>
      <c r="AD32"/>
      <c r="AE32"/>
      <c r="AF32"/>
    </row>
    <row r="33">
      <c r="A33" t="s">
        <v>16</v>
      </c>
      <c r="B33" t="s">
        <v>223</v>
      </c>
      <c r="C33" t="s">
        <v>131</v>
      </c>
      <c r="D33" t="s">
        <v>224</v>
      </c>
      <c r="E33" t="s">
        <v>132</v>
      </c>
      <c r="F33" t="n">
        <v>405.5</v>
      </c>
      <c r="G33" t="n">
        <v>462.1</v>
      </c>
      <c r="H33" t="n">
        <v>527.3</v>
      </c>
      <c r="I33" t="n">
        <v>535.3</v>
      </c>
      <c r="J33" t="n">
        <v>552.5</v>
      </c>
      <c r="K33" t="n">
        <v>594.6</v>
      </c>
      <c r="L33" t="n">
        <v>673.7</v>
      </c>
      <c r="M33" t="n">
        <v>707.9</v>
      </c>
      <c r="N33" t="n">
        <v>699.6</v>
      </c>
      <c r="O33" t="n">
        <v>543.4</v>
      </c>
      <c r="P33" t="n">
        <v>647.8</v>
      </c>
      <c r="Q33" t="n">
        <v>841.9</v>
      </c>
      <c r="R33" t="n">
        <v>827.8</v>
      </c>
      <c r="S33" t="n">
        <v>761</v>
      </c>
      <c r="T33" t="n">
        <v>729.3</v>
      </c>
      <c r="U33" t="n">
        <v>693.9</v>
      </c>
      <c r="V33" t="n">
        <v>658</v>
      </c>
      <c r="W33" t="n">
        <v>638</v>
      </c>
      <c r="X33" t="n">
        <v>633.1</v>
      </c>
      <c r="Y33" t="n">
        <v>632.9</v>
      </c>
      <c r="Z33" t="n">
        <v>623.8</v>
      </c>
      <c r="AA33" t="n">
        <v>653.5</v>
      </c>
      <c r="AB33" t="n">
        <v>653.9</v>
      </c>
      <c r="AC33" t="n">
        <v>681.2</v>
      </c>
      <c r="AD33" t="n">
        <v>734.5</v>
      </c>
      <c r="AE33" t="n">
        <v>793.3</v>
      </c>
      <c r="AF33" t="n">
        <v>860.1</v>
      </c>
    </row>
    <row r="34">
      <c r="A34" t="s">
        <v>16</v>
      </c>
      <c r="B34" t="s">
        <v>225</v>
      </c>
      <c r="C34" t="s">
        <v>131</v>
      </c>
      <c r="D34" t="s">
        <v>226</v>
      </c>
      <c r="E34" t="s">
        <v>132</v>
      </c>
      <c r="F34" t="n">
        <v>447.1</v>
      </c>
      <c r="G34" t="n">
        <v>493.8</v>
      </c>
      <c r="H34" t="n">
        <v>664.7</v>
      </c>
      <c r="I34" t="n">
        <v>1197.8</v>
      </c>
      <c r="J34" t="n">
        <v>1363.9</v>
      </c>
      <c r="K34" t="n">
        <v>1576.1</v>
      </c>
      <c r="L34" t="n">
        <v>1616.9</v>
      </c>
      <c r="M34" t="n">
        <v>1790</v>
      </c>
      <c r="N34" t="n">
        <v>1982.4</v>
      </c>
      <c r="O34" t="n">
        <v>2039.7</v>
      </c>
      <c r="P34" t="n">
        <v>2294.1</v>
      </c>
      <c r="Q34" t="n">
        <v>2582.8</v>
      </c>
      <c r="R34" t="n">
        <v>3094.9</v>
      </c>
      <c r="S34" t="n">
        <v>3018.2</v>
      </c>
      <c r="T34" t="n">
        <v>2942.4</v>
      </c>
      <c r="U34" t="n">
        <v>2672.9</v>
      </c>
      <c r="V34" t="n">
        <v>2697.9</v>
      </c>
      <c r="W34" t="n">
        <v>2772.3</v>
      </c>
      <c r="X34" t="n">
        <v>2869.8</v>
      </c>
      <c r="Y34" t="n">
        <v>3070.4</v>
      </c>
      <c r="Z34" t="n">
        <v>3311.4</v>
      </c>
      <c r="AA34" t="n">
        <v>3644.8</v>
      </c>
      <c r="AB34" t="n">
        <v>3927.4</v>
      </c>
      <c r="AC34" t="n">
        <v>4169</v>
      </c>
      <c r="AD34" t="n">
        <v>4368.5</v>
      </c>
      <c r="AE34" t="n">
        <v>2729.3</v>
      </c>
      <c r="AF34" t="n">
        <v>3428.4</v>
      </c>
    </row>
    <row r="35">
      <c r="A35" t="s">
        <v>16</v>
      </c>
      <c r="B35" t="s">
        <v>227</v>
      </c>
      <c r="C35" t="s">
        <v>131</v>
      </c>
      <c r="D35" t="s">
        <v>228</v>
      </c>
      <c r="E35" t="s">
        <v>132</v>
      </c>
      <c r="F35" t="n">
        <v>974.4</v>
      </c>
      <c r="G35" t="n">
        <v>1130.4</v>
      </c>
      <c r="H35" t="n">
        <v>1415.3</v>
      </c>
      <c r="I35" t="n">
        <v>1751.8</v>
      </c>
      <c r="J35" t="n">
        <v>2215.1</v>
      </c>
      <c r="K35" t="n">
        <v>2388.4</v>
      </c>
      <c r="L35" t="n">
        <v>2902.2</v>
      </c>
      <c r="M35" t="n">
        <v>2798.8</v>
      </c>
      <c r="N35" t="n">
        <v>2697.7</v>
      </c>
      <c r="O35" t="n">
        <v>2696.3</v>
      </c>
      <c r="P35" t="n">
        <v>3016.9</v>
      </c>
      <c r="Q35" t="n">
        <v>3304.4</v>
      </c>
      <c r="R35" t="n">
        <v>3414.7</v>
      </c>
      <c r="S35" t="n">
        <v>3802.8</v>
      </c>
      <c r="T35" t="n">
        <v>3824.7</v>
      </c>
      <c r="U35" t="n">
        <v>4071.2</v>
      </c>
      <c r="V35" t="n">
        <v>4009.6</v>
      </c>
      <c r="W35" t="n">
        <v>4272.5</v>
      </c>
      <c r="X35" t="n">
        <v>4802.4</v>
      </c>
      <c r="Y35" t="n">
        <v>5112.3</v>
      </c>
      <c r="Z35" t="n">
        <v>5824.3</v>
      </c>
      <c r="AA35" t="n">
        <v>6513.2</v>
      </c>
      <c r="AB35" t="n">
        <v>7251.6</v>
      </c>
      <c r="AC35" t="n">
        <v>8040.2</v>
      </c>
      <c r="AD35" t="n">
        <v>8951.2</v>
      </c>
      <c r="AE35" t="n">
        <v>9672</v>
      </c>
      <c r="AF35" t="n">
        <v>11330.9</v>
      </c>
    </row>
    <row r="36">
      <c r="A36" t="s">
        <v>16</v>
      </c>
      <c r="B36" t="s">
        <v>229</v>
      </c>
      <c r="C36" t="s">
        <v>131</v>
      </c>
      <c r="D36" t="s">
        <v>230</v>
      </c>
      <c r="E36" t="s">
        <v>132</v>
      </c>
      <c r="F36" t="n">
        <v>280.4</v>
      </c>
      <c r="G36" t="n">
        <v>301.2</v>
      </c>
      <c r="H36" t="n">
        <v>343.2</v>
      </c>
      <c r="I36" t="n">
        <v>360.8</v>
      </c>
      <c r="J36" t="n">
        <v>392.4</v>
      </c>
      <c r="K36" t="n">
        <v>387.9</v>
      </c>
      <c r="L36" t="n">
        <v>391.5</v>
      </c>
      <c r="M36" t="n">
        <v>422.6</v>
      </c>
      <c r="N36" t="n">
        <v>472.9</v>
      </c>
      <c r="O36" t="n">
        <v>533</v>
      </c>
      <c r="P36" t="n">
        <v>512.9</v>
      </c>
      <c r="Q36" t="n">
        <v>504</v>
      </c>
      <c r="R36" t="n">
        <v>519.2</v>
      </c>
      <c r="S36" t="n">
        <v>571.3</v>
      </c>
      <c r="T36" t="n">
        <v>548.3</v>
      </c>
      <c r="U36" t="n">
        <v>957.4</v>
      </c>
      <c r="V36" t="n">
        <v>1022.8</v>
      </c>
      <c r="W36" t="n">
        <v>1056.3</v>
      </c>
      <c r="X36" t="n">
        <v>1061.6</v>
      </c>
      <c r="Y36" t="n">
        <v>1143.4</v>
      </c>
      <c r="Z36"/>
      <c r="AA36"/>
      <c r="AB36"/>
      <c r="AC36"/>
      <c r="AD36"/>
      <c r="AE36"/>
      <c r="AF36"/>
    </row>
    <row r="37">
      <c r="A37" t="s">
        <v>16</v>
      </c>
      <c r="B37" t="s">
        <v>231</v>
      </c>
      <c r="C37" t="s">
        <v>131</v>
      </c>
      <c r="D37" t="s">
        <v>232</v>
      </c>
      <c r="E37" t="s">
        <v>132</v>
      </c>
      <c r="F37" t="n">
        <v>336.5</v>
      </c>
      <c r="G37" t="n">
        <v>403.3</v>
      </c>
      <c r="H37" t="n">
        <v>480.6</v>
      </c>
      <c r="I37" t="n">
        <v>532.8</v>
      </c>
      <c r="J37" t="n">
        <v>645.2</v>
      </c>
      <c r="K37" t="n">
        <v>747.3</v>
      </c>
      <c r="L37" t="n">
        <v>822.6</v>
      </c>
      <c r="M37" t="n">
        <v>808.4</v>
      </c>
      <c r="N37" t="n">
        <v>809</v>
      </c>
      <c r="O37" t="n">
        <v>841.7</v>
      </c>
      <c r="P37" t="n">
        <v>964.1</v>
      </c>
      <c r="Q37" t="n">
        <v>1065.3</v>
      </c>
      <c r="R37" t="n">
        <v>1123.5</v>
      </c>
      <c r="S37" t="n">
        <v>1195.3</v>
      </c>
      <c r="T37" t="n">
        <v>1146.6</v>
      </c>
      <c r="U37" t="n">
        <v>906.2</v>
      </c>
      <c r="V37" t="n">
        <v>835.4</v>
      </c>
      <c r="W37" t="n">
        <v>801.7</v>
      </c>
      <c r="X37" t="n">
        <v>985.5</v>
      </c>
      <c r="Y37" t="n">
        <v>763.9</v>
      </c>
      <c r="Z37" t="n">
        <v>779.3</v>
      </c>
      <c r="AA37" t="n">
        <v>796.4</v>
      </c>
      <c r="AB37" t="n">
        <v>840.3</v>
      </c>
      <c r="AC37" t="n">
        <v>947.9</v>
      </c>
      <c r="AD37" t="n">
        <v>919.1</v>
      </c>
      <c r="AE37" t="n">
        <v>953.4</v>
      </c>
      <c r="AF37" t="n">
        <v>1036.1</v>
      </c>
    </row>
    <row r="38">
      <c r="A38" t="s">
        <v>16</v>
      </c>
      <c r="B38" t="s">
        <v>233</v>
      </c>
      <c r="C38" t="s">
        <v>131</v>
      </c>
      <c r="D38" t="s">
        <v>234</v>
      </c>
      <c r="E38" t="s">
        <v>132</v>
      </c>
      <c r="F38" t="n">
        <v>357.5</v>
      </c>
      <c r="G38" t="n">
        <v>425.9</v>
      </c>
      <c r="H38" t="n">
        <v>591.5</v>
      </c>
      <c r="I38" t="n">
        <v>858.2</v>
      </c>
      <c r="J38" t="n">
        <v>1177.5</v>
      </c>
      <c r="K38" t="n">
        <v>1253.2</v>
      </c>
      <c r="L38" t="n">
        <v>1688.1</v>
      </c>
      <c r="M38" t="n">
        <v>1567.8</v>
      </c>
      <c r="N38" t="n">
        <v>1415.8</v>
      </c>
      <c r="O38" t="n">
        <v>1321.6</v>
      </c>
      <c r="P38" t="n">
        <v>1539.9</v>
      </c>
      <c r="Q38" t="n">
        <v>1735.1</v>
      </c>
      <c r="R38" t="n">
        <v>1772</v>
      </c>
      <c r="S38" t="n">
        <v>2036.2</v>
      </c>
      <c r="T38" t="n">
        <v>2129.8</v>
      </c>
      <c r="U38" t="n">
        <v>2207.6</v>
      </c>
      <c r="V38" t="n">
        <v>2151.4</v>
      </c>
      <c r="W38" t="n">
        <v>2414.5</v>
      </c>
      <c r="X38" t="n">
        <v>2755.3</v>
      </c>
      <c r="Y38" t="n">
        <v>3205</v>
      </c>
      <c r="Z38"/>
      <c r="AA38"/>
      <c r="AB38"/>
      <c r="AC38"/>
      <c r="AD38"/>
      <c r="AE38"/>
      <c r="AF38"/>
    </row>
    <row r="39">
      <c r="A39" t="s">
        <v>16</v>
      </c>
      <c r="B39" t="s">
        <v>235</v>
      </c>
      <c r="C39" t="s">
        <v>131</v>
      </c>
      <c r="D39" t="s">
        <v>236</v>
      </c>
      <c r="E39" t="s">
        <v>132</v>
      </c>
      <c r="F39" t="n">
        <v>1683.2</v>
      </c>
      <c r="G39" t="n">
        <v>1835.1</v>
      </c>
      <c r="H39" t="n">
        <v>1809.8</v>
      </c>
      <c r="I39" t="n">
        <v>2054.2</v>
      </c>
      <c r="J39" t="n">
        <v>2217.1</v>
      </c>
      <c r="K39" t="n">
        <v>2614.2</v>
      </c>
      <c r="L39" t="n">
        <v>2962.4</v>
      </c>
      <c r="M39" t="n">
        <v>3223.1</v>
      </c>
      <c r="N39" t="n">
        <v>3561.2</v>
      </c>
      <c r="O39" t="n">
        <v>4200.9</v>
      </c>
      <c r="P39" t="n">
        <v>4742.3</v>
      </c>
      <c r="Q39" t="n">
        <v>5534.1</v>
      </c>
      <c r="R39" t="n">
        <v>6254.1</v>
      </c>
      <c r="S39" t="n">
        <v>6600.7</v>
      </c>
      <c r="T39" t="n">
        <v>6394.3</v>
      </c>
      <c r="U39" t="n">
        <v>6740.3</v>
      </c>
      <c r="V39" t="n">
        <v>6953.8</v>
      </c>
      <c r="W39" t="n">
        <v>7192.7</v>
      </c>
      <c r="X39" t="n">
        <v>7046</v>
      </c>
      <c r="Y39" t="n">
        <v>6994.3</v>
      </c>
      <c r="Z39" t="n">
        <v>7361.5</v>
      </c>
      <c r="AA39" t="n">
        <v>7488</v>
      </c>
      <c r="AB39" t="n">
        <v>7777.4</v>
      </c>
      <c r="AC39" t="n">
        <v>8025.6</v>
      </c>
      <c r="AD39" t="n">
        <v>8553</v>
      </c>
      <c r="AE39" t="n">
        <v>8804.8</v>
      </c>
      <c r="AF39" t="n">
        <v>9467.5</v>
      </c>
    </row>
    <row r="40">
      <c r="A40" t="s">
        <v>16</v>
      </c>
      <c r="B40" t="s">
        <v>237</v>
      </c>
      <c r="C40" t="s">
        <v>131</v>
      </c>
      <c r="D40" t="s">
        <v>238</v>
      </c>
      <c r="E40" t="s">
        <v>132</v>
      </c>
      <c r="F40" t="n">
        <v>55.6</v>
      </c>
      <c r="G40" t="n">
        <v>66.2</v>
      </c>
      <c r="H40" t="n">
        <v>90.4</v>
      </c>
      <c r="I40" t="n">
        <v>125.5</v>
      </c>
      <c r="J40" t="n">
        <v>123.9</v>
      </c>
      <c r="K40" t="n">
        <v>157.5</v>
      </c>
      <c r="L40" t="n">
        <v>149.7</v>
      </c>
      <c r="M40" t="n">
        <v>205.4</v>
      </c>
      <c r="N40" t="n">
        <v>188.2</v>
      </c>
      <c r="O40" t="n">
        <v>164.6</v>
      </c>
      <c r="P40" t="n">
        <v>270.5</v>
      </c>
      <c r="Q40" t="n">
        <v>326.6</v>
      </c>
      <c r="R40" t="n">
        <v>377</v>
      </c>
      <c r="S40" t="n">
        <v>349.8</v>
      </c>
      <c r="T40" t="n">
        <v>265.4</v>
      </c>
      <c r="U40" t="n">
        <v>313.1</v>
      </c>
      <c r="V40" t="n">
        <v>503.1</v>
      </c>
      <c r="W40" t="n">
        <v>506.2</v>
      </c>
      <c r="X40" t="n">
        <v>534.2</v>
      </c>
      <c r="Y40" t="n">
        <v>614.8</v>
      </c>
      <c r="Z40" t="n">
        <v>686.7</v>
      </c>
      <c r="AA40" t="n">
        <v>766.7</v>
      </c>
      <c r="AB40" t="n">
        <v>836.2</v>
      </c>
      <c r="AC40" t="n">
        <v>909.6</v>
      </c>
      <c r="AD40" t="n">
        <v>1006.2</v>
      </c>
      <c r="AE40" t="n">
        <v>963.3</v>
      </c>
      <c r="AF40" t="n">
        <v>1058.2</v>
      </c>
    </row>
    <row r="41">
      <c r="A41" t="s">
        <v>16</v>
      </c>
      <c r="B41" t="s">
        <v>239</v>
      </c>
      <c r="C41" t="s">
        <v>131</v>
      </c>
      <c r="D41" t="s">
        <v>240</v>
      </c>
      <c r="E41" t="s">
        <v>132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16</v>
      </c>
      <c r="B42" t="s">
        <v>241</v>
      </c>
      <c r="C42" t="s">
        <v>131</v>
      </c>
      <c r="D42" t="s">
        <v>242</v>
      </c>
      <c r="E42" t="s">
        <v>132</v>
      </c>
      <c r="F42" t="n">
        <v>788.4</v>
      </c>
      <c r="G42" t="n">
        <v>916.4</v>
      </c>
      <c r="H42" t="n">
        <v>1210.2</v>
      </c>
      <c r="I42" t="n">
        <v>1562</v>
      </c>
      <c r="J42" t="n">
        <v>1859.1</v>
      </c>
      <c r="K42" t="n">
        <v>2203.9</v>
      </c>
      <c r="L42" t="n">
        <v>2518</v>
      </c>
      <c r="M42" t="n">
        <v>2681.6</v>
      </c>
      <c r="N42" t="n">
        <v>3010.8</v>
      </c>
      <c r="O42" t="n">
        <v>3385.6</v>
      </c>
      <c r="P42" t="n">
        <v>3715.4</v>
      </c>
      <c r="Q42" t="n">
        <v>4030.5</v>
      </c>
      <c r="R42" t="n">
        <v>4483.6</v>
      </c>
      <c r="S42" t="n">
        <v>4664.5</v>
      </c>
      <c r="T42" t="n">
        <v>4310.7</v>
      </c>
      <c r="U42" t="n">
        <v>3382.4</v>
      </c>
      <c r="V42" t="n">
        <v>4147.2</v>
      </c>
      <c r="W42" t="n">
        <v>4243.3</v>
      </c>
      <c r="X42" t="n">
        <v>4580</v>
      </c>
      <c r="Y42" t="n">
        <v>4993.6</v>
      </c>
      <c r="Z42" t="n">
        <v>5549.2</v>
      </c>
      <c r="AA42" t="n">
        <v>6288.8</v>
      </c>
      <c r="AB42" t="n">
        <v>6942.7</v>
      </c>
      <c r="AC42" t="n">
        <v>7642.3</v>
      </c>
      <c r="AD42" t="n">
        <v>9143.1</v>
      </c>
      <c r="AE42" t="n">
        <v>9616.6</v>
      </c>
      <c r="AF42" t="n">
        <v>10978.5</v>
      </c>
    </row>
    <row r="43">
      <c r="A43" t="s">
        <v>16</v>
      </c>
      <c r="B43" t="s">
        <v>243</v>
      </c>
      <c r="C43" t="s">
        <v>131</v>
      </c>
      <c r="D43" t="s">
        <v>244</v>
      </c>
      <c r="E43" t="s">
        <v>132</v>
      </c>
      <c r="F43" t="n">
        <v>1118.2</v>
      </c>
      <c r="G43" t="n">
        <v>1301.7</v>
      </c>
      <c r="H43" t="n">
        <v>1732.5</v>
      </c>
      <c r="I43" t="n">
        <v>2259.8</v>
      </c>
      <c r="J43" t="n">
        <v>2697.4</v>
      </c>
      <c r="K43" t="n">
        <v>3174.4</v>
      </c>
      <c r="L43" t="n">
        <v>3659.2</v>
      </c>
      <c r="M43" t="n">
        <v>3896.8</v>
      </c>
      <c r="N43" t="n">
        <v>4316.5</v>
      </c>
      <c r="O43" t="n">
        <v>4848.2</v>
      </c>
      <c r="P43" t="n">
        <v>5405.3</v>
      </c>
      <c r="Q43" t="n">
        <v>5888.8</v>
      </c>
      <c r="R43" t="n">
        <v>6624.8</v>
      </c>
      <c r="S43" t="n">
        <v>6860.7</v>
      </c>
      <c r="T43" t="n">
        <v>6148.7</v>
      </c>
      <c r="U43" t="n">
        <v>5589.8</v>
      </c>
      <c r="V43" t="n">
        <v>6992.9</v>
      </c>
      <c r="W43" t="n">
        <v>7175.7</v>
      </c>
      <c r="X43" t="n">
        <v>7658.4</v>
      </c>
      <c r="Y43" t="n">
        <v>8409.6</v>
      </c>
      <c r="Z43" t="n">
        <v>9376.8</v>
      </c>
      <c r="AA43" t="n">
        <v>10525.5</v>
      </c>
      <c r="AB43" t="n">
        <v>11662.2</v>
      </c>
      <c r="AC43" t="n">
        <v>12814</v>
      </c>
      <c r="AD43" t="n">
        <v>14869</v>
      </c>
      <c r="AE43" t="n">
        <v>14981.1</v>
      </c>
      <c r="AF43" t="n">
        <v>16909.1</v>
      </c>
    </row>
    <row r="44">
      <c r="A44" t="s">
        <v>16</v>
      </c>
      <c r="B44" t="s">
        <v>245</v>
      </c>
      <c r="C44" t="s">
        <v>131</v>
      </c>
      <c r="D44" t="s">
        <v>246</v>
      </c>
      <c r="E44" t="s">
        <v>132</v>
      </c>
      <c r="F44" t="n">
        <v>16613.8</v>
      </c>
      <c r="G44" t="n">
        <v>18143.2</v>
      </c>
      <c r="H44" t="n">
        <v>20556.4</v>
      </c>
      <c r="I44" t="n">
        <v>24013.7</v>
      </c>
      <c r="J44" t="n">
        <v>27407.6</v>
      </c>
      <c r="K44" t="n">
        <v>31147</v>
      </c>
      <c r="L44" t="n">
        <v>34469.3</v>
      </c>
      <c r="M44" t="n">
        <v>35928.6</v>
      </c>
      <c r="N44" t="n">
        <v>38574</v>
      </c>
      <c r="O44" t="n">
        <v>41797.6</v>
      </c>
      <c r="P44" t="n">
        <v>47105.7</v>
      </c>
      <c r="Q44" t="n">
        <v>51744.2</v>
      </c>
      <c r="R44" t="n">
        <v>56600.4</v>
      </c>
      <c r="S44" t="n">
        <v>56579.6</v>
      </c>
      <c r="T44" t="n">
        <v>49390.1</v>
      </c>
      <c r="U44" t="n">
        <v>46098.3</v>
      </c>
      <c r="V44" t="n">
        <v>47370.6</v>
      </c>
      <c r="W44" t="n">
        <v>48119.3</v>
      </c>
      <c r="X44" t="n">
        <v>49564.9</v>
      </c>
      <c r="Y44" t="n">
        <v>52017.4</v>
      </c>
      <c r="Z44" t="n">
        <v>56226.9</v>
      </c>
      <c r="AA44" t="n">
        <v>60715.5</v>
      </c>
      <c r="AB44" t="n">
        <v>65331.1</v>
      </c>
      <c r="AC44" t="n">
        <v>69826.7</v>
      </c>
      <c r="AD44" t="n">
        <v>75879.6</v>
      </c>
      <c r="AE44" t="n">
        <v>74494.5</v>
      </c>
      <c r="AF44" t="n">
        <v>83185.9</v>
      </c>
    </row>
    <row r="45">
      <c r="A45" t="s">
        <v>16</v>
      </c>
      <c r="B45" t="s">
        <v>247</v>
      </c>
      <c r="C45" t="s">
        <v>131</v>
      </c>
      <c r="D45" t="s">
        <v>248</v>
      </c>
      <c r="E45" t="s">
        <v>132</v>
      </c>
      <c r="F45" t="n">
        <v>16160.6</v>
      </c>
      <c r="G45" t="n">
        <v>17717.1</v>
      </c>
      <c r="H45" t="n">
        <v>20118.7</v>
      </c>
      <c r="I45" t="n">
        <v>23550.9</v>
      </c>
      <c r="J45" t="n">
        <v>26918.6</v>
      </c>
      <c r="K45" t="n">
        <v>30654.4</v>
      </c>
      <c r="L45" t="n">
        <v>33973.6</v>
      </c>
      <c r="M45" t="n">
        <v>35435.8</v>
      </c>
      <c r="N45" t="n">
        <v>38057.7</v>
      </c>
      <c r="O45" t="n">
        <v>41267.7</v>
      </c>
      <c r="P45" t="n">
        <v>46570.3</v>
      </c>
      <c r="Q45" t="n">
        <v>51146.3</v>
      </c>
      <c r="R45" t="n">
        <v>55992.1</v>
      </c>
      <c r="S45" t="n">
        <v>56005.1</v>
      </c>
      <c r="T45" t="n">
        <v>48811.7</v>
      </c>
      <c r="U45" t="n">
        <v>45484.6</v>
      </c>
      <c r="V45" t="n">
        <v>46755.8</v>
      </c>
      <c r="W45" t="n">
        <v>47503.7</v>
      </c>
      <c r="X45" t="n">
        <v>48934.1</v>
      </c>
      <c r="Y45" t="n">
        <v>51358.9</v>
      </c>
      <c r="Z45" t="n">
        <v>55557.8</v>
      </c>
      <c r="AA45" t="n">
        <v>60019</v>
      </c>
      <c r="AB45" t="n">
        <v>64603</v>
      </c>
      <c r="AC45" t="n">
        <v>69075.4</v>
      </c>
      <c r="AD45" t="n">
        <v>74962.1</v>
      </c>
      <c r="AE45" t="n">
        <v>73470.9</v>
      </c>
      <c r="AF45" t="n">
        <v>82082.8</v>
      </c>
    </row>
    <row r="46">
      <c r="A46" t="s">
        <v>16</v>
      </c>
      <c r="B46" t="s">
        <v>249</v>
      </c>
      <c r="C46" t="s">
        <v>131</v>
      </c>
      <c r="D46" t="s">
        <v>250</v>
      </c>
      <c r="E46" t="s">
        <v>132</v>
      </c>
      <c r="F46" t="n">
        <v>329.8</v>
      </c>
      <c r="G46" t="n">
        <v>385.3</v>
      </c>
      <c r="H46" t="n">
        <v>522.3</v>
      </c>
      <c r="I46" t="n">
        <v>697.8</v>
      </c>
      <c r="J46" t="n">
        <v>838.3</v>
      </c>
      <c r="K46" t="n">
        <v>970.5</v>
      </c>
      <c r="L46" t="n">
        <v>1141.2</v>
      </c>
      <c r="M46" t="n">
        <v>1215.2</v>
      </c>
      <c r="N46" t="n">
        <v>1305.7</v>
      </c>
      <c r="O46" t="n">
        <v>1462.6</v>
      </c>
      <c r="P46" t="n">
        <v>1689.9</v>
      </c>
      <c r="Q46" t="n">
        <v>1858.3</v>
      </c>
      <c r="R46" t="n">
        <v>2141.2</v>
      </c>
      <c r="S46" t="n">
        <v>2196.2</v>
      </c>
      <c r="T46" t="n">
        <v>1838</v>
      </c>
      <c r="U46" t="n">
        <v>2207.4</v>
      </c>
      <c r="V46" t="n">
        <v>2845.7</v>
      </c>
      <c r="W46" t="n">
        <v>2932.4</v>
      </c>
      <c r="X46" t="n">
        <v>3078.4</v>
      </c>
      <c r="Y46" t="n">
        <v>3416</v>
      </c>
      <c r="Z46" t="n">
        <v>3827.6</v>
      </c>
      <c r="AA46" t="n">
        <v>4236.7</v>
      </c>
      <c r="AB46" t="n">
        <v>4719.5</v>
      </c>
      <c r="AC46" t="n">
        <v>5171.7</v>
      </c>
      <c r="AD46" t="n">
        <v>5725.9</v>
      </c>
      <c r="AE46" t="n">
        <v>5364.5</v>
      </c>
      <c r="AF46" t="n">
        <v>5930.6</v>
      </c>
    </row>
    <row r="47">
      <c r="A47" t="s">
        <v>16</v>
      </c>
      <c r="B47" t="s">
        <v>251</v>
      </c>
      <c r="C47" t="s">
        <v>131</v>
      </c>
      <c r="D47" t="s">
        <v>252</v>
      </c>
      <c r="E47" t="s">
        <v>132</v>
      </c>
      <c r="F47" t="n">
        <v>2323.5</v>
      </c>
      <c r="G47" t="n">
        <v>2443.6</v>
      </c>
      <c r="H47" t="n">
        <v>2625.5</v>
      </c>
      <c r="I47" t="n">
        <v>2703.5</v>
      </c>
      <c r="J47" t="n">
        <v>2809.2</v>
      </c>
      <c r="K47" t="n">
        <v>3109.6</v>
      </c>
      <c r="L47" t="n">
        <v>3478.1</v>
      </c>
      <c r="M47" t="n">
        <v>3906.6</v>
      </c>
      <c r="N47" t="n">
        <v>4202.3</v>
      </c>
      <c r="O47" t="n">
        <v>4569.2</v>
      </c>
      <c r="P47" t="n">
        <v>4747</v>
      </c>
      <c r="Q47" t="n">
        <v>5009.4</v>
      </c>
      <c r="R47" t="n">
        <v>5504.6</v>
      </c>
      <c r="S47" t="n">
        <v>5910.2</v>
      </c>
      <c r="T47" t="n">
        <v>5519.5</v>
      </c>
      <c r="U47" t="n">
        <v>5507.8</v>
      </c>
      <c r="V47" t="n">
        <v>6685.7</v>
      </c>
      <c r="W47" t="n">
        <v>6528.5</v>
      </c>
      <c r="X47" t="n">
        <v>6396.6</v>
      </c>
      <c r="Y47" t="n">
        <v>6483.1</v>
      </c>
      <c r="Z47" t="n">
        <v>6554.3</v>
      </c>
      <c r="AA47" t="n">
        <v>6715.3</v>
      </c>
      <c r="AB47" t="n">
        <v>6983.9</v>
      </c>
      <c r="AC47" t="n">
        <v>7286.9</v>
      </c>
      <c r="AD47" t="n">
        <v>7761.4</v>
      </c>
      <c r="AE47" t="n">
        <v>8222.7</v>
      </c>
      <c r="AF47" t="n">
        <v>8637.2</v>
      </c>
    </row>
    <row r="48">
      <c r="A48" t="s">
        <v>16</v>
      </c>
      <c r="B48" t="s">
        <v>253</v>
      </c>
      <c r="C48" t="s">
        <v>131</v>
      </c>
      <c r="D48" t="s">
        <v>254</v>
      </c>
      <c r="E48" t="s">
        <v>132</v>
      </c>
      <c r="F48" t="n">
        <v>7251.2</v>
      </c>
      <c r="G48" t="n">
        <v>7835.5</v>
      </c>
      <c r="H48" t="n">
        <v>8358.5</v>
      </c>
      <c r="I48" t="n">
        <v>8534</v>
      </c>
      <c r="J48" t="n">
        <v>9257.8</v>
      </c>
      <c r="K48" t="n">
        <v>10548.8</v>
      </c>
      <c r="L48" t="n">
        <v>12202.9</v>
      </c>
      <c r="M48" t="n">
        <v>13989.2</v>
      </c>
      <c r="N48" t="n">
        <v>15817.1</v>
      </c>
      <c r="O48" t="n">
        <v>17338.6</v>
      </c>
      <c r="P48" t="n">
        <v>18658.3</v>
      </c>
      <c r="Q48" t="n">
        <v>20611.5</v>
      </c>
      <c r="R48" t="n">
        <v>22593.9</v>
      </c>
      <c r="S48" t="n">
        <v>24690.7</v>
      </c>
      <c r="T48" t="n">
        <v>24573.4</v>
      </c>
      <c r="U48" t="n">
        <v>23207.1</v>
      </c>
      <c r="V48" t="n">
        <v>23528.1</v>
      </c>
      <c r="W48" t="n">
        <v>23521.8</v>
      </c>
      <c r="X48" t="n">
        <v>23109.5</v>
      </c>
      <c r="Y48" t="n">
        <v>23524.4</v>
      </c>
      <c r="Z48" t="n">
        <v>24029.3</v>
      </c>
      <c r="AA48" t="n">
        <v>24856.3</v>
      </c>
      <c r="AB48" t="n">
        <v>26185.4</v>
      </c>
      <c r="AC48" t="n">
        <v>27513.2</v>
      </c>
      <c r="AD48" t="n">
        <v>29356.7</v>
      </c>
      <c r="AE48" t="n">
        <v>30628.9</v>
      </c>
      <c r="AF48" t="n">
        <v>33012.7</v>
      </c>
    </row>
    <row r="49">
      <c r="A49" t="s">
        <v>16</v>
      </c>
      <c r="B49" t="s">
        <v>255</v>
      </c>
      <c r="C49" t="s">
        <v>131</v>
      </c>
      <c r="D49" t="s">
        <v>256</v>
      </c>
      <c r="E49" t="s">
        <v>132</v>
      </c>
      <c r="F49" t="n">
        <v>2482.3</v>
      </c>
      <c r="G49" t="n">
        <v>2630.8</v>
      </c>
      <c r="H49" t="n">
        <v>2749.3</v>
      </c>
      <c r="I49" t="n">
        <v>2864.7</v>
      </c>
      <c r="J49" t="n">
        <v>2993.1</v>
      </c>
      <c r="K49" t="n">
        <v>3273.8</v>
      </c>
      <c r="L49" t="n">
        <v>3751.7</v>
      </c>
      <c r="M49" t="n">
        <v>4405.2</v>
      </c>
      <c r="N49" t="n">
        <v>5004.6</v>
      </c>
      <c r="O49" t="n">
        <v>5388.4</v>
      </c>
      <c r="P49" t="n">
        <v>5940.1</v>
      </c>
      <c r="Q49" t="n">
        <v>6652.5</v>
      </c>
      <c r="R49" t="n">
        <v>7216.1</v>
      </c>
      <c r="S49" t="n">
        <v>7913.8</v>
      </c>
      <c r="T49" t="n">
        <v>8348.3</v>
      </c>
      <c r="U49" t="n">
        <v>7939.5</v>
      </c>
      <c r="V49" t="n">
        <v>6602.7</v>
      </c>
      <c r="W49" t="n">
        <v>6676.1</v>
      </c>
      <c r="X49" t="n">
        <v>6611.5</v>
      </c>
      <c r="Y49" t="n">
        <v>6881.2</v>
      </c>
      <c r="Z49" t="n">
        <v>7000</v>
      </c>
      <c r="AA49" t="n">
        <v>7195</v>
      </c>
      <c r="AB49" t="n">
        <v>7619.6</v>
      </c>
      <c r="AC49" t="n">
        <v>8072.4</v>
      </c>
      <c r="AD49" t="n">
        <v>8539.5</v>
      </c>
      <c r="AE49" t="n">
        <v>8852.2</v>
      </c>
      <c r="AF49" t="n">
        <v>9441.4</v>
      </c>
    </row>
    <row r="50">
      <c r="A50" t="s">
        <v>16</v>
      </c>
      <c r="B50" t="s">
        <v>257</v>
      </c>
      <c r="C50" t="s">
        <v>131</v>
      </c>
      <c r="D50" t="s">
        <v>258</v>
      </c>
      <c r="E50" t="s">
        <v>132</v>
      </c>
      <c r="F50" t="n">
        <v>2445.4</v>
      </c>
      <c r="G50" t="n">
        <v>2761.1</v>
      </c>
      <c r="H50" t="n">
        <v>2983.7</v>
      </c>
      <c r="I50" t="n">
        <v>2965.7</v>
      </c>
      <c r="J50" t="n">
        <v>3455.6</v>
      </c>
      <c r="K50" t="n">
        <v>4165.4</v>
      </c>
      <c r="L50" t="n">
        <v>4973.1</v>
      </c>
      <c r="M50" t="n">
        <v>5677.4</v>
      </c>
      <c r="N50" t="n">
        <v>6610.2</v>
      </c>
      <c r="O50" t="n">
        <v>7381</v>
      </c>
      <c r="P50" t="n">
        <v>7971.2</v>
      </c>
      <c r="Q50" t="n">
        <v>8949.6</v>
      </c>
      <c r="R50" t="n">
        <v>9873.2</v>
      </c>
      <c r="S50" t="n">
        <v>10866.7</v>
      </c>
      <c r="T50" t="n">
        <v>10705.6</v>
      </c>
      <c r="U50" t="n">
        <v>9759.8</v>
      </c>
      <c r="V50" t="n">
        <v>10239.7</v>
      </c>
      <c r="W50" t="n">
        <v>10317.2</v>
      </c>
      <c r="X50" t="n">
        <v>10101.3</v>
      </c>
      <c r="Y50" t="n">
        <v>10160.1</v>
      </c>
      <c r="Z50" t="n">
        <v>10475.1</v>
      </c>
      <c r="AA50" t="n">
        <v>10945.9</v>
      </c>
      <c r="AB50" t="n">
        <v>11581.9</v>
      </c>
      <c r="AC50" t="n">
        <v>12153.9</v>
      </c>
      <c r="AD50" t="n">
        <v>13055.7</v>
      </c>
      <c r="AE50" t="n">
        <v>13554</v>
      </c>
      <c r="AF50" t="n">
        <v>14934.1</v>
      </c>
    </row>
    <row r="51">
      <c r="A51" t="s">
        <v>16</v>
      </c>
      <c r="B51" t="s">
        <v>259</v>
      </c>
      <c r="C51" t="s">
        <v>131</v>
      </c>
      <c r="D51" t="s">
        <v>260</v>
      </c>
      <c r="E51" t="s">
        <v>132</v>
      </c>
      <c r="F51" t="n">
        <v>2150.4</v>
      </c>
      <c r="G51" t="n">
        <v>2428</v>
      </c>
      <c r="H51" t="n">
        <v>2623.7</v>
      </c>
      <c r="I51" t="n">
        <v>2607.3</v>
      </c>
      <c r="J51" t="n">
        <v>2950.6</v>
      </c>
      <c r="K51" t="n">
        <v>3652.3</v>
      </c>
      <c r="L51" t="n">
        <v>4486.3</v>
      </c>
      <c r="M51" t="n">
        <v>4947.4</v>
      </c>
      <c r="N51" t="n">
        <v>5621.2</v>
      </c>
      <c r="O51" t="n">
        <v>6073.6</v>
      </c>
      <c r="P51" t="n">
        <v>6529.1</v>
      </c>
      <c r="Q51" t="n">
        <v>7160</v>
      </c>
      <c r="R51" t="n">
        <v>7697.5</v>
      </c>
      <c r="S51" t="n">
        <v>8393</v>
      </c>
      <c r="T51" t="n">
        <v>8225.9</v>
      </c>
      <c r="U51" t="n">
        <v>7297.7</v>
      </c>
      <c r="V51" t="n">
        <v>7410.2</v>
      </c>
      <c r="W51" t="n">
        <v>7364.5</v>
      </c>
      <c r="X51" t="n">
        <v>7124.2</v>
      </c>
      <c r="Y51" t="n">
        <v>7067.9</v>
      </c>
      <c r="Z51" t="n">
        <v>7275.4</v>
      </c>
      <c r="AA51" t="n">
        <v>7598.8</v>
      </c>
      <c r="AB51" t="n">
        <v>8017.7</v>
      </c>
      <c r="AC51" t="n">
        <v>8416.7</v>
      </c>
      <c r="AD51" t="n">
        <v>9181.7</v>
      </c>
      <c r="AE51" t="n">
        <v>9561</v>
      </c>
      <c r="AF51" t="n">
        <v>10668.3</v>
      </c>
    </row>
    <row r="52">
      <c r="A52" t="s">
        <v>16</v>
      </c>
      <c r="B52" t="s">
        <v>261</v>
      </c>
      <c r="C52" t="s">
        <v>131</v>
      </c>
      <c r="D52" t="s">
        <v>262</v>
      </c>
      <c r="E52" t="s">
        <v>132</v>
      </c>
      <c r="F52" t="n">
        <v>295</v>
      </c>
      <c r="G52" t="n">
        <v>333.1</v>
      </c>
      <c r="H52" t="n">
        <v>360</v>
      </c>
      <c r="I52" t="n">
        <v>358.4</v>
      </c>
      <c r="J52" t="n">
        <v>505</v>
      </c>
      <c r="K52" t="n">
        <v>513.1</v>
      </c>
      <c r="L52" t="n">
        <v>486.8</v>
      </c>
      <c r="M52" t="n">
        <v>730</v>
      </c>
      <c r="N52" t="n">
        <v>989</v>
      </c>
      <c r="O52" t="n">
        <v>1307.4</v>
      </c>
      <c r="P52" t="n">
        <v>1442.1</v>
      </c>
      <c r="Q52" t="n">
        <v>1789.6</v>
      </c>
      <c r="R52" t="n">
        <v>2175.7</v>
      </c>
      <c r="S52" t="n">
        <v>2473.7</v>
      </c>
      <c r="T52" t="n">
        <v>2479.7</v>
      </c>
      <c r="U52" t="n">
        <v>2462.1</v>
      </c>
      <c r="V52" t="n">
        <v>2829.5</v>
      </c>
      <c r="W52" t="n">
        <v>2952.7</v>
      </c>
      <c r="X52" t="n">
        <v>2977.1</v>
      </c>
      <c r="Y52" t="n">
        <v>3092.2</v>
      </c>
      <c r="Z52" t="n">
        <v>3199.7</v>
      </c>
      <c r="AA52" t="n">
        <v>3347.1</v>
      </c>
      <c r="AB52" t="n">
        <v>3564.2</v>
      </c>
      <c r="AC52" t="n">
        <v>3737.2</v>
      </c>
      <c r="AD52" t="n">
        <v>3874</v>
      </c>
      <c r="AE52" t="n">
        <v>3993</v>
      </c>
      <c r="AF52" t="n">
        <v>4265.8</v>
      </c>
    </row>
    <row r="53">
      <c r="A53" t="s">
        <v>16</v>
      </c>
      <c r="B53" t="s">
        <v>263</v>
      </c>
      <c r="C53" t="s">
        <v>131</v>
      </c>
      <c r="D53" t="s">
        <v>264</v>
      </c>
      <c r="E53" t="s">
        <v>132</v>
      </c>
      <c r="F53" t="n">
        <v>277.7</v>
      </c>
      <c r="G53" t="n">
        <v>287.9</v>
      </c>
      <c r="H53" t="n">
        <v>364.9</v>
      </c>
      <c r="I53" t="n">
        <v>408.3</v>
      </c>
      <c r="J53" t="n">
        <v>471.3</v>
      </c>
      <c r="K53" t="n">
        <v>554.7</v>
      </c>
      <c r="L53" t="n">
        <v>549.8</v>
      </c>
      <c r="M53" t="n">
        <v>641</v>
      </c>
      <c r="N53" t="n">
        <v>664</v>
      </c>
      <c r="O53" t="n">
        <v>736.7</v>
      </c>
      <c r="P53" t="n">
        <v>781</v>
      </c>
      <c r="Q53" t="n">
        <v>968.7</v>
      </c>
      <c r="R53" t="n">
        <v>1043.8</v>
      </c>
      <c r="S53" t="n">
        <v>1151</v>
      </c>
      <c r="T53" t="n">
        <v>1070.6</v>
      </c>
      <c r="U53" t="n">
        <v>920.5</v>
      </c>
      <c r="V53" t="n">
        <v>764</v>
      </c>
      <c r="W53" t="n">
        <v>776.2</v>
      </c>
      <c r="X53" t="n">
        <v>799.6</v>
      </c>
      <c r="Y53" t="n">
        <v>823.2</v>
      </c>
      <c r="Z53" t="n">
        <v>876.5</v>
      </c>
      <c r="AA53" t="n">
        <v>932.8</v>
      </c>
      <c r="AB53" t="n">
        <v>955.6</v>
      </c>
      <c r="AC53" t="n">
        <v>1001.3</v>
      </c>
      <c r="AD53" t="n">
        <v>1063.9</v>
      </c>
      <c r="AE53" t="n">
        <v>905.3</v>
      </c>
      <c r="AF53" t="n">
        <v>1012</v>
      </c>
    </row>
    <row r="54">
      <c r="A54" t="s">
        <v>16</v>
      </c>
      <c r="B54" t="s">
        <v>265</v>
      </c>
      <c r="C54" t="s">
        <v>131</v>
      </c>
      <c r="D54" t="s">
        <v>266</v>
      </c>
      <c r="E54" t="s">
        <v>132</v>
      </c>
      <c r="F54" t="n">
        <v>619.7</v>
      </c>
      <c r="G54" t="n">
        <v>657.2</v>
      </c>
      <c r="H54" t="n">
        <v>706.5</v>
      </c>
      <c r="I54" t="n">
        <v>699</v>
      </c>
      <c r="J54" t="n">
        <v>832</v>
      </c>
      <c r="K54" t="n">
        <v>935.2</v>
      </c>
      <c r="L54" t="n">
        <v>1005.8</v>
      </c>
      <c r="M54" t="n">
        <v>1166.5</v>
      </c>
      <c r="N54" t="n">
        <v>1241.4</v>
      </c>
      <c r="O54" t="n">
        <v>1482.7</v>
      </c>
      <c r="P54" t="n">
        <v>1530.7</v>
      </c>
      <c r="Q54" t="n">
        <v>1715</v>
      </c>
      <c r="R54" t="n">
        <v>1744.1</v>
      </c>
      <c r="S54" t="n">
        <v>1887</v>
      </c>
      <c r="T54" t="n">
        <v>1852.6</v>
      </c>
      <c r="U54" t="n">
        <v>1816.4</v>
      </c>
      <c r="V54" t="n">
        <v>1684.3</v>
      </c>
      <c r="W54" t="n">
        <v>1714.1</v>
      </c>
      <c r="X54" t="n">
        <v>1779.1</v>
      </c>
      <c r="Y54" t="n">
        <v>1799.2</v>
      </c>
      <c r="Z54" t="n">
        <v>1901.6</v>
      </c>
      <c r="AA54" t="n">
        <v>2017.3</v>
      </c>
      <c r="AB54" t="n">
        <v>2093.9</v>
      </c>
      <c r="AC54" t="n">
        <v>2221</v>
      </c>
      <c r="AD54" t="n">
        <v>2331.6</v>
      </c>
      <c r="AE54" t="n">
        <v>1979.4</v>
      </c>
      <c r="AF54" t="n">
        <v>2213</v>
      </c>
    </row>
    <row r="55">
      <c r="A55" t="s">
        <v>16</v>
      </c>
      <c r="B55" t="s">
        <v>267</v>
      </c>
      <c r="C55" t="s">
        <v>131</v>
      </c>
      <c r="D55" t="s">
        <v>268</v>
      </c>
      <c r="E55" t="s">
        <v>132</v>
      </c>
      <c r="F55" t="n">
        <v>342</v>
      </c>
      <c r="G55" t="n">
        <v>369.3</v>
      </c>
      <c r="H55" t="n">
        <v>341.6</v>
      </c>
      <c r="I55" t="n">
        <v>290.7</v>
      </c>
      <c r="J55" t="n">
        <v>360.7</v>
      </c>
      <c r="K55" t="n">
        <v>380.5</v>
      </c>
      <c r="L55" t="n">
        <v>456</v>
      </c>
      <c r="M55" t="n">
        <v>525.5</v>
      </c>
      <c r="N55" t="n">
        <v>577.4</v>
      </c>
      <c r="O55" t="n">
        <v>746</v>
      </c>
      <c r="P55" t="n">
        <v>749.7</v>
      </c>
      <c r="Q55" t="n">
        <v>746.3</v>
      </c>
      <c r="R55" t="n">
        <v>700.3</v>
      </c>
      <c r="S55" t="n">
        <v>736</v>
      </c>
      <c r="T55" t="n">
        <v>782</v>
      </c>
      <c r="U55" t="n">
        <v>895.9</v>
      </c>
      <c r="V55" t="n">
        <v>920.3</v>
      </c>
      <c r="W55" t="n">
        <v>937.9</v>
      </c>
      <c r="X55" t="n">
        <v>979.5</v>
      </c>
      <c r="Y55" t="n">
        <v>976</v>
      </c>
      <c r="Z55" t="n">
        <v>1025.1</v>
      </c>
      <c r="AA55" t="n">
        <v>1084.5</v>
      </c>
      <c r="AB55" t="n">
        <v>1138.3</v>
      </c>
      <c r="AC55" t="n">
        <v>1219.7</v>
      </c>
      <c r="AD55" t="n">
        <v>1267.7</v>
      </c>
      <c r="AE55" t="n">
        <v>1074.1</v>
      </c>
      <c r="AF55" t="n">
        <v>1201</v>
      </c>
    </row>
    <row r="56">
      <c r="A56" t="s">
        <v>16</v>
      </c>
      <c r="B56" t="s">
        <v>269</v>
      </c>
      <c r="C56" t="s">
        <v>131</v>
      </c>
      <c r="D56" t="s">
        <v>270</v>
      </c>
      <c r="E56" t="s">
        <v>132</v>
      </c>
      <c r="F56" t="n">
        <v>44.9</v>
      </c>
      <c r="G56" t="n">
        <v>47.3</v>
      </c>
      <c r="H56" t="n">
        <v>73.6</v>
      </c>
      <c r="I56" t="n">
        <v>70.8</v>
      </c>
      <c r="J56" t="n">
        <v>77.2</v>
      </c>
      <c r="K56" t="n">
        <v>69.8</v>
      </c>
      <c r="L56" t="n">
        <v>72.5</v>
      </c>
      <c r="M56" t="n">
        <v>80.4</v>
      </c>
      <c r="N56" t="n">
        <v>92.9</v>
      </c>
      <c r="O56" t="n">
        <v>92.9</v>
      </c>
      <c r="P56" t="n">
        <v>125.5</v>
      </c>
      <c r="Q56" t="n">
        <v>162.7</v>
      </c>
      <c r="R56" t="n">
        <v>210.1</v>
      </c>
      <c r="S56" t="n">
        <v>200.4</v>
      </c>
      <c r="T56" t="n">
        <v>167.8</v>
      </c>
      <c r="U56" t="n">
        <v>26.1</v>
      </c>
      <c r="V56" t="n">
        <v>31.5</v>
      </c>
      <c r="W56" t="n">
        <v>36.9</v>
      </c>
      <c r="X56" t="n">
        <v>29.1</v>
      </c>
      <c r="Y56" t="n">
        <v>26.2</v>
      </c>
      <c r="Z56" t="n">
        <v>28.4</v>
      </c>
      <c r="AA56" t="n">
        <v>31.4</v>
      </c>
      <c r="AB56" t="n">
        <v>36.9</v>
      </c>
      <c r="AC56" t="n">
        <v>42.4</v>
      </c>
      <c r="AD56" t="n">
        <v>21.3</v>
      </c>
      <c r="AE56" t="n">
        <v>16.4</v>
      </c>
      <c r="AF56" t="n">
        <v>15.4</v>
      </c>
    </row>
    <row r="57">
      <c r="A57" t="s">
        <v>16</v>
      </c>
      <c r="B57" t="s">
        <v>271</v>
      </c>
      <c r="C57" t="s">
        <v>131</v>
      </c>
      <c r="D57" t="s">
        <v>272</v>
      </c>
      <c r="E57" t="s">
        <v>132</v>
      </c>
      <c r="F57" t="n">
        <v>23965.5</v>
      </c>
      <c r="G57" t="n">
        <v>26092.2</v>
      </c>
      <c r="H57" t="n">
        <v>29078.9</v>
      </c>
      <c r="I57" t="n">
        <v>32743.9</v>
      </c>
      <c r="J57" t="n">
        <v>36866.6</v>
      </c>
      <c r="K57" t="n">
        <v>41923.1</v>
      </c>
      <c r="L57" t="n">
        <v>46894.4</v>
      </c>
      <c r="M57" t="n">
        <v>50203.6</v>
      </c>
      <c r="N57" t="n">
        <v>54672.2</v>
      </c>
      <c r="O57" t="n">
        <v>59393.7</v>
      </c>
      <c r="P57" t="n">
        <v>66160</v>
      </c>
      <c r="Q57" t="n">
        <v>72845</v>
      </c>
      <c r="R57" t="n">
        <v>79781.4</v>
      </c>
      <c r="S57" t="n">
        <v>81820.5</v>
      </c>
      <c r="T57" t="n">
        <v>74396.7</v>
      </c>
      <c r="U57" t="n">
        <v>69644.6</v>
      </c>
      <c r="V57" t="n">
        <v>71433.3</v>
      </c>
      <c r="W57" t="n">
        <v>72184.2</v>
      </c>
      <c r="X57" t="n">
        <v>73237.6</v>
      </c>
      <c r="Y57" t="n">
        <v>76182.8</v>
      </c>
      <c r="Z57" t="n">
        <v>80971.4</v>
      </c>
      <c r="AA57" t="n">
        <v>86369.8</v>
      </c>
      <c r="AB57" t="n">
        <v>92389.6</v>
      </c>
      <c r="AC57" t="n">
        <v>98291.9</v>
      </c>
      <c r="AD57" t="n">
        <v>106263.7</v>
      </c>
      <c r="AE57" t="n">
        <v>106103.1</v>
      </c>
      <c r="AF57" t="n">
        <v>117272.2</v>
      </c>
    </row>
    <row r="58">
      <c r="A58" t="s">
        <v>16</v>
      </c>
      <c r="B58" t="s">
        <v>273</v>
      </c>
      <c r="C58" t="s">
        <v>131</v>
      </c>
      <c r="D58" t="s">
        <v>274</v>
      </c>
      <c r="E58" t="s">
        <v>132</v>
      </c>
      <c r="F58" t="n">
        <v>23920.6</v>
      </c>
      <c r="G58" t="n">
        <v>26044.9</v>
      </c>
      <c r="H58" t="n">
        <v>29005.3</v>
      </c>
      <c r="I58" t="n">
        <v>32673.1</v>
      </c>
      <c r="J58" t="n">
        <v>36789.4</v>
      </c>
      <c r="K58" t="n">
        <v>41853.3</v>
      </c>
      <c r="L58" t="n">
        <v>46821.9</v>
      </c>
      <c r="M58" t="n">
        <v>50123.2</v>
      </c>
      <c r="N58" t="n">
        <v>54579.3</v>
      </c>
      <c r="O58" t="n">
        <v>59300.8</v>
      </c>
      <c r="P58" t="n">
        <v>66034.5</v>
      </c>
      <c r="Q58" t="n">
        <v>72682.3</v>
      </c>
      <c r="R58" t="n">
        <v>79571.3</v>
      </c>
      <c r="S58" t="n">
        <v>81620.1</v>
      </c>
      <c r="T58" t="n">
        <v>74228.9</v>
      </c>
      <c r="U58" t="n">
        <v>69618.5</v>
      </c>
      <c r="V58" t="n">
        <v>71401.8</v>
      </c>
      <c r="W58" t="n">
        <v>72147.3</v>
      </c>
      <c r="X58" t="n">
        <v>73208.5</v>
      </c>
      <c r="Y58" t="n">
        <v>76156.6</v>
      </c>
      <c r="Z58" t="n">
        <v>80943</v>
      </c>
      <c r="AA58" t="n">
        <v>86338.4</v>
      </c>
      <c r="AB58" t="n">
        <v>92352.7</v>
      </c>
      <c r="AC58" t="n">
        <v>98249.5</v>
      </c>
      <c r="AD58" t="n">
        <v>106242.4</v>
      </c>
      <c r="AE58" t="n">
        <v>106086.7</v>
      </c>
      <c r="AF58" t="n">
        <v>117256.8</v>
      </c>
    </row>
    <row r="59">
      <c r="A59" t="s">
        <v>16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18</v>
      </c>
      <c r="B2" t="s">
        <v>84</v>
      </c>
      <c r="C2" t="s">
        <v>131</v>
      </c>
      <c r="D2" t="s">
        <v>86</v>
      </c>
      <c r="E2" t="s">
        <v>132</v>
      </c>
      <c r="F2" t="n">
        <v>139.19</v>
      </c>
      <c r="G2" t="n">
        <v>138.04</v>
      </c>
      <c r="H2" t="n">
        <v>137.39</v>
      </c>
      <c r="I2" t="n">
        <v>136.78</v>
      </c>
      <c r="J2" t="n">
        <v>140.97</v>
      </c>
      <c r="K2" t="n">
        <v>129.32</v>
      </c>
      <c r="L2" t="n">
        <v>124.84</v>
      </c>
      <c r="M2" t="n">
        <v>121.03</v>
      </c>
      <c r="N2" t="n">
        <v>116.96</v>
      </c>
      <c r="O2" t="n">
        <v>115.44</v>
      </c>
      <c r="P2" t="n">
        <v>112.7</v>
      </c>
      <c r="Q2" t="n">
        <v>112.85</v>
      </c>
      <c r="R2" t="n">
        <v>112.17</v>
      </c>
      <c r="S2" t="n">
        <v>116.16</v>
      </c>
      <c r="T2" t="n">
        <v>112.47</v>
      </c>
      <c r="U2" t="n">
        <v>110.5</v>
      </c>
      <c r="V2" t="n">
        <v>107.85</v>
      </c>
      <c r="W2" t="n">
        <v>108.76</v>
      </c>
      <c r="X2" t="n">
        <v>111.91</v>
      </c>
      <c r="Y2" t="n">
        <v>108.17</v>
      </c>
      <c r="Z2" t="n">
        <v>109.4</v>
      </c>
      <c r="AA2" t="n">
        <v>112.43</v>
      </c>
      <c r="AB2" t="n">
        <v>111.29</v>
      </c>
      <c r="AC2" t="n">
        <v>108.29</v>
      </c>
      <c r="AD2" t="n">
        <v>104.1</v>
      </c>
      <c r="AE2" t="n">
        <v>104.28</v>
      </c>
      <c r="AF2" t="n">
        <v>109.6</v>
      </c>
    </row>
    <row r="3">
      <c r="A3" t="s">
        <v>18</v>
      </c>
      <c r="B3" t="s">
        <v>163</v>
      </c>
      <c r="C3" t="s">
        <v>131</v>
      </c>
      <c r="D3" t="s">
        <v>164</v>
      </c>
      <c r="E3" t="s">
        <v>132</v>
      </c>
      <c r="F3" t="n">
        <v>4.83</v>
      </c>
      <c r="G3" t="n">
        <v>4.83</v>
      </c>
      <c r="H3" t="n">
        <v>4.83</v>
      </c>
      <c r="I3" t="n">
        <v>5.45</v>
      </c>
      <c r="J3" t="n">
        <v>6.21</v>
      </c>
      <c r="K3" t="n">
        <v>6.82</v>
      </c>
      <c r="L3" t="n">
        <v>8.01</v>
      </c>
      <c r="M3" t="n">
        <v>8.02</v>
      </c>
      <c r="N3" t="n">
        <v>7.07</v>
      </c>
      <c r="O3" t="n">
        <v>7.45</v>
      </c>
      <c r="P3" t="n">
        <v>9.68</v>
      </c>
      <c r="Q3" t="n">
        <v>11.48</v>
      </c>
      <c r="R3" t="n">
        <v>11.34</v>
      </c>
      <c r="S3" t="n">
        <v>12.1</v>
      </c>
      <c r="T3" t="n">
        <v>7.58</v>
      </c>
      <c r="U3" t="n">
        <v>7.11</v>
      </c>
      <c r="V3" t="n">
        <v>5.71</v>
      </c>
      <c r="W3" t="n">
        <v>6.34</v>
      </c>
      <c r="X3" t="n">
        <v>6.92</v>
      </c>
      <c r="Y3" t="n">
        <v>6.39</v>
      </c>
      <c r="Z3" t="n">
        <v>7.19</v>
      </c>
      <c r="AA3" t="n">
        <v>5.61</v>
      </c>
      <c r="AB3" t="n">
        <v>6.98</v>
      </c>
      <c r="AC3" t="n">
        <v>6.28</v>
      </c>
      <c r="AD3" t="n">
        <v>7.37</v>
      </c>
      <c r="AE3" t="n">
        <v>6.09</v>
      </c>
      <c r="AF3" t="n">
        <v>5.3</v>
      </c>
    </row>
    <row r="4">
      <c r="A4" t="s">
        <v>18</v>
      </c>
      <c r="B4" t="s">
        <v>165</v>
      </c>
      <c r="C4" t="s">
        <v>131</v>
      </c>
      <c r="D4" t="s">
        <v>166</v>
      </c>
      <c r="E4" t="s">
        <v>132</v>
      </c>
      <c r="F4" t="n">
        <v>295.6</v>
      </c>
      <c r="G4" t="n">
        <v>296.7</v>
      </c>
      <c r="H4" t="n">
        <v>297.09</v>
      </c>
      <c r="I4" t="n">
        <v>301.61</v>
      </c>
      <c r="J4" t="n">
        <v>308.03</v>
      </c>
      <c r="K4" t="n">
        <v>314.13</v>
      </c>
      <c r="L4" t="n">
        <v>313.98</v>
      </c>
      <c r="M4" t="n">
        <v>300.4</v>
      </c>
      <c r="N4" t="n">
        <v>292.56</v>
      </c>
      <c r="O4" t="n">
        <v>286.02</v>
      </c>
      <c r="P4" t="n">
        <v>278.38</v>
      </c>
      <c r="Q4" t="n">
        <v>278.48</v>
      </c>
      <c r="R4" t="n">
        <v>279.13</v>
      </c>
      <c r="S4" t="n">
        <v>266.13</v>
      </c>
      <c r="T4" t="n">
        <v>234.57</v>
      </c>
      <c r="U4" t="n">
        <v>217.44</v>
      </c>
      <c r="V4" t="n">
        <v>214.06</v>
      </c>
      <c r="W4" t="n">
        <v>211.06</v>
      </c>
      <c r="X4" t="n">
        <v>219.91</v>
      </c>
      <c r="Y4" t="n">
        <v>222.49</v>
      </c>
      <c r="Z4" t="n">
        <v>235.22</v>
      </c>
      <c r="AA4" t="n">
        <v>249.59</v>
      </c>
      <c r="AB4" t="n">
        <v>253.76</v>
      </c>
      <c r="AC4" t="n">
        <v>250.66</v>
      </c>
      <c r="AD4" t="n">
        <v>256.39</v>
      </c>
      <c r="AE4" t="n">
        <v>264.27</v>
      </c>
      <c r="AF4" t="n">
        <v>283.49</v>
      </c>
    </row>
    <row r="5">
      <c r="A5" t="s">
        <v>18</v>
      </c>
      <c r="B5" t="s">
        <v>167</v>
      </c>
      <c r="C5" t="s">
        <v>131</v>
      </c>
      <c r="D5" t="s">
        <v>168</v>
      </c>
      <c r="E5" t="s">
        <v>132</v>
      </c>
      <c r="F5" t="n">
        <v>57.73</v>
      </c>
      <c r="G5" t="n">
        <v>57.76</v>
      </c>
      <c r="H5" t="n">
        <v>57.79</v>
      </c>
      <c r="I5" t="n">
        <v>58.11</v>
      </c>
      <c r="J5" t="n">
        <v>58.17</v>
      </c>
      <c r="K5" t="n">
        <v>59.16</v>
      </c>
      <c r="L5" t="n">
        <v>59.23</v>
      </c>
      <c r="M5" t="n">
        <v>58.2</v>
      </c>
      <c r="N5" t="n">
        <v>57.47</v>
      </c>
      <c r="O5" t="n">
        <v>58.53</v>
      </c>
      <c r="P5" t="n">
        <v>59</v>
      </c>
      <c r="Q5" t="n">
        <v>60.07</v>
      </c>
      <c r="R5" t="n">
        <v>58.37</v>
      </c>
      <c r="S5" t="n">
        <v>57.6</v>
      </c>
      <c r="T5" t="n">
        <v>50.95</v>
      </c>
      <c r="U5" t="n">
        <v>46.64</v>
      </c>
      <c r="V5" t="n">
        <v>52.86</v>
      </c>
      <c r="W5" t="n">
        <v>53.02</v>
      </c>
      <c r="X5" t="n">
        <v>53.54</v>
      </c>
      <c r="Y5" t="n">
        <v>57.05</v>
      </c>
      <c r="Z5" t="n">
        <v>56.72</v>
      </c>
      <c r="AA5" t="n">
        <v>59.7</v>
      </c>
      <c r="AB5" t="n">
        <v>58.19</v>
      </c>
      <c r="AC5" t="n">
        <v>58.11</v>
      </c>
      <c r="AD5" t="n">
        <v>56.21</v>
      </c>
      <c r="AE5" t="n">
        <v>55.27</v>
      </c>
      <c r="AF5" t="n">
        <v>57.68</v>
      </c>
    </row>
    <row r="6">
      <c r="A6" t="s">
        <v>18</v>
      </c>
      <c r="B6" t="s">
        <v>169</v>
      </c>
      <c r="C6" t="s">
        <v>131</v>
      </c>
      <c r="D6" t="s">
        <v>170</v>
      </c>
      <c r="E6" t="s">
        <v>132</v>
      </c>
      <c r="F6" t="n">
        <v>23.74</v>
      </c>
      <c r="G6" t="n">
        <v>23.05</v>
      </c>
      <c r="H6" t="n">
        <v>22.37</v>
      </c>
      <c r="I6" t="n">
        <v>22</v>
      </c>
      <c r="J6" t="n">
        <v>20.18</v>
      </c>
      <c r="K6" t="n">
        <v>17.52</v>
      </c>
      <c r="L6" t="n">
        <v>15.44</v>
      </c>
      <c r="M6" t="n">
        <v>14.58</v>
      </c>
      <c r="N6" t="n">
        <v>12.1</v>
      </c>
      <c r="O6" t="n">
        <v>9.73</v>
      </c>
      <c r="P6" t="n">
        <v>9.54</v>
      </c>
      <c r="Q6" t="n">
        <v>9.76</v>
      </c>
      <c r="R6" t="n">
        <v>9.51</v>
      </c>
      <c r="S6" t="n">
        <v>9.61</v>
      </c>
      <c r="T6" t="n">
        <v>7.07</v>
      </c>
      <c r="U6" t="n">
        <v>6.52</v>
      </c>
      <c r="V6" t="n">
        <v>4.7</v>
      </c>
      <c r="W6" t="n">
        <v>5.09</v>
      </c>
      <c r="X6" t="n">
        <v>6.94</v>
      </c>
      <c r="Y6" t="n">
        <v>6.57</v>
      </c>
      <c r="Z6" t="n">
        <v>6.3</v>
      </c>
      <c r="AA6" t="n">
        <v>4.64</v>
      </c>
      <c r="AB6" t="n">
        <v>4.27</v>
      </c>
      <c r="AC6" t="n">
        <v>4.36</v>
      </c>
      <c r="AD6" t="n">
        <v>3.37</v>
      </c>
      <c r="AE6" t="n">
        <v>3.78</v>
      </c>
      <c r="AF6" t="n">
        <v>4.06</v>
      </c>
    </row>
    <row r="7">
      <c r="A7" t="s">
        <v>18</v>
      </c>
      <c r="B7" t="s">
        <v>171</v>
      </c>
      <c r="C7" t="s">
        <v>131</v>
      </c>
      <c r="D7" t="s">
        <v>172</v>
      </c>
      <c r="E7" t="s">
        <v>132</v>
      </c>
      <c r="F7" t="n">
        <v>24.98</v>
      </c>
      <c r="G7" t="n">
        <v>24.82</v>
      </c>
      <c r="H7" t="n">
        <v>24.69</v>
      </c>
      <c r="I7" t="n">
        <v>25.06</v>
      </c>
      <c r="J7" t="n">
        <v>26.74</v>
      </c>
      <c r="K7" t="n">
        <v>27.4</v>
      </c>
      <c r="L7" t="n">
        <v>28.04</v>
      </c>
      <c r="M7" t="n">
        <v>28.07</v>
      </c>
      <c r="N7" t="n">
        <v>25.56</v>
      </c>
      <c r="O7" t="n">
        <v>23.36</v>
      </c>
      <c r="P7" t="n">
        <v>23.02</v>
      </c>
      <c r="Q7" t="n">
        <v>23.31</v>
      </c>
      <c r="R7" t="n">
        <v>24.31</v>
      </c>
      <c r="S7" t="n">
        <v>22.56</v>
      </c>
      <c r="T7" t="n">
        <v>18.23</v>
      </c>
      <c r="U7" t="n">
        <v>16.67</v>
      </c>
      <c r="V7" t="n">
        <v>14.73</v>
      </c>
      <c r="W7" t="n">
        <v>13.05</v>
      </c>
      <c r="X7" t="n">
        <v>17.22</v>
      </c>
      <c r="Y7" t="n">
        <v>15.81</v>
      </c>
      <c r="Z7" t="n">
        <v>14.33</v>
      </c>
      <c r="AA7" t="n">
        <v>15.27</v>
      </c>
      <c r="AB7" t="n">
        <v>16.53</v>
      </c>
      <c r="AC7" t="n">
        <v>14.02</v>
      </c>
      <c r="AD7" t="n">
        <v>12.51</v>
      </c>
      <c r="AE7" t="n">
        <v>12.16</v>
      </c>
      <c r="AF7" t="n">
        <v>11.32</v>
      </c>
    </row>
    <row r="8">
      <c r="A8" t="s">
        <v>18</v>
      </c>
      <c r="B8" t="s">
        <v>173</v>
      </c>
      <c r="C8" t="s">
        <v>131</v>
      </c>
      <c r="D8" t="s">
        <v>174</v>
      </c>
      <c r="E8" t="s">
        <v>132</v>
      </c>
      <c r="F8" t="n">
        <v>0.4</v>
      </c>
      <c r="G8" t="n">
        <v>0.4</v>
      </c>
      <c r="H8" t="n">
        <v>0.39</v>
      </c>
      <c r="I8" t="n">
        <v>0.41</v>
      </c>
      <c r="J8" t="n">
        <v>0.3</v>
      </c>
      <c r="K8" t="n">
        <v>0.28</v>
      </c>
      <c r="L8" t="n">
        <v>0.39</v>
      </c>
      <c r="M8" t="n">
        <v>0.45</v>
      </c>
      <c r="N8" t="n">
        <v>0.65</v>
      </c>
      <c r="O8" t="n">
        <v>1.41</v>
      </c>
      <c r="P8" t="n">
        <v>0.79</v>
      </c>
      <c r="Q8" t="n">
        <v>0.53</v>
      </c>
      <c r="R8" t="n">
        <v>0.46</v>
      </c>
      <c r="S8" t="n">
        <v>0.41</v>
      </c>
      <c r="T8" t="n">
        <v>0.5</v>
      </c>
      <c r="U8" t="n">
        <v>0.57</v>
      </c>
      <c r="V8" t="n">
        <v>0.43</v>
      </c>
      <c r="W8" t="n">
        <v>0.36</v>
      </c>
      <c r="X8" t="n">
        <v>0.38</v>
      </c>
      <c r="Y8" t="n">
        <v>0.26</v>
      </c>
      <c r="Z8" t="n">
        <v>0.2</v>
      </c>
      <c r="AA8" t="n">
        <v>0.12</v>
      </c>
      <c r="AB8" t="n">
        <v>1.54</v>
      </c>
      <c r="AC8" t="n">
        <v>2.69</v>
      </c>
      <c r="AD8" t="n">
        <v>1.43</v>
      </c>
      <c r="AE8" t="n">
        <v>2.13</v>
      </c>
      <c r="AF8" t="n">
        <v>3.23</v>
      </c>
    </row>
    <row r="9">
      <c r="A9" t="s">
        <v>18</v>
      </c>
      <c r="B9" t="s">
        <v>175</v>
      </c>
      <c r="C9" t="s">
        <v>131</v>
      </c>
      <c r="D9" t="s">
        <v>176</v>
      </c>
      <c r="E9" t="s">
        <v>132</v>
      </c>
      <c r="F9" t="n">
        <v>5.69</v>
      </c>
      <c r="G9" t="n">
        <v>5.89</v>
      </c>
      <c r="H9" t="n">
        <v>5.55</v>
      </c>
      <c r="I9" t="n">
        <v>6.26</v>
      </c>
      <c r="J9" t="n">
        <v>5.52</v>
      </c>
      <c r="K9" t="n">
        <v>6.05</v>
      </c>
      <c r="L9" t="n">
        <v>5.99</v>
      </c>
      <c r="M9" t="n">
        <v>4.89</v>
      </c>
      <c r="N9" t="n">
        <v>4.9</v>
      </c>
      <c r="O9" t="n">
        <v>4.26</v>
      </c>
      <c r="P9" t="n">
        <v>3.96</v>
      </c>
      <c r="Q9" t="n">
        <v>2.99</v>
      </c>
      <c r="R9" t="n">
        <v>2.98</v>
      </c>
      <c r="S9" t="n">
        <v>3.51</v>
      </c>
      <c r="T9" t="n">
        <v>2.89</v>
      </c>
      <c r="U9" t="n">
        <v>3.03</v>
      </c>
      <c r="V9" t="n">
        <v>2.93</v>
      </c>
      <c r="W9" t="n">
        <v>3.05</v>
      </c>
      <c r="X9" t="n">
        <v>2.95</v>
      </c>
      <c r="Y9" t="n">
        <v>2.63</v>
      </c>
      <c r="Z9" t="n">
        <v>3.47</v>
      </c>
      <c r="AA9" t="n">
        <v>4</v>
      </c>
      <c r="AB9" t="n">
        <v>3.19</v>
      </c>
      <c r="AC9" t="n">
        <v>3.19</v>
      </c>
      <c r="AD9" t="n">
        <v>2.46</v>
      </c>
      <c r="AE9" t="n">
        <v>2.69</v>
      </c>
      <c r="AF9" t="n">
        <v>2.12</v>
      </c>
    </row>
    <row r="10">
      <c r="A10" t="s">
        <v>18</v>
      </c>
      <c r="B10" t="s">
        <v>177</v>
      </c>
      <c r="C10" t="s">
        <v>131</v>
      </c>
      <c r="D10" t="s">
        <v>178</v>
      </c>
      <c r="E10" t="s">
        <v>132</v>
      </c>
      <c r="F10" t="n">
        <v>19.28</v>
      </c>
      <c r="G10" t="n">
        <v>21.4</v>
      </c>
      <c r="H10" t="n">
        <v>22.98</v>
      </c>
      <c r="I10" t="n">
        <v>25.41</v>
      </c>
      <c r="J10" t="n">
        <v>25.07</v>
      </c>
      <c r="K10" t="n">
        <v>27.71</v>
      </c>
      <c r="L10" t="n">
        <v>31.06</v>
      </c>
      <c r="M10" t="n">
        <v>33.04</v>
      </c>
      <c r="N10" t="n">
        <v>32.47</v>
      </c>
      <c r="O10" t="n">
        <v>34.79</v>
      </c>
      <c r="P10" t="n">
        <v>34.51</v>
      </c>
      <c r="Q10" t="n">
        <v>34.51</v>
      </c>
      <c r="R10" t="n">
        <v>36.62</v>
      </c>
      <c r="S10" t="n">
        <v>34.92</v>
      </c>
      <c r="T10" t="n">
        <v>32.89</v>
      </c>
      <c r="U10" t="n">
        <v>36.46</v>
      </c>
      <c r="V10" t="n">
        <v>35.13</v>
      </c>
      <c r="W10" t="n">
        <v>33.97</v>
      </c>
      <c r="X10" t="n">
        <v>37.55</v>
      </c>
      <c r="Y10" t="n">
        <v>36.65</v>
      </c>
      <c r="Z10" t="n">
        <v>41.96</v>
      </c>
      <c r="AA10" t="n">
        <v>47.3</v>
      </c>
      <c r="AB10" t="n">
        <v>44.65</v>
      </c>
      <c r="AC10" t="n">
        <v>44.4</v>
      </c>
      <c r="AD10" t="n">
        <v>45.63</v>
      </c>
      <c r="AE10" t="n">
        <v>54.1</v>
      </c>
      <c r="AF10" t="n">
        <v>62.64</v>
      </c>
    </row>
    <row r="11">
      <c r="A11" t="s">
        <v>18</v>
      </c>
      <c r="B11" t="s">
        <v>179</v>
      </c>
      <c r="C11" t="s">
        <v>131</v>
      </c>
      <c r="D11" t="s">
        <v>180</v>
      </c>
      <c r="E11" t="s">
        <v>132</v>
      </c>
      <c r="F11" t="n">
        <v>13.59</v>
      </c>
      <c r="G11" t="n">
        <v>15.51</v>
      </c>
      <c r="H11" t="n">
        <v>17.43</v>
      </c>
      <c r="I11" t="n">
        <v>19.15</v>
      </c>
      <c r="J11" t="n">
        <v>19.55</v>
      </c>
      <c r="K11" t="n">
        <v>21.66</v>
      </c>
      <c r="L11" t="n">
        <v>25.07</v>
      </c>
      <c r="M11" t="n">
        <v>28.15</v>
      </c>
      <c r="N11" t="n">
        <v>27.57</v>
      </c>
      <c r="O11" t="n">
        <v>30.53</v>
      </c>
      <c r="P11" t="n">
        <v>30.55</v>
      </c>
      <c r="Q11" t="n">
        <v>31.52</v>
      </c>
      <c r="R11" t="n">
        <v>33.64</v>
      </c>
      <c r="S11" t="n">
        <v>31.41</v>
      </c>
      <c r="T11" t="n">
        <v>30</v>
      </c>
      <c r="U11" t="n">
        <v>33.43</v>
      </c>
      <c r="V11" t="n">
        <v>32.2</v>
      </c>
      <c r="W11" t="n">
        <v>30.92</v>
      </c>
      <c r="X11" t="n">
        <v>34.6</v>
      </c>
      <c r="Y11" t="n">
        <v>34.02</v>
      </c>
      <c r="Z11" t="n">
        <v>38.49</v>
      </c>
      <c r="AA11" t="n">
        <v>43.3</v>
      </c>
      <c r="AB11" t="n">
        <v>41.46</v>
      </c>
      <c r="AC11" t="n">
        <v>41.21</v>
      </c>
      <c r="AD11" t="n">
        <v>43.17</v>
      </c>
      <c r="AE11" t="n">
        <v>51.41</v>
      </c>
      <c r="AF11" t="n">
        <v>60.52</v>
      </c>
    </row>
    <row r="12">
      <c r="A12" t="s">
        <v>18</v>
      </c>
      <c r="B12" t="s">
        <v>181</v>
      </c>
      <c r="C12" t="s">
        <v>131</v>
      </c>
      <c r="D12" t="s">
        <v>182</v>
      </c>
      <c r="E12" t="s">
        <v>132</v>
      </c>
      <c r="F12" t="n">
        <v>27.67</v>
      </c>
      <c r="G12" t="n">
        <v>27.41</v>
      </c>
      <c r="H12" t="n">
        <v>27.16</v>
      </c>
      <c r="I12" t="n">
        <v>27.61</v>
      </c>
      <c r="J12" t="n">
        <v>26.17</v>
      </c>
      <c r="K12" t="n">
        <v>28.78</v>
      </c>
      <c r="L12" t="n">
        <v>26.69</v>
      </c>
      <c r="M12" t="n">
        <v>27.13</v>
      </c>
      <c r="N12" t="n">
        <v>25.67</v>
      </c>
      <c r="O12" t="n">
        <v>24.75</v>
      </c>
      <c r="P12" t="n">
        <v>24.04</v>
      </c>
      <c r="Q12" t="n">
        <v>23.07</v>
      </c>
      <c r="R12" t="n">
        <v>22.97</v>
      </c>
      <c r="S12" t="n">
        <v>19.13</v>
      </c>
      <c r="T12" t="n">
        <v>14.04</v>
      </c>
      <c r="U12" t="n">
        <v>11.38</v>
      </c>
      <c r="V12" t="n">
        <v>11.28</v>
      </c>
      <c r="W12" t="n">
        <v>11.94</v>
      </c>
      <c r="X12" t="n">
        <v>10.33</v>
      </c>
      <c r="Y12" t="n">
        <v>10.31</v>
      </c>
      <c r="Z12" t="n">
        <v>10.37</v>
      </c>
      <c r="AA12" t="n">
        <v>13.05</v>
      </c>
      <c r="AB12" t="n">
        <v>13.49</v>
      </c>
      <c r="AC12" t="n">
        <v>13.07</v>
      </c>
      <c r="AD12" t="n">
        <v>14.35</v>
      </c>
      <c r="AE12" t="n">
        <v>13.7</v>
      </c>
      <c r="AF12" t="n">
        <v>11.93</v>
      </c>
    </row>
    <row r="13">
      <c r="A13" t="s">
        <v>18</v>
      </c>
      <c r="B13" t="s">
        <v>183</v>
      </c>
      <c r="C13" t="s">
        <v>131</v>
      </c>
      <c r="D13" t="s">
        <v>184</v>
      </c>
      <c r="E13" t="s">
        <v>132</v>
      </c>
      <c r="F13" t="n">
        <v>29.3</v>
      </c>
      <c r="G13" t="n">
        <v>29.32</v>
      </c>
      <c r="H13" t="n">
        <v>29.37</v>
      </c>
      <c r="I13" t="n">
        <v>29.12</v>
      </c>
      <c r="J13" t="n">
        <v>30.76</v>
      </c>
      <c r="K13" t="n">
        <v>32.76</v>
      </c>
      <c r="L13" t="n">
        <v>31.85</v>
      </c>
      <c r="M13" t="n">
        <v>28.97</v>
      </c>
      <c r="N13" t="n">
        <v>30.95</v>
      </c>
      <c r="O13" t="n">
        <v>28.35</v>
      </c>
      <c r="P13" t="n">
        <v>28.01</v>
      </c>
      <c r="Q13" t="n">
        <v>29.31</v>
      </c>
      <c r="R13" t="n">
        <v>31.38</v>
      </c>
      <c r="S13" t="n">
        <v>29.73</v>
      </c>
      <c r="T13" t="n">
        <v>21.85</v>
      </c>
      <c r="U13" t="n">
        <v>18.17</v>
      </c>
      <c r="V13" t="n">
        <v>16.64</v>
      </c>
      <c r="W13" t="n">
        <v>15.96</v>
      </c>
      <c r="X13" t="n">
        <v>15.02</v>
      </c>
      <c r="Y13" t="n">
        <v>15.64</v>
      </c>
      <c r="Z13" t="n">
        <v>19.1</v>
      </c>
      <c r="AA13" t="n">
        <v>19.14</v>
      </c>
      <c r="AB13" t="n">
        <v>20.25</v>
      </c>
      <c r="AC13" t="n">
        <v>16.76</v>
      </c>
      <c r="AD13" t="n">
        <v>19.54</v>
      </c>
      <c r="AE13" t="n">
        <v>19.42</v>
      </c>
      <c r="AF13" t="n">
        <v>16.81</v>
      </c>
    </row>
    <row r="14">
      <c r="A14" t="s">
        <v>18</v>
      </c>
      <c r="B14" t="s">
        <v>185</v>
      </c>
      <c r="C14" t="s">
        <v>131</v>
      </c>
      <c r="D14" t="s">
        <v>186</v>
      </c>
      <c r="E14" t="s">
        <v>132</v>
      </c>
      <c r="F14" t="n">
        <v>46.49</v>
      </c>
      <c r="G14" t="n">
        <v>46.49</v>
      </c>
      <c r="H14" t="n">
        <v>46.46</v>
      </c>
      <c r="I14" t="n">
        <v>45.7</v>
      </c>
      <c r="J14" t="n">
        <v>43.89</v>
      </c>
      <c r="K14" t="n">
        <v>48.58</v>
      </c>
      <c r="L14" t="n">
        <v>48.77</v>
      </c>
      <c r="M14" t="n">
        <v>39.32</v>
      </c>
      <c r="N14" t="n">
        <v>34.17</v>
      </c>
      <c r="O14" t="n">
        <v>35.18</v>
      </c>
      <c r="P14" t="n">
        <v>35.43</v>
      </c>
      <c r="Q14" t="n">
        <v>34.04</v>
      </c>
      <c r="R14" t="n">
        <v>32.04</v>
      </c>
      <c r="S14" t="n">
        <v>33.34</v>
      </c>
      <c r="T14" t="n">
        <v>30.66</v>
      </c>
      <c r="U14" t="n">
        <v>26.56</v>
      </c>
      <c r="V14" t="n">
        <v>24.05</v>
      </c>
      <c r="W14" t="n">
        <v>26.58</v>
      </c>
      <c r="X14" t="n">
        <v>24.58</v>
      </c>
      <c r="Y14" t="n">
        <v>27.08</v>
      </c>
      <c r="Z14" t="n">
        <v>28.11</v>
      </c>
      <c r="AA14" t="n">
        <v>26.41</v>
      </c>
      <c r="AB14" t="n">
        <v>24.28</v>
      </c>
      <c r="AC14" t="n">
        <v>21.92</v>
      </c>
      <c r="AD14" t="n">
        <v>20.4</v>
      </c>
      <c r="AE14" t="n">
        <v>24.98</v>
      </c>
      <c r="AF14" t="n">
        <v>28.14</v>
      </c>
    </row>
    <row r="15">
      <c r="A15" t="s">
        <v>18</v>
      </c>
      <c r="B15" t="s">
        <v>187</v>
      </c>
      <c r="C15" t="s">
        <v>131</v>
      </c>
      <c r="D15" t="s">
        <v>188</v>
      </c>
      <c r="E15" t="s">
        <v>132</v>
      </c>
      <c r="F15" t="n">
        <v>53.6</v>
      </c>
      <c r="G15" t="n">
        <v>53.6</v>
      </c>
      <c r="H15" t="n">
        <v>53.53</v>
      </c>
      <c r="I15" t="n">
        <v>53.06</v>
      </c>
      <c r="J15" t="n">
        <v>50.58</v>
      </c>
      <c r="K15" t="n">
        <v>55.94</v>
      </c>
      <c r="L15" t="n">
        <v>56.1</v>
      </c>
      <c r="M15" t="n">
        <v>45.26</v>
      </c>
      <c r="N15" t="n">
        <v>40.13</v>
      </c>
      <c r="O15" t="n">
        <v>39.07</v>
      </c>
      <c r="P15" t="n">
        <v>39.82</v>
      </c>
      <c r="Q15" t="n">
        <v>37.36</v>
      </c>
      <c r="R15" t="n">
        <v>34.25</v>
      </c>
      <c r="S15" t="n">
        <v>35.44</v>
      </c>
      <c r="T15" t="n">
        <v>32.73</v>
      </c>
      <c r="U15" t="n">
        <v>28.38</v>
      </c>
      <c r="V15" t="n">
        <v>26.71</v>
      </c>
      <c r="W15" t="n">
        <v>28.1</v>
      </c>
      <c r="X15" t="n">
        <v>26.53</v>
      </c>
      <c r="Y15" t="n">
        <v>29.31</v>
      </c>
      <c r="Z15" t="n">
        <v>30.03</v>
      </c>
      <c r="AA15" t="n">
        <v>28.34</v>
      </c>
      <c r="AB15" t="n">
        <v>27.43</v>
      </c>
      <c r="AC15" t="n">
        <v>26.02</v>
      </c>
      <c r="AD15" t="n">
        <v>23.52</v>
      </c>
      <c r="AE15" t="n">
        <v>27.71</v>
      </c>
      <c r="AF15" t="n">
        <v>31.16</v>
      </c>
    </row>
    <row r="16">
      <c r="A16" t="s">
        <v>18</v>
      </c>
      <c r="B16" t="s">
        <v>189</v>
      </c>
      <c r="C16" t="s">
        <v>131</v>
      </c>
      <c r="D16" t="s">
        <v>190</v>
      </c>
      <c r="E16" t="s">
        <v>132</v>
      </c>
      <c r="F16" t="n">
        <v>7.11</v>
      </c>
      <c r="G16" t="n">
        <v>7.11</v>
      </c>
      <c r="H16" t="n">
        <v>7.07</v>
      </c>
      <c r="I16" t="n">
        <v>7.36</v>
      </c>
      <c r="J16" t="n">
        <v>6.69</v>
      </c>
      <c r="K16" t="n">
        <v>7.36</v>
      </c>
      <c r="L16" t="n">
        <v>7.33</v>
      </c>
      <c r="M16" t="n">
        <v>5.94</v>
      </c>
      <c r="N16" t="n">
        <v>5.96</v>
      </c>
      <c r="O16" t="n">
        <v>3.89</v>
      </c>
      <c r="P16" t="n">
        <v>4.39</v>
      </c>
      <c r="Q16" t="n">
        <v>3.32</v>
      </c>
      <c r="R16" t="n">
        <v>2.21</v>
      </c>
      <c r="S16" t="n">
        <v>2.1</v>
      </c>
      <c r="T16" t="n">
        <v>2.07</v>
      </c>
      <c r="U16" t="n">
        <v>1.82</v>
      </c>
      <c r="V16" t="n">
        <v>2.66</v>
      </c>
      <c r="W16" t="n">
        <v>1.52</v>
      </c>
      <c r="X16" t="n">
        <v>1.95</v>
      </c>
      <c r="Y16" t="n">
        <v>2.23</v>
      </c>
      <c r="Z16" t="n">
        <v>1.92</v>
      </c>
      <c r="AA16" t="n">
        <v>1.93</v>
      </c>
      <c r="AB16" t="n">
        <v>3.15</v>
      </c>
      <c r="AC16" t="n">
        <v>4.1</v>
      </c>
      <c r="AD16" t="n">
        <v>3.12</v>
      </c>
      <c r="AE16" t="n">
        <v>2.73</v>
      </c>
      <c r="AF16" t="n">
        <v>3.02</v>
      </c>
    </row>
    <row r="17">
      <c r="A17" t="s">
        <v>18</v>
      </c>
      <c r="B17" t="s">
        <v>191</v>
      </c>
      <c r="C17" t="s">
        <v>131</v>
      </c>
      <c r="D17" t="s">
        <v>192</v>
      </c>
      <c r="E17" t="s">
        <v>132</v>
      </c>
      <c r="F17" t="n">
        <v>20.89</v>
      </c>
      <c r="G17" t="n">
        <v>20.89</v>
      </c>
      <c r="H17" t="n">
        <v>20.89</v>
      </c>
      <c r="I17" t="n">
        <v>22.3</v>
      </c>
      <c r="J17" t="n">
        <v>29.52</v>
      </c>
      <c r="K17" t="n">
        <v>27.69</v>
      </c>
      <c r="L17" t="n">
        <v>29.1</v>
      </c>
      <c r="M17" t="n">
        <v>29.09</v>
      </c>
      <c r="N17" t="n">
        <v>29.04</v>
      </c>
      <c r="O17" t="n">
        <v>28.7</v>
      </c>
      <c r="P17" t="n">
        <v>27.8</v>
      </c>
      <c r="Q17" t="n">
        <v>27.99</v>
      </c>
      <c r="R17" t="n">
        <v>30.5</v>
      </c>
      <c r="S17" t="n">
        <v>28.89</v>
      </c>
      <c r="T17" t="n">
        <v>30.86</v>
      </c>
      <c r="U17" t="n">
        <v>28.61</v>
      </c>
      <c r="V17" t="n">
        <v>28.74</v>
      </c>
      <c r="W17" t="n">
        <v>29.08</v>
      </c>
      <c r="X17" t="n">
        <v>33.22</v>
      </c>
      <c r="Y17" t="n">
        <v>31.04</v>
      </c>
      <c r="Z17" t="n">
        <v>33.29</v>
      </c>
      <c r="AA17" t="n">
        <v>37.2</v>
      </c>
      <c r="AB17" t="n">
        <v>22.18</v>
      </c>
      <c r="AC17" t="n">
        <v>7.41</v>
      </c>
      <c r="AD17" t="n">
        <v>8.45</v>
      </c>
      <c r="AE17" t="n">
        <v>9.46</v>
      </c>
      <c r="AF17" t="n">
        <v>9.67</v>
      </c>
    </row>
    <row r="18">
      <c r="A18" t="s">
        <v>18</v>
      </c>
      <c r="B18" t="s">
        <v>193</v>
      </c>
      <c r="C18" t="s">
        <v>131</v>
      </c>
      <c r="D18" t="s">
        <v>194</v>
      </c>
      <c r="E18" t="s">
        <v>132</v>
      </c>
      <c r="F18" t="n">
        <v>8.94</v>
      </c>
      <c r="G18" t="n">
        <v>8.99</v>
      </c>
      <c r="H18" t="n">
        <v>8.89</v>
      </c>
      <c r="I18" t="n">
        <v>9.17</v>
      </c>
      <c r="J18" t="n">
        <v>9</v>
      </c>
      <c r="K18" t="n">
        <v>8.28</v>
      </c>
      <c r="L18" t="n">
        <v>7.14</v>
      </c>
      <c r="M18" t="n">
        <v>7.08</v>
      </c>
      <c r="N18" t="n">
        <v>7.56</v>
      </c>
      <c r="O18" t="n">
        <v>7.21</v>
      </c>
      <c r="P18" t="n">
        <v>7.26</v>
      </c>
      <c r="Q18" t="n">
        <v>6.15</v>
      </c>
      <c r="R18" t="n">
        <v>5.63</v>
      </c>
      <c r="S18" t="n">
        <v>4.6</v>
      </c>
      <c r="T18" t="n">
        <v>4.24</v>
      </c>
      <c r="U18" t="n">
        <v>4</v>
      </c>
      <c r="V18" t="n">
        <v>4.58</v>
      </c>
      <c r="W18" t="n">
        <v>3.56</v>
      </c>
      <c r="X18" t="n">
        <v>4.06</v>
      </c>
      <c r="Y18" t="n">
        <v>3.16</v>
      </c>
      <c r="Z18" t="n">
        <v>4.2</v>
      </c>
      <c r="AA18" t="n">
        <v>4.39</v>
      </c>
      <c r="AB18" t="n">
        <v>4.82</v>
      </c>
      <c r="AC18" t="n">
        <v>6.34</v>
      </c>
      <c r="AD18" t="n">
        <v>6.84</v>
      </c>
      <c r="AE18" t="n">
        <v>6.41</v>
      </c>
      <c r="AF18" t="n">
        <v>7.59</v>
      </c>
    </row>
    <row r="19">
      <c r="A19" t="s">
        <v>18</v>
      </c>
      <c r="B19" t="s">
        <v>195</v>
      </c>
      <c r="C19" t="s">
        <v>131</v>
      </c>
      <c r="D19" t="s">
        <v>196</v>
      </c>
      <c r="E19" t="s">
        <v>132</v>
      </c>
      <c r="F19" t="n">
        <v>29.07</v>
      </c>
      <c r="G19" t="n">
        <v>29.06</v>
      </c>
      <c r="H19" t="n">
        <v>29.03</v>
      </c>
      <c r="I19" t="n">
        <v>29.36</v>
      </c>
      <c r="J19" t="n">
        <v>31.54</v>
      </c>
      <c r="K19" t="n">
        <v>28.61</v>
      </c>
      <c r="L19" t="n">
        <v>28.94</v>
      </c>
      <c r="M19" t="n">
        <v>28.53</v>
      </c>
      <c r="N19" t="n">
        <v>30.96</v>
      </c>
      <c r="O19" t="n">
        <v>30.12</v>
      </c>
      <c r="P19" t="n">
        <v>24.59</v>
      </c>
      <c r="Q19" t="n">
        <v>26.42</v>
      </c>
      <c r="R19" t="n">
        <v>25.13</v>
      </c>
      <c r="S19" t="n">
        <v>23.24</v>
      </c>
      <c r="T19" t="n">
        <v>21.21</v>
      </c>
      <c r="U19" t="n">
        <v>20.04</v>
      </c>
      <c r="V19" t="n">
        <v>18.26</v>
      </c>
      <c r="W19" t="n">
        <v>16.93</v>
      </c>
      <c r="X19" t="n">
        <v>15.12</v>
      </c>
      <c r="Y19" t="n">
        <v>16.69</v>
      </c>
      <c r="Z19" t="n">
        <v>18.72</v>
      </c>
      <c r="AA19" t="n">
        <v>20.44</v>
      </c>
      <c r="AB19" t="n">
        <v>40.41</v>
      </c>
      <c r="AC19" t="n">
        <v>57.48</v>
      </c>
      <c r="AD19" t="n">
        <v>64.54</v>
      </c>
      <c r="AE19" t="n">
        <v>60.13</v>
      </c>
      <c r="AF19" t="n">
        <v>67.4</v>
      </c>
    </row>
    <row r="20">
      <c r="A20" t="s">
        <v>18</v>
      </c>
      <c r="B20" t="s">
        <v>197</v>
      </c>
      <c r="C20" t="s">
        <v>131</v>
      </c>
      <c r="D20" t="s">
        <v>198</v>
      </c>
      <c r="E20" t="s">
        <v>132</v>
      </c>
      <c r="F20" t="n">
        <v>11.3</v>
      </c>
      <c r="G20" t="n">
        <v>11.3</v>
      </c>
      <c r="H20" t="n">
        <v>11.3</v>
      </c>
      <c r="I20" t="n">
        <v>11.14</v>
      </c>
      <c r="J20" t="n">
        <v>10.98</v>
      </c>
      <c r="K20" t="n">
        <v>9.76</v>
      </c>
      <c r="L20" t="n">
        <v>10.95</v>
      </c>
      <c r="M20" t="n">
        <v>11.25</v>
      </c>
      <c r="N20" t="n">
        <v>12.64</v>
      </c>
      <c r="O20" t="n">
        <v>13.21</v>
      </c>
      <c r="P20" t="n">
        <v>12.37</v>
      </c>
      <c r="Q20" t="n">
        <v>11.04</v>
      </c>
      <c r="R20" t="n">
        <v>11.13</v>
      </c>
      <c r="S20" t="n">
        <v>11.63</v>
      </c>
      <c r="T20" t="n">
        <v>12.36</v>
      </c>
      <c r="U20" t="n">
        <v>11.88</v>
      </c>
      <c r="V20" t="n">
        <v>10.02</v>
      </c>
      <c r="W20" t="n">
        <v>9.23</v>
      </c>
      <c r="X20" t="n">
        <v>9.84</v>
      </c>
      <c r="Y20" t="n">
        <v>10.03</v>
      </c>
      <c r="Z20" t="n">
        <v>9.81</v>
      </c>
      <c r="AA20" t="n">
        <v>12.23</v>
      </c>
      <c r="AB20" t="n">
        <v>13.74</v>
      </c>
      <c r="AC20" t="n">
        <v>12.86</v>
      </c>
      <c r="AD20" t="n">
        <v>13.82</v>
      </c>
      <c r="AE20" t="n">
        <v>12.19</v>
      </c>
      <c r="AF20" t="n">
        <v>13.32</v>
      </c>
    </row>
    <row r="21">
      <c r="A21" t="s">
        <v>18</v>
      </c>
      <c r="B21" t="s">
        <v>199</v>
      </c>
      <c r="C21" t="s">
        <v>131</v>
      </c>
      <c r="D21" t="s">
        <v>200</v>
      </c>
      <c r="E21" t="s">
        <v>132</v>
      </c>
      <c r="F21" t="n">
        <v>15.4</v>
      </c>
      <c r="G21" t="n">
        <v>15.59</v>
      </c>
      <c r="H21" t="n">
        <v>15.76</v>
      </c>
      <c r="I21" t="n">
        <v>15.66</v>
      </c>
      <c r="J21" t="n">
        <v>16.23</v>
      </c>
      <c r="K21" t="n">
        <v>16.37</v>
      </c>
      <c r="L21" t="n">
        <v>17.55</v>
      </c>
      <c r="M21" t="n">
        <v>18.09</v>
      </c>
      <c r="N21" t="n">
        <v>19.35</v>
      </c>
      <c r="O21" t="n">
        <v>21.77</v>
      </c>
      <c r="P21" t="n">
        <v>22.99</v>
      </c>
      <c r="Q21" t="n">
        <v>24.84</v>
      </c>
      <c r="R21" t="n">
        <v>26.33</v>
      </c>
      <c r="S21" t="n">
        <v>25.26</v>
      </c>
      <c r="T21" t="n">
        <v>24.32</v>
      </c>
      <c r="U21" t="n">
        <v>23.84</v>
      </c>
      <c r="V21" t="n">
        <v>21.71</v>
      </c>
      <c r="W21" t="n">
        <v>18.46</v>
      </c>
      <c r="X21" t="n">
        <v>20.93</v>
      </c>
      <c r="Y21" t="n">
        <v>21.45</v>
      </c>
      <c r="Z21" t="n">
        <v>21.28</v>
      </c>
      <c r="AA21" t="n">
        <v>21.74</v>
      </c>
      <c r="AB21" t="n">
        <v>24.67</v>
      </c>
      <c r="AC21" t="n">
        <v>24.54</v>
      </c>
      <c r="AD21" t="n">
        <v>26.35</v>
      </c>
      <c r="AE21" t="n">
        <v>25.46</v>
      </c>
      <c r="AF21" t="n">
        <v>25.51</v>
      </c>
    </row>
    <row r="22">
      <c r="A22" t="s">
        <v>18</v>
      </c>
      <c r="B22" t="s">
        <v>201</v>
      </c>
      <c r="C22" t="s">
        <v>131</v>
      </c>
      <c r="D22" t="s">
        <v>202</v>
      </c>
      <c r="E22" t="s">
        <v>132</v>
      </c>
      <c r="F22" t="n">
        <v>4.1</v>
      </c>
      <c r="G22" t="n">
        <v>4.29</v>
      </c>
      <c r="H22" t="n">
        <v>4.46</v>
      </c>
      <c r="I22" t="n">
        <v>4.52</v>
      </c>
      <c r="J22" t="n">
        <v>5.25</v>
      </c>
      <c r="K22" t="n">
        <v>6.61</v>
      </c>
      <c r="L22" t="n">
        <v>6.6</v>
      </c>
      <c r="M22" t="n">
        <v>6.84</v>
      </c>
      <c r="N22" t="n">
        <v>6.71</v>
      </c>
      <c r="O22" t="n">
        <v>8.56</v>
      </c>
      <c r="P22" t="n">
        <v>10.62</v>
      </c>
      <c r="Q22" t="n">
        <v>13.8</v>
      </c>
      <c r="R22" t="n">
        <v>15.2</v>
      </c>
      <c r="S22" t="n">
        <v>13.63</v>
      </c>
      <c r="T22" t="n">
        <v>11.96</v>
      </c>
      <c r="U22" t="n">
        <v>11.96</v>
      </c>
      <c r="V22" t="n">
        <v>11.69</v>
      </c>
      <c r="W22" t="n">
        <v>9.23</v>
      </c>
      <c r="X22" t="n">
        <v>11.09</v>
      </c>
      <c r="Y22" t="n">
        <v>11.42</v>
      </c>
      <c r="Z22" t="n">
        <v>11.47</v>
      </c>
      <c r="AA22" t="n">
        <v>9.51</v>
      </c>
      <c r="AB22" t="n">
        <v>10.93</v>
      </c>
      <c r="AC22" t="n">
        <v>11.68</v>
      </c>
      <c r="AD22" t="n">
        <v>12.53</v>
      </c>
      <c r="AE22" t="n">
        <v>13.27</v>
      </c>
      <c r="AF22" t="n">
        <v>12.19</v>
      </c>
    </row>
    <row r="23">
      <c r="A23" t="s">
        <v>18</v>
      </c>
      <c r="B23" t="s">
        <v>203</v>
      </c>
      <c r="C23" t="s">
        <v>131</v>
      </c>
      <c r="D23" t="s">
        <v>204</v>
      </c>
      <c r="E23" t="s">
        <v>132</v>
      </c>
      <c r="F23" t="n">
        <v>101.4</v>
      </c>
      <c r="G23" t="n">
        <v>99.82</v>
      </c>
      <c r="H23" t="n">
        <v>101.3</v>
      </c>
      <c r="I23" t="n">
        <v>109.55</v>
      </c>
      <c r="J23" t="n">
        <v>124.41</v>
      </c>
      <c r="K23" t="n">
        <v>144.1</v>
      </c>
      <c r="L23" t="n">
        <v>153.3</v>
      </c>
      <c r="M23" t="n">
        <v>155.68</v>
      </c>
      <c r="N23" t="n">
        <v>161.13</v>
      </c>
      <c r="O23" t="n">
        <v>179.35</v>
      </c>
      <c r="P23" t="n">
        <v>204.67</v>
      </c>
      <c r="Q23" t="n">
        <v>228.14</v>
      </c>
      <c r="R23" t="n">
        <v>237.47</v>
      </c>
      <c r="S23" t="n">
        <v>208.71</v>
      </c>
      <c r="T23" t="n">
        <v>133.81</v>
      </c>
      <c r="U23" t="n">
        <v>100.02</v>
      </c>
      <c r="V23" t="n">
        <v>88.31</v>
      </c>
      <c r="W23" t="n">
        <v>83.51</v>
      </c>
      <c r="X23" t="n">
        <v>85.92</v>
      </c>
      <c r="Y23" t="n">
        <v>93.95</v>
      </c>
      <c r="Z23" t="n">
        <v>108.94</v>
      </c>
      <c r="AA23" t="n">
        <v>118.89</v>
      </c>
      <c r="AB23" t="n">
        <v>129.56</v>
      </c>
      <c r="AC23" t="n">
        <v>144.27</v>
      </c>
      <c r="AD23" t="n">
        <v>148.03</v>
      </c>
      <c r="AE23" t="n">
        <v>136.57</v>
      </c>
      <c r="AF23" t="n">
        <v>141.32</v>
      </c>
    </row>
    <row r="24">
      <c r="A24" t="s">
        <v>18</v>
      </c>
      <c r="B24" t="s">
        <v>205</v>
      </c>
      <c r="C24" t="s">
        <v>131</v>
      </c>
      <c r="D24" t="s">
        <v>206</v>
      </c>
      <c r="E24" t="s">
        <v>132</v>
      </c>
      <c r="F24" t="n">
        <v>215.04</v>
      </c>
      <c r="G24" t="n">
        <v>217.43</v>
      </c>
      <c r="H24" t="n">
        <v>219.81</v>
      </c>
      <c r="I24" t="n">
        <v>226.96</v>
      </c>
      <c r="J24" t="n">
        <v>240.11</v>
      </c>
      <c r="K24" t="n">
        <v>255.69</v>
      </c>
      <c r="L24" t="n">
        <v>261.8</v>
      </c>
      <c r="M24" t="n">
        <v>265.27</v>
      </c>
      <c r="N24" t="n">
        <v>270.26</v>
      </c>
      <c r="O24" t="n">
        <v>280.59</v>
      </c>
      <c r="P24" t="n">
        <v>294.41</v>
      </c>
      <c r="Q24" t="n">
        <v>304.91</v>
      </c>
      <c r="R24" t="n">
        <v>324.54</v>
      </c>
      <c r="S24" t="n">
        <v>327.5</v>
      </c>
      <c r="T24" t="n">
        <v>292.73</v>
      </c>
      <c r="U24" t="n">
        <v>282.45</v>
      </c>
      <c r="V24" t="n">
        <v>276.85</v>
      </c>
      <c r="W24" t="n">
        <v>275.72</v>
      </c>
      <c r="X24" t="n">
        <v>282.61</v>
      </c>
      <c r="Y24" t="n">
        <v>287.92</v>
      </c>
      <c r="Z24" t="n">
        <v>292.04</v>
      </c>
      <c r="AA24" t="n">
        <v>298.11</v>
      </c>
      <c r="AB24" t="n">
        <v>304.27</v>
      </c>
      <c r="AC24" t="n">
        <v>303.26</v>
      </c>
      <c r="AD24" t="n">
        <v>305.4</v>
      </c>
      <c r="AE24" t="n">
        <v>302.28</v>
      </c>
      <c r="AF24" t="n">
        <v>309.8</v>
      </c>
    </row>
    <row r="25">
      <c r="A25" t="s">
        <v>18</v>
      </c>
      <c r="B25" t="s">
        <v>207</v>
      </c>
      <c r="C25" t="s">
        <v>131</v>
      </c>
      <c r="D25" t="s">
        <v>208</v>
      </c>
      <c r="E25" t="s">
        <v>132</v>
      </c>
      <c r="F25" t="n">
        <v>32.97</v>
      </c>
      <c r="G25" t="n">
        <v>32.07</v>
      </c>
      <c r="H25" t="n">
        <v>29.97</v>
      </c>
      <c r="I25" t="n">
        <v>28.22</v>
      </c>
      <c r="J25" t="n">
        <v>31.32</v>
      </c>
      <c r="K25" t="n">
        <v>34.18</v>
      </c>
      <c r="L25" t="n">
        <v>34.08</v>
      </c>
      <c r="M25" t="n">
        <v>32.53</v>
      </c>
      <c r="N25" t="n">
        <v>33</v>
      </c>
      <c r="O25" t="n">
        <v>36.1</v>
      </c>
      <c r="P25" t="n">
        <v>38.59</v>
      </c>
      <c r="Q25" t="n">
        <v>40.3</v>
      </c>
      <c r="R25" t="n">
        <v>42.64</v>
      </c>
      <c r="S25" t="n">
        <v>42.03</v>
      </c>
      <c r="T25" t="n">
        <v>34.2</v>
      </c>
      <c r="U25" t="n">
        <v>33.73</v>
      </c>
      <c r="V25" t="n">
        <v>33.56</v>
      </c>
      <c r="W25" t="n">
        <v>32.5</v>
      </c>
      <c r="X25" t="n">
        <v>33.09</v>
      </c>
      <c r="Y25" t="n">
        <v>38</v>
      </c>
      <c r="Z25" t="n">
        <v>40.94</v>
      </c>
      <c r="AA25" t="n">
        <v>40.37</v>
      </c>
      <c r="AB25" t="n">
        <v>34.9</v>
      </c>
      <c r="AC25" t="n">
        <v>33.63</v>
      </c>
      <c r="AD25" t="n">
        <v>39.26</v>
      </c>
      <c r="AE25" t="n">
        <v>29.9</v>
      </c>
      <c r="AF25" t="n">
        <v>28.62</v>
      </c>
    </row>
    <row r="26">
      <c r="A26" t="s">
        <v>18</v>
      </c>
      <c r="B26" t="s">
        <v>209</v>
      </c>
      <c r="C26" t="s">
        <v>131</v>
      </c>
      <c r="D26" t="s">
        <v>210</v>
      </c>
      <c r="E26" t="s">
        <v>132</v>
      </c>
      <c r="F26" t="n">
        <v>46.87</v>
      </c>
      <c r="G26" t="n">
        <v>46.76</v>
      </c>
      <c r="H26" t="n">
        <v>47.09</v>
      </c>
      <c r="I26" t="n">
        <v>48.78</v>
      </c>
      <c r="J26" t="n">
        <v>48.15</v>
      </c>
      <c r="K26" t="n">
        <v>52.36</v>
      </c>
      <c r="L26" t="n">
        <v>52.01</v>
      </c>
      <c r="M26" t="n">
        <v>51.41</v>
      </c>
      <c r="N26" t="n">
        <v>47.36</v>
      </c>
      <c r="O26" t="n">
        <v>49.05</v>
      </c>
      <c r="P26" t="n">
        <v>55.71</v>
      </c>
      <c r="Q26" t="n">
        <v>59.95</v>
      </c>
      <c r="R26" t="n">
        <v>63.93</v>
      </c>
      <c r="S26" t="n">
        <v>66.42</v>
      </c>
      <c r="T26" t="n">
        <v>53.51</v>
      </c>
      <c r="U26" t="n">
        <v>53.58</v>
      </c>
      <c r="V26" t="n">
        <v>51.06</v>
      </c>
      <c r="W26" t="n">
        <v>52.9</v>
      </c>
      <c r="X26" t="n">
        <v>60.63</v>
      </c>
      <c r="Y26" t="n">
        <v>54.61</v>
      </c>
      <c r="Z26" t="n">
        <v>52.67</v>
      </c>
      <c r="AA26" t="n">
        <v>52.91</v>
      </c>
      <c r="AB26" t="n">
        <v>57.32</v>
      </c>
      <c r="AC26" t="n">
        <v>51.57</v>
      </c>
      <c r="AD26" t="n">
        <v>50.57</v>
      </c>
      <c r="AE26" t="n">
        <v>59.56</v>
      </c>
      <c r="AF26" t="n">
        <v>61.88</v>
      </c>
    </row>
    <row r="27">
      <c r="A27" t="s">
        <v>18</v>
      </c>
      <c r="B27" t="s">
        <v>211</v>
      </c>
      <c r="C27" t="s">
        <v>131</v>
      </c>
      <c r="D27" t="s">
        <v>212</v>
      </c>
      <c r="E27" t="s">
        <v>132</v>
      </c>
      <c r="F27" t="n">
        <v>135.2</v>
      </c>
      <c r="G27" t="n">
        <v>138.6</v>
      </c>
      <c r="H27" t="n">
        <v>142.75</v>
      </c>
      <c r="I27" t="n">
        <v>149.96</v>
      </c>
      <c r="J27" t="n">
        <v>160.64</v>
      </c>
      <c r="K27" t="n">
        <v>169.15</v>
      </c>
      <c r="L27" t="n">
        <v>175.71</v>
      </c>
      <c r="M27" t="n">
        <v>181.33</v>
      </c>
      <c r="N27" t="n">
        <v>189.9</v>
      </c>
      <c r="O27" t="n">
        <v>195.44</v>
      </c>
      <c r="P27" t="n">
        <v>200.11</v>
      </c>
      <c r="Q27" t="n">
        <v>204.66</v>
      </c>
      <c r="R27" t="n">
        <v>217.97</v>
      </c>
      <c r="S27" t="n">
        <v>219.05</v>
      </c>
      <c r="T27" t="n">
        <v>205.02</v>
      </c>
      <c r="U27" t="n">
        <v>195.14</v>
      </c>
      <c r="V27" t="n">
        <v>192.23</v>
      </c>
      <c r="W27" t="n">
        <v>190.32</v>
      </c>
      <c r="X27" t="n">
        <v>188.89</v>
      </c>
      <c r="Y27" t="n">
        <v>195.31</v>
      </c>
      <c r="Z27" t="n">
        <v>198.43</v>
      </c>
      <c r="AA27" t="n">
        <v>204.83</v>
      </c>
      <c r="AB27" t="n">
        <v>212.05</v>
      </c>
      <c r="AC27" t="n">
        <v>218.06</v>
      </c>
      <c r="AD27" t="n">
        <v>215.57</v>
      </c>
      <c r="AE27" t="n">
        <v>212.82</v>
      </c>
      <c r="AF27" t="n">
        <v>219.3</v>
      </c>
    </row>
    <row r="28">
      <c r="A28" t="s">
        <v>18</v>
      </c>
      <c r="B28" t="s">
        <v>213</v>
      </c>
      <c r="C28" t="s">
        <v>131</v>
      </c>
      <c r="D28" t="s">
        <v>214</v>
      </c>
      <c r="E28" t="s">
        <v>132</v>
      </c>
      <c r="F28" t="n">
        <v>63.43</v>
      </c>
      <c r="G28" t="n">
        <v>64.88</v>
      </c>
      <c r="H28" t="n">
        <v>66.14</v>
      </c>
      <c r="I28" t="n">
        <v>67.93</v>
      </c>
      <c r="J28" t="n">
        <v>75.1</v>
      </c>
      <c r="K28" t="n">
        <v>78.07</v>
      </c>
      <c r="L28" t="n">
        <v>83.96</v>
      </c>
      <c r="M28" t="n">
        <v>86.71</v>
      </c>
      <c r="N28" t="n">
        <v>87.41</v>
      </c>
      <c r="O28" t="n">
        <v>90.07</v>
      </c>
      <c r="P28" t="n">
        <v>91.7</v>
      </c>
      <c r="Q28" t="n">
        <v>91.74</v>
      </c>
      <c r="R28" t="n">
        <v>92.89</v>
      </c>
      <c r="S28" t="n">
        <v>91.61</v>
      </c>
      <c r="T28" t="n">
        <v>90.92</v>
      </c>
      <c r="U28" t="n">
        <v>87.49</v>
      </c>
      <c r="V28" t="n">
        <v>88.05</v>
      </c>
      <c r="W28" t="n">
        <v>83.46</v>
      </c>
      <c r="X28" t="n">
        <v>83.18</v>
      </c>
      <c r="Y28" t="n">
        <v>85.7</v>
      </c>
      <c r="Z28" t="n">
        <v>89.11</v>
      </c>
      <c r="AA28" t="n">
        <v>93.38</v>
      </c>
      <c r="AB28" t="n">
        <v>93.81</v>
      </c>
      <c r="AC28" t="n">
        <v>98.71</v>
      </c>
      <c r="AD28" t="n">
        <v>106.45</v>
      </c>
      <c r="AE28" t="n">
        <v>100.95</v>
      </c>
      <c r="AF28" t="n">
        <v>103.17</v>
      </c>
    </row>
    <row r="29">
      <c r="A29" t="s">
        <v>18</v>
      </c>
      <c r="B29" t="s">
        <v>215</v>
      </c>
      <c r="C29" t="s">
        <v>131</v>
      </c>
      <c r="D29" t="s">
        <v>216</v>
      </c>
      <c r="E29" t="s">
        <v>132</v>
      </c>
      <c r="F29" t="n">
        <v>31.12</v>
      </c>
      <c r="G29" t="n">
        <v>31.94</v>
      </c>
      <c r="H29" t="n">
        <v>32.75</v>
      </c>
      <c r="I29" t="n">
        <v>34.28</v>
      </c>
      <c r="J29" t="n">
        <v>38.93</v>
      </c>
      <c r="K29" t="n">
        <v>39.83</v>
      </c>
      <c r="L29" t="n">
        <v>44.4</v>
      </c>
      <c r="M29" t="n">
        <v>47.19</v>
      </c>
      <c r="N29" t="n">
        <v>44.83</v>
      </c>
      <c r="O29" t="n">
        <v>52.59</v>
      </c>
      <c r="P29" t="n">
        <v>54.06</v>
      </c>
      <c r="Q29" t="n">
        <v>49.91</v>
      </c>
      <c r="R29" t="n">
        <v>52.19</v>
      </c>
      <c r="S29" t="n">
        <v>52.24</v>
      </c>
      <c r="T29" t="n">
        <v>50.13</v>
      </c>
      <c r="U29" t="n">
        <v>46.82</v>
      </c>
      <c r="V29" t="n">
        <v>47.76</v>
      </c>
      <c r="W29" t="n">
        <v>44.08</v>
      </c>
      <c r="X29" t="n">
        <v>43.34</v>
      </c>
      <c r="Y29" t="n">
        <v>45.31</v>
      </c>
      <c r="Z29" t="n">
        <v>46.73</v>
      </c>
      <c r="AA29" t="n">
        <v>50.56</v>
      </c>
      <c r="AB29" t="n">
        <v>50.23</v>
      </c>
      <c r="AC29" t="n">
        <v>51.3</v>
      </c>
      <c r="AD29" t="n">
        <v>51.11</v>
      </c>
      <c r="AE29" t="n">
        <v>51.52</v>
      </c>
      <c r="AF29" t="n">
        <v>50.33</v>
      </c>
    </row>
    <row r="30">
      <c r="A30" t="s">
        <v>18</v>
      </c>
      <c r="B30" t="s">
        <v>217</v>
      </c>
      <c r="C30" t="s">
        <v>131</v>
      </c>
      <c r="D30" t="s">
        <v>218</v>
      </c>
      <c r="E30" t="s">
        <v>132</v>
      </c>
      <c r="F30" t="n">
        <v>3.39</v>
      </c>
      <c r="G30" t="n">
        <v>3.39</v>
      </c>
      <c r="H30" t="n">
        <v>3.45</v>
      </c>
      <c r="I30" t="n">
        <v>3.24</v>
      </c>
      <c r="J30" t="n">
        <v>3.29</v>
      </c>
      <c r="K30" t="n">
        <v>3.29</v>
      </c>
      <c r="L30" t="n">
        <v>3.43</v>
      </c>
      <c r="M30" t="n">
        <v>3.43</v>
      </c>
      <c r="N30" t="n">
        <v>3.35</v>
      </c>
      <c r="O30" t="n">
        <v>4.52</v>
      </c>
      <c r="P30" t="n">
        <v>3.31</v>
      </c>
      <c r="Q30" t="n">
        <v>2.64</v>
      </c>
      <c r="R30" t="n">
        <v>2.42</v>
      </c>
      <c r="S30" t="n">
        <v>1.77</v>
      </c>
      <c r="T30" t="n">
        <v>2.09</v>
      </c>
      <c r="U30" t="n">
        <v>2.46</v>
      </c>
      <c r="V30" t="n">
        <v>1.84</v>
      </c>
      <c r="W30" t="n">
        <v>1.27</v>
      </c>
      <c r="X30" t="n">
        <v>1.79</v>
      </c>
      <c r="Y30" t="n">
        <v>1.99</v>
      </c>
      <c r="Z30" t="n">
        <v>1.87</v>
      </c>
      <c r="AA30" t="n">
        <v>1.84</v>
      </c>
      <c r="AB30" t="n">
        <v>2.15</v>
      </c>
      <c r="AC30" t="n">
        <v>2.29</v>
      </c>
      <c r="AD30" t="n">
        <v>1.72</v>
      </c>
      <c r="AE30" t="n">
        <v>1.9</v>
      </c>
      <c r="AF30" t="n">
        <v>2.39</v>
      </c>
    </row>
    <row r="31">
      <c r="A31" t="s">
        <v>18</v>
      </c>
      <c r="B31" t="s">
        <v>219</v>
      </c>
      <c r="C31" t="s">
        <v>131</v>
      </c>
      <c r="D31" t="s">
        <v>220</v>
      </c>
      <c r="E31" t="s">
        <v>132</v>
      </c>
      <c r="F31" t="n">
        <v>7.9</v>
      </c>
      <c r="G31" t="n">
        <v>7.75</v>
      </c>
      <c r="H31" t="n">
        <v>7.34</v>
      </c>
      <c r="I31" t="n">
        <v>7.23</v>
      </c>
      <c r="J31" t="n">
        <v>8.1</v>
      </c>
      <c r="K31" t="n">
        <v>8.32</v>
      </c>
      <c r="L31" t="n">
        <v>7.95</v>
      </c>
      <c r="M31" t="n">
        <v>7.99</v>
      </c>
      <c r="N31" t="n">
        <v>7.91</v>
      </c>
      <c r="O31" t="n">
        <v>7.18</v>
      </c>
      <c r="P31" t="n">
        <v>5.86</v>
      </c>
      <c r="Q31" t="n">
        <v>8.41</v>
      </c>
      <c r="R31" t="n">
        <v>7.65</v>
      </c>
      <c r="S31" t="n">
        <v>7.43</v>
      </c>
      <c r="T31" t="n">
        <v>8.5</v>
      </c>
      <c r="U31" t="n">
        <v>9.4</v>
      </c>
      <c r="V31" t="n">
        <v>8.13</v>
      </c>
      <c r="W31" t="n">
        <v>8.78</v>
      </c>
      <c r="X31" t="n">
        <v>9.05</v>
      </c>
      <c r="Y31" t="n">
        <v>10.62</v>
      </c>
      <c r="Z31" t="n">
        <v>10.36</v>
      </c>
      <c r="AA31" t="n">
        <v>7.75</v>
      </c>
      <c r="AB31" t="n">
        <v>7.12</v>
      </c>
      <c r="AC31" t="n">
        <v>6.68</v>
      </c>
      <c r="AD31" t="n">
        <v>8.07</v>
      </c>
      <c r="AE31" t="n">
        <v>8.12</v>
      </c>
      <c r="AF31" t="n">
        <v>7.47</v>
      </c>
    </row>
    <row r="32">
      <c r="A32" t="s">
        <v>18</v>
      </c>
      <c r="B32" t="s">
        <v>221</v>
      </c>
      <c r="C32" t="s">
        <v>131</v>
      </c>
      <c r="D32" t="s">
        <v>222</v>
      </c>
      <c r="E32" t="s">
        <v>132</v>
      </c>
      <c r="F32" t="n">
        <v>6.55</v>
      </c>
      <c r="G32" t="n">
        <v>7.33</v>
      </c>
      <c r="H32" t="n">
        <v>8.1</v>
      </c>
      <c r="I32" t="n">
        <v>8.58</v>
      </c>
      <c r="J32" t="n">
        <v>10.16</v>
      </c>
      <c r="K32" t="n">
        <v>11.5</v>
      </c>
      <c r="L32" t="n">
        <v>11.98</v>
      </c>
      <c r="M32" t="n">
        <v>10.45</v>
      </c>
      <c r="N32" t="n">
        <v>14.91</v>
      </c>
      <c r="O32" t="n">
        <v>12.29</v>
      </c>
      <c r="P32" t="n">
        <v>13.63</v>
      </c>
      <c r="Q32" t="n">
        <v>13.5</v>
      </c>
      <c r="R32" t="n">
        <v>14.54</v>
      </c>
      <c r="S32" t="n">
        <v>13.56</v>
      </c>
      <c r="T32" t="n">
        <v>13.6</v>
      </c>
      <c r="U32" t="n">
        <v>13.17</v>
      </c>
      <c r="V32" t="n">
        <v>13.7</v>
      </c>
      <c r="W32" t="n">
        <v>13.26</v>
      </c>
      <c r="X32" t="n">
        <v>13.49</v>
      </c>
      <c r="Y32" t="n">
        <v>12.82</v>
      </c>
      <c r="Z32" t="n">
        <v>14.21</v>
      </c>
      <c r="AA32" t="n">
        <v>17.96</v>
      </c>
      <c r="AB32" t="n">
        <v>19.41</v>
      </c>
      <c r="AC32" t="n">
        <v>21.56</v>
      </c>
      <c r="AD32" t="n">
        <v>27.97</v>
      </c>
      <c r="AE32" t="n">
        <v>22.61</v>
      </c>
      <c r="AF32" t="n">
        <v>23.43</v>
      </c>
    </row>
    <row r="33">
      <c r="A33" t="s">
        <v>18</v>
      </c>
      <c r="B33" t="s">
        <v>223</v>
      </c>
      <c r="C33" t="s">
        <v>131</v>
      </c>
      <c r="D33" t="s">
        <v>224</v>
      </c>
      <c r="E33" t="s">
        <v>132</v>
      </c>
      <c r="F33" t="n">
        <v>14.47</v>
      </c>
      <c r="G33" t="n">
        <v>14.47</v>
      </c>
      <c r="H33" t="n">
        <v>14.5</v>
      </c>
      <c r="I33" t="n">
        <v>14.6</v>
      </c>
      <c r="J33" t="n">
        <v>14.62</v>
      </c>
      <c r="K33" t="n">
        <v>15.13</v>
      </c>
      <c r="L33" t="n">
        <v>16.2</v>
      </c>
      <c r="M33" t="n">
        <v>17.65</v>
      </c>
      <c r="N33" t="n">
        <v>16.41</v>
      </c>
      <c r="O33" t="n">
        <v>13.49</v>
      </c>
      <c r="P33" t="n">
        <v>14.84</v>
      </c>
      <c r="Q33" t="n">
        <v>17.28</v>
      </c>
      <c r="R33" t="n">
        <v>16.09</v>
      </c>
      <c r="S33" t="n">
        <v>16.61</v>
      </c>
      <c r="T33" t="n">
        <v>16.6</v>
      </c>
      <c r="U33" t="n">
        <v>15.64</v>
      </c>
      <c r="V33" t="n">
        <v>16.62</v>
      </c>
      <c r="W33" t="n">
        <v>16.07</v>
      </c>
      <c r="X33" t="n">
        <v>15.51</v>
      </c>
      <c r="Y33" t="n">
        <v>14.96</v>
      </c>
      <c r="Z33" t="n">
        <v>15.94</v>
      </c>
      <c r="AA33" t="n">
        <v>15.27</v>
      </c>
      <c r="AB33" t="n">
        <v>14.9</v>
      </c>
      <c r="AC33" t="n">
        <v>16.88</v>
      </c>
      <c r="AD33" t="n">
        <v>17.58</v>
      </c>
      <c r="AE33" t="n">
        <v>16.8</v>
      </c>
      <c r="AF33" t="n">
        <v>19.55</v>
      </c>
    </row>
    <row r="34">
      <c r="A34" t="s">
        <v>18</v>
      </c>
      <c r="B34" t="s">
        <v>225</v>
      </c>
      <c r="C34" t="s">
        <v>131</v>
      </c>
      <c r="D34" t="s">
        <v>226</v>
      </c>
      <c r="E34" t="s">
        <v>132</v>
      </c>
      <c r="F34" t="n">
        <v>100.24</v>
      </c>
      <c r="G34" t="n">
        <v>100.26</v>
      </c>
      <c r="H34" t="n">
        <v>100.57</v>
      </c>
      <c r="I34" t="n">
        <v>106.06</v>
      </c>
      <c r="J34" t="n">
        <v>111.13</v>
      </c>
      <c r="K34" t="n">
        <v>115.77</v>
      </c>
      <c r="L34" t="n">
        <v>114.95</v>
      </c>
      <c r="M34" t="n">
        <v>115.92</v>
      </c>
      <c r="N34" t="n">
        <v>122.28</v>
      </c>
      <c r="O34" t="n">
        <v>115.75</v>
      </c>
      <c r="P34" t="n">
        <v>120.21</v>
      </c>
      <c r="Q34" t="n">
        <v>127.77</v>
      </c>
      <c r="R34" t="n">
        <v>143.03</v>
      </c>
      <c r="S34" t="n">
        <v>136.63</v>
      </c>
      <c r="T34" t="n">
        <v>132.85</v>
      </c>
      <c r="U34" t="n">
        <v>130.61</v>
      </c>
      <c r="V34" t="n">
        <v>119.82</v>
      </c>
      <c r="W34" t="n">
        <v>123.9</v>
      </c>
      <c r="X34" t="n">
        <v>137.44</v>
      </c>
      <c r="Y34" t="n">
        <v>145.23</v>
      </c>
      <c r="Z34" t="n">
        <v>148.76</v>
      </c>
      <c r="AA34" t="n">
        <v>157.28</v>
      </c>
      <c r="AB34" t="n">
        <v>164.96</v>
      </c>
      <c r="AC34" t="n">
        <v>178.22</v>
      </c>
      <c r="AD34" t="n">
        <v>180.2</v>
      </c>
      <c r="AE34" t="n">
        <v>137.65</v>
      </c>
      <c r="AF34" t="n">
        <v>141.55</v>
      </c>
    </row>
    <row r="35">
      <c r="A35" t="s">
        <v>18</v>
      </c>
      <c r="B35" t="s">
        <v>227</v>
      </c>
      <c r="C35" t="s">
        <v>131</v>
      </c>
      <c r="D35" t="s">
        <v>228</v>
      </c>
      <c r="E35" t="s">
        <v>132</v>
      </c>
      <c r="F35" t="n">
        <v>53.35</v>
      </c>
      <c r="G35" t="n">
        <v>56.51</v>
      </c>
      <c r="H35" t="n">
        <v>60.61</v>
      </c>
      <c r="I35" t="n">
        <v>65.39</v>
      </c>
      <c r="J35" t="n">
        <v>75.81</v>
      </c>
      <c r="K35" t="n">
        <v>77</v>
      </c>
      <c r="L35" t="n">
        <v>78.96</v>
      </c>
      <c r="M35" t="n">
        <v>80.71</v>
      </c>
      <c r="N35" t="n">
        <v>77.1</v>
      </c>
      <c r="O35" t="n">
        <v>76.2</v>
      </c>
      <c r="P35" t="n">
        <v>82.37</v>
      </c>
      <c r="Q35" t="n">
        <v>84.53</v>
      </c>
      <c r="R35" t="n">
        <v>84.51</v>
      </c>
      <c r="S35" t="n">
        <v>87.22</v>
      </c>
      <c r="T35" t="n">
        <v>88.54</v>
      </c>
      <c r="U35" t="n">
        <v>88.46</v>
      </c>
      <c r="V35" t="n">
        <v>89.52</v>
      </c>
      <c r="W35" t="n">
        <v>94.14</v>
      </c>
      <c r="X35" t="n">
        <v>95.98</v>
      </c>
      <c r="Y35" t="n">
        <v>98.22</v>
      </c>
      <c r="Z35" t="n">
        <v>102.13</v>
      </c>
      <c r="AA35" t="n">
        <v>108.61</v>
      </c>
      <c r="AB35" t="n">
        <v>116.03</v>
      </c>
      <c r="AC35" t="n">
        <v>118.74</v>
      </c>
      <c r="AD35" t="n">
        <v>124.87</v>
      </c>
      <c r="AE35" t="n">
        <v>133.77</v>
      </c>
      <c r="AF35" t="n">
        <v>153.29</v>
      </c>
    </row>
    <row r="36">
      <c r="A36" t="s">
        <v>18</v>
      </c>
      <c r="B36" t="s">
        <v>229</v>
      </c>
      <c r="C36" t="s">
        <v>131</v>
      </c>
      <c r="D36" t="s">
        <v>230</v>
      </c>
      <c r="E36" t="s">
        <v>132</v>
      </c>
      <c r="F36" t="n">
        <v>14.78</v>
      </c>
      <c r="G36" t="n">
        <v>14.77</v>
      </c>
      <c r="H36" t="n">
        <v>14.74</v>
      </c>
      <c r="I36" t="n">
        <v>14.75</v>
      </c>
      <c r="J36" t="n">
        <v>15.24</v>
      </c>
      <c r="K36" t="n">
        <v>14.18</v>
      </c>
      <c r="L36" t="n">
        <v>13.48</v>
      </c>
      <c r="M36" t="n">
        <v>14.32</v>
      </c>
      <c r="N36" t="n">
        <v>15.63</v>
      </c>
      <c r="O36" t="n">
        <v>15.49</v>
      </c>
      <c r="P36" t="n">
        <v>15.21</v>
      </c>
      <c r="Q36" t="n">
        <v>14.93</v>
      </c>
      <c r="R36" t="n">
        <v>15.11</v>
      </c>
      <c r="S36" t="n">
        <v>15.15</v>
      </c>
      <c r="T36" t="n">
        <v>14.79</v>
      </c>
      <c r="U36" t="n">
        <v>14.59</v>
      </c>
      <c r="V36" t="n">
        <v>15.61</v>
      </c>
      <c r="W36" t="n">
        <v>14.08</v>
      </c>
      <c r="X36" t="n">
        <v>15.16</v>
      </c>
      <c r="Y36" t="n">
        <v>16.89</v>
      </c>
      <c r="Z36" t="n">
        <v>14.47</v>
      </c>
      <c r="AA36" t="n">
        <v>16.4</v>
      </c>
      <c r="AB36" t="n">
        <v>16.67</v>
      </c>
      <c r="AC36" t="n">
        <v>16.35</v>
      </c>
      <c r="AD36" t="n">
        <v>19.71</v>
      </c>
      <c r="AE36" t="n">
        <v>16.46</v>
      </c>
      <c r="AF36" t="n">
        <v>18.26</v>
      </c>
    </row>
    <row r="37">
      <c r="A37" t="s">
        <v>18</v>
      </c>
      <c r="B37" t="s">
        <v>231</v>
      </c>
      <c r="C37" t="s">
        <v>131</v>
      </c>
      <c r="D37" t="s">
        <v>232</v>
      </c>
      <c r="E37" t="s">
        <v>132</v>
      </c>
      <c r="F37" t="n">
        <v>16.87</v>
      </c>
      <c r="G37" t="n">
        <v>16.85</v>
      </c>
      <c r="H37" t="n">
        <v>16.82</v>
      </c>
      <c r="I37" t="n">
        <v>18.76</v>
      </c>
      <c r="J37" t="n">
        <v>21.54</v>
      </c>
      <c r="K37" t="n">
        <v>23.9</v>
      </c>
      <c r="L37" t="n">
        <v>24.16</v>
      </c>
      <c r="M37" t="n">
        <v>22.59</v>
      </c>
      <c r="N37" t="n">
        <v>21.25</v>
      </c>
      <c r="O37" t="n">
        <v>21.7</v>
      </c>
      <c r="P37" t="n">
        <v>24.18</v>
      </c>
      <c r="Q37" t="n">
        <v>25.51</v>
      </c>
      <c r="R37" t="n">
        <v>24.17</v>
      </c>
      <c r="S37" t="n">
        <v>24.44</v>
      </c>
      <c r="T37" t="n">
        <v>24.19</v>
      </c>
      <c r="U37" t="n">
        <v>22.06</v>
      </c>
      <c r="V37" t="n">
        <v>22.87</v>
      </c>
      <c r="W37" t="n">
        <v>21.02</v>
      </c>
      <c r="X37" t="n">
        <v>20.14</v>
      </c>
      <c r="Y37" t="n">
        <v>19</v>
      </c>
      <c r="Z37" t="n">
        <v>19.32</v>
      </c>
      <c r="AA37" t="n">
        <v>16.76</v>
      </c>
      <c r="AB37" t="n">
        <v>16.45</v>
      </c>
      <c r="AC37" t="n">
        <v>17.02</v>
      </c>
      <c r="AD37" t="n">
        <v>17.33</v>
      </c>
      <c r="AE37" t="n">
        <v>21.81</v>
      </c>
      <c r="AF37" t="n">
        <v>22.21</v>
      </c>
    </row>
    <row r="38">
      <c r="A38" t="s">
        <v>18</v>
      </c>
      <c r="B38" t="s">
        <v>233</v>
      </c>
      <c r="C38" t="s">
        <v>131</v>
      </c>
      <c r="D38" t="s">
        <v>234</v>
      </c>
      <c r="E38" t="s">
        <v>132</v>
      </c>
      <c r="F38" t="n">
        <v>21.7</v>
      </c>
      <c r="G38" t="n">
        <v>24.89</v>
      </c>
      <c r="H38" t="n">
        <v>29.05</v>
      </c>
      <c r="I38" t="n">
        <v>31.88</v>
      </c>
      <c r="J38" t="n">
        <v>39.03</v>
      </c>
      <c r="K38" t="n">
        <v>38.92</v>
      </c>
      <c r="L38" t="n">
        <v>41.32</v>
      </c>
      <c r="M38" t="n">
        <v>43.8</v>
      </c>
      <c r="N38" t="n">
        <v>40.22</v>
      </c>
      <c r="O38" t="n">
        <v>39.01</v>
      </c>
      <c r="P38" t="n">
        <v>42.98</v>
      </c>
      <c r="Q38" t="n">
        <v>44.09</v>
      </c>
      <c r="R38" t="n">
        <v>45.23</v>
      </c>
      <c r="S38" t="n">
        <v>47.63</v>
      </c>
      <c r="T38" t="n">
        <v>49.56</v>
      </c>
      <c r="U38" t="n">
        <v>51.81</v>
      </c>
      <c r="V38" t="n">
        <v>51.04</v>
      </c>
      <c r="W38" t="n">
        <v>59.04</v>
      </c>
      <c r="X38" t="n">
        <v>60.68</v>
      </c>
      <c r="Y38" t="n">
        <v>62.33</v>
      </c>
      <c r="Z38" t="n">
        <v>68.34</v>
      </c>
      <c r="AA38" t="n">
        <v>75.45</v>
      </c>
      <c r="AB38" t="n">
        <v>82.91</v>
      </c>
      <c r="AC38" t="n">
        <v>85.37</v>
      </c>
      <c r="AD38" t="n">
        <v>87.83</v>
      </c>
      <c r="AE38" t="n">
        <v>95.5</v>
      </c>
      <c r="AF38" t="n">
        <v>112.82</v>
      </c>
    </row>
    <row r="39">
      <c r="A39" t="s">
        <v>18</v>
      </c>
      <c r="B39" t="s">
        <v>235</v>
      </c>
      <c r="C39" t="s">
        <v>131</v>
      </c>
      <c r="D39" t="s">
        <v>236</v>
      </c>
      <c r="E39" t="s">
        <v>132</v>
      </c>
      <c r="F39" t="n">
        <v>56.66</v>
      </c>
      <c r="G39" t="n">
        <v>57.25</v>
      </c>
      <c r="H39" t="n">
        <v>57.82</v>
      </c>
      <c r="I39" t="n">
        <v>60.04</v>
      </c>
      <c r="J39" t="n">
        <v>67.3</v>
      </c>
      <c r="K39" t="n">
        <v>72.62</v>
      </c>
      <c r="L39" t="n">
        <v>74.6</v>
      </c>
      <c r="M39" t="n">
        <v>75.01</v>
      </c>
      <c r="N39" t="n">
        <v>79.61</v>
      </c>
      <c r="O39" t="n">
        <v>87.79</v>
      </c>
      <c r="P39" t="n">
        <v>90.53</v>
      </c>
      <c r="Q39" t="n">
        <v>92.42</v>
      </c>
      <c r="R39" t="n">
        <v>96.95</v>
      </c>
      <c r="S39" t="n">
        <v>100.12</v>
      </c>
      <c r="T39" t="n">
        <v>101.41</v>
      </c>
      <c r="U39" t="n">
        <v>94.69</v>
      </c>
      <c r="V39" t="n">
        <v>93.97</v>
      </c>
      <c r="W39" t="n">
        <v>92.43</v>
      </c>
      <c r="X39" t="n">
        <v>93.56</v>
      </c>
      <c r="Y39" t="n">
        <v>94.64</v>
      </c>
      <c r="Z39" t="n">
        <v>94.49</v>
      </c>
      <c r="AA39" t="n">
        <v>97.35</v>
      </c>
      <c r="AB39" t="n">
        <v>96.49</v>
      </c>
      <c r="AC39" t="n">
        <v>96.01</v>
      </c>
      <c r="AD39" t="n">
        <v>104.09</v>
      </c>
      <c r="AE39" t="n">
        <v>112.35</v>
      </c>
      <c r="AF39" t="n">
        <v>120.56</v>
      </c>
    </row>
    <row r="40">
      <c r="A40" t="s">
        <v>18</v>
      </c>
      <c r="B40" t="s">
        <v>237</v>
      </c>
      <c r="C40" t="s">
        <v>131</v>
      </c>
      <c r="D40" t="s">
        <v>238</v>
      </c>
      <c r="E40" t="s">
        <v>132</v>
      </c>
      <c r="F40" t="n">
        <v>5.46</v>
      </c>
      <c r="G40" t="n">
        <v>5.46</v>
      </c>
      <c r="H40" t="n">
        <v>5.46</v>
      </c>
      <c r="I40" t="n">
        <v>5.55</v>
      </c>
      <c r="J40" t="n">
        <v>6.18</v>
      </c>
      <c r="K40" t="n">
        <v>6.83</v>
      </c>
      <c r="L40" t="n">
        <v>7.45</v>
      </c>
      <c r="M40" t="n">
        <v>7.87</v>
      </c>
      <c r="N40" t="n">
        <v>7.64</v>
      </c>
      <c r="O40" t="n">
        <v>6.08</v>
      </c>
      <c r="P40" t="n">
        <v>8.37</v>
      </c>
      <c r="Q40" t="n">
        <v>10.09</v>
      </c>
      <c r="R40" t="n">
        <v>11.46</v>
      </c>
      <c r="S40" t="n">
        <v>11.27</v>
      </c>
      <c r="T40" t="n">
        <v>9.79</v>
      </c>
      <c r="U40" t="n">
        <v>9.51</v>
      </c>
      <c r="V40" t="n">
        <v>9.61</v>
      </c>
      <c r="W40" t="n">
        <v>10.29</v>
      </c>
      <c r="X40" t="n">
        <v>8.55</v>
      </c>
      <c r="Y40" t="n">
        <v>9.86</v>
      </c>
      <c r="Z40" t="n">
        <v>11.33</v>
      </c>
      <c r="AA40" t="n">
        <v>11.22</v>
      </c>
      <c r="AB40" t="n">
        <v>10.91</v>
      </c>
      <c r="AC40" t="n">
        <v>10.29</v>
      </c>
      <c r="AD40" t="n">
        <v>9.79</v>
      </c>
      <c r="AE40" t="n">
        <v>13.17</v>
      </c>
      <c r="AF40" t="n">
        <v>12.78</v>
      </c>
    </row>
    <row r="41">
      <c r="A41" t="s">
        <v>18</v>
      </c>
      <c r="B41" t="s">
        <v>239</v>
      </c>
      <c r="C41" t="s">
        <v>131</v>
      </c>
      <c r="D41" t="s">
        <v>240</v>
      </c>
      <c r="E41" t="s">
        <v>132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18</v>
      </c>
      <c r="B42" t="s">
        <v>241</v>
      </c>
      <c r="C42" t="s">
        <v>131</v>
      </c>
      <c r="D42" t="s">
        <v>242</v>
      </c>
      <c r="E42" t="s">
        <v>132</v>
      </c>
      <c r="F42" t="n">
        <v>66.49</v>
      </c>
      <c r="G42" t="n">
        <v>68.6</v>
      </c>
      <c r="H42" t="n">
        <v>70.68</v>
      </c>
      <c r="I42" t="n">
        <v>74.02</v>
      </c>
      <c r="J42" t="n">
        <v>81.6</v>
      </c>
      <c r="K42" t="n">
        <v>87.46</v>
      </c>
      <c r="L42" t="n">
        <v>91.69</v>
      </c>
      <c r="M42" t="n">
        <v>92.99</v>
      </c>
      <c r="N42" t="n">
        <v>97.86</v>
      </c>
      <c r="O42" t="n">
        <v>105.48</v>
      </c>
      <c r="P42" t="n">
        <v>112.13</v>
      </c>
      <c r="Q42" t="n">
        <v>116.89</v>
      </c>
      <c r="R42" t="n">
        <v>125.17</v>
      </c>
      <c r="S42" t="n">
        <v>126.04</v>
      </c>
      <c r="T42" t="n">
        <v>112.29</v>
      </c>
      <c r="U42" t="n">
        <v>107.49</v>
      </c>
      <c r="V42" t="n">
        <v>106.42</v>
      </c>
      <c r="W42" t="n">
        <v>107.18</v>
      </c>
      <c r="X42" t="n">
        <v>119.03</v>
      </c>
      <c r="Y42" t="n">
        <v>127.66</v>
      </c>
      <c r="Z42" t="n">
        <v>129.96</v>
      </c>
      <c r="AA42" t="n">
        <v>133.81</v>
      </c>
      <c r="AB42" t="n">
        <v>133.77</v>
      </c>
      <c r="AC42" t="n">
        <v>137.38</v>
      </c>
      <c r="AD42" t="n">
        <v>139.15</v>
      </c>
      <c r="AE42" t="n">
        <v>144.91</v>
      </c>
      <c r="AF42" t="n">
        <v>162.52</v>
      </c>
    </row>
    <row r="43">
      <c r="A43" t="s">
        <v>18</v>
      </c>
      <c r="B43" t="s">
        <v>243</v>
      </c>
      <c r="C43" t="s">
        <v>131</v>
      </c>
      <c r="D43" t="s">
        <v>244</v>
      </c>
      <c r="E43" t="s">
        <v>132</v>
      </c>
      <c r="F43" t="n">
        <v>117.48</v>
      </c>
      <c r="G43" t="n">
        <v>119.83</v>
      </c>
      <c r="H43" t="n">
        <v>121.73</v>
      </c>
      <c r="I43" t="n">
        <v>125.72</v>
      </c>
      <c r="J43" t="n">
        <v>138.85</v>
      </c>
      <c r="K43" t="n">
        <v>149.62</v>
      </c>
      <c r="L43" t="n">
        <v>157.56</v>
      </c>
      <c r="M43" t="n">
        <v>159.56</v>
      </c>
      <c r="N43" t="n">
        <v>165.34</v>
      </c>
      <c r="O43" t="n">
        <v>180.62</v>
      </c>
      <c r="P43" t="n">
        <v>197.17</v>
      </c>
      <c r="Q43" t="n">
        <v>205.95</v>
      </c>
      <c r="R43" t="n">
        <v>224.58</v>
      </c>
      <c r="S43" t="n">
        <v>222.14</v>
      </c>
      <c r="T43" t="n">
        <v>194.81</v>
      </c>
      <c r="U43" t="n">
        <v>182.66</v>
      </c>
      <c r="V43" t="n">
        <v>187.22</v>
      </c>
      <c r="W43" t="n">
        <v>183.96</v>
      </c>
      <c r="X43" t="n">
        <v>194.21</v>
      </c>
      <c r="Y43" t="n">
        <v>207.1</v>
      </c>
      <c r="Z43" t="n">
        <v>210.65</v>
      </c>
      <c r="AA43" t="n">
        <v>220.07</v>
      </c>
      <c r="AB43" t="n">
        <v>227.41</v>
      </c>
      <c r="AC43" t="n">
        <v>242.14</v>
      </c>
      <c r="AD43" t="n">
        <v>250.01</v>
      </c>
      <c r="AE43" t="n">
        <v>238.26</v>
      </c>
      <c r="AF43" t="n">
        <v>257.85</v>
      </c>
    </row>
    <row r="44">
      <c r="A44" t="s">
        <v>18</v>
      </c>
      <c r="B44" t="s">
        <v>245</v>
      </c>
      <c r="C44" t="s">
        <v>131</v>
      </c>
      <c r="D44" t="s">
        <v>246</v>
      </c>
      <c r="E44" t="s">
        <v>132</v>
      </c>
      <c r="F44" t="n">
        <v>1230.46</v>
      </c>
      <c r="G44" t="n">
        <v>1239.53</v>
      </c>
      <c r="H44" t="n">
        <v>1252.06</v>
      </c>
      <c r="I44" t="n">
        <v>1292.29</v>
      </c>
      <c r="J44" t="n">
        <v>1377</v>
      </c>
      <c r="K44" t="n">
        <v>1433.55</v>
      </c>
      <c r="L44" t="n">
        <v>1467.04</v>
      </c>
      <c r="M44" t="n">
        <v>1466.52</v>
      </c>
      <c r="N44" t="n">
        <v>1481.83</v>
      </c>
      <c r="O44" t="n">
        <v>1535.09</v>
      </c>
      <c r="P44" t="n">
        <v>1596.38</v>
      </c>
      <c r="Q44" t="n">
        <v>1657.79</v>
      </c>
      <c r="R44" t="n">
        <v>1727.27</v>
      </c>
      <c r="S44" t="n">
        <v>1692.53</v>
      </c>
      <c r="T44" t="n">
        <v>1509.02</v>
      </c>
      <c r="U44" t="n">
        <v>1417.09</v>
      </c>
      <c r="V44" t="n">
        <v>1386.25</v>
      </c>
      <c r="W44" t="n">
        <v>1376.43</v>
      </c>
      <c r="X44" t="n">
        <v>1428.68</v>
      </c>
      <c r="Y44" t="n">
        <v>1468.13</v>
      </c>
      <c r="Z44" t="n">
        <v>1521.61</v>
      </c>
      <c r="AA44" t="n">
        <v>1593.06</v>
      </c>
      <c r="AB44" t="n">
        <v>1638.28</v>
      </c>
      <c r="AC44" t="n">
        <v>1681.89</v>
      </c>
      <c r="AD44" t="n">
        <v>1724.91</v>
      </c>
      <c r="AE44" t="n">
        <v>1657.56</v>
      </c>
      <c r="AF44" t="n">
        <v>1750.56</v>
      </c>
    </row>
    <row r="45">
      <c r="A45" t="s">
        <v>18</v>
      </c>
      <c r="B45" t="s">
        <v>247</v>
      </c>
      <c r="C45" t="s">
        <v>131</v>
      </c>
      <c r="D45" t="s">
        <v>248</v>
      </c>
      <c r="E45" t="s">
        <v>132</v>
      </c>
      <c r="F45" t="n">
        <v>1091.27</v>
      </c>
      <c r="G45" t="n">
        <v>1101.49</v>
      </c>
      <c r="H45" t="n">
        <v>1114.67</v>
      </c>
      <c r="I45" t="n">
        <v>1155.51</v>
      </c>
      <c r="J45" t="n">
        <v>1236.03</v>
      </c>
      <c r="K45" t="n">
        <v>1304.23</v>
      </c>
      <c r="L45" t="n">
        <v>1342.2</v>
      </c>
      <c r="M45" t="n">
        <v>1345.49</v>
      </c>
      <c r="N45" t="n">
        <v>1364.87</v>
      </c>
      <c r="O45" t="n">
        <v>1419.65</v>
      </c>
      <c r="P45" t="n">
        <v>1483.68</v>
      </c>
      <c r="Q45" t="n">
        <v>1544.94</v>
      </c>
      <c r="R45" t="n">
        <v>1615.1</v>
      </c>
      <c r="S45" t="n">
        <v>1576.37</v>
      </c>
      <c r="T45" t="n">
        <v>1396.55</v>
      </c>
      <c r="U45" t="n">
        <v>1306.59</v>
      </c>
      <c r="V45" t="n">
        <v>1278.4</v>
      </c>
      <c r="W45" t="n">
        <v>1267.67</v>
      </c>
      <c r="X45" t="n">
        <v>1316.77</v>
      </c>
      <c r="Y45" t="n">
        <v>1359.96</v>
      </c>
      <c r="Z45" t="n">
        <v>1412.21</v>
      </c>
      <c r="AA45" t="n">
        <v>1480.63</v>
      </c>
      <c r="AB45" t="n">
        <v>1526.99</v>
      </c>
      <c r="AC45" t="n">
        <v>1573.6</v>
      </c>
      <c r="AD45" t="n">
        <v>1620.81</v>
      </c>
      <c r="AE45" t="n">
        <v>1553.28</v>
      </c>
      <c r="AF45" t="n">
        <v>1640.96</v>
      </c>
    </row>
    <row r="46">
      <c r="A46" t="s">
        <v>18</v>
      </c>
      <c r="B46" t="s">
        <v>249</v>
      </c>
      <c r="C46" t="s">
        <v>131</v>
      </c>
      <c r="D46" t="s">
        <v>250</v>
      </c>
      <c r="E46" t="s">
        <v>132</v>
      </c>
      <c r="F46" t="n">
        <v>50.99</v>
      </c>
      <c r="G46" t="n">
        <v>51.23</v>
      </c>
      <c r="H46" t="n">
        <v>51.05</v>
      </c>
      <c r="I46" t="n">
        <v>51.7</v>
      </c>
      <c r="J46" t="n">
        <v>57.25</v>
      </c>
      <c r="K46" t="n">
        <v>62.16</v>
      </c>
      <c r="L46" t="n">
        <v>65.87</v>
      </c>
      <c r="M46" t="n">
        <v>66.57</v>
      </c>
      <c r="N46" t="n">
        <v>67.48</v>
      </c>
      <c r="O46" t="n">
        <v>75.14</v>
      </c>
      <c r="P46" t="n">
        <v>85.04</v>
      </c>
      <c r="Q46" t="n">
        <v>89.06</v>
      </c>
      <c r="R46" t="n">
        <v>99.41</v>
      </c>
      <c r="S46" t="n">
        <v>96.1</v>
      </c>
      <c r="T46" t="n">
        <v>82.52</v>
      </c>
      <c r="U46" t="n">
        <v>75.17</v>
      </c>
      <c r="V46" t="n">
        <v>80.8</v>
      </c>
      <c r="W46" t="n">
        <v>76.78</v>
      </c>
      <c r="X46" t="n">
        <v>75.18</v>
      </c>
      <c r="Y46" t="n">
        <v>79.44</v>
      </c>
      <c r="Z46" t="n">
        <v>80.69</v>
      </c>
      <c r="AA46" t="n">
        <v>86.26</v>
      </c>
      <c r="AB46" t="n">
        <v>93.64</v>
      </c>
      <c r="AC46" t="n">
        <v>104.76</v>
      </c>
      <c r="AD46" t="n">
        <v>110.86</v>
      </c>
      <c r="AE46" t="n">
        <v>93.35</v>
      </c>
      <c r="AF46" t="n">
        <v>95.33</v>
      </c>
    </row>
    <row r="47">
      <c r="A47" t="s">
        <v>18</v>
      </c>
      <c r="B47" t="s">
        <v>251</v>
      </c>
      <c r="C47" t="s">
        <v>131</v>
      </c>
      <c r="D47" t="s">
        <v>252</v>
      </c>
      <c r="E47" t="s">
        <v>132</v>
      </c>
      <c r="F47" t="n">
        <v>59.7</v>
      </c>
      <c r="G47" t="n">
        <v>62.66</v>
      </c>
      <c r="H47" t="n">
        <v>65.63</v>
      </c>
      <c r="I47" t="n">
        <v>67.54</v>
      </c>
      <c r="J47" t="n">
        <v>72.86</v>
      </c>
      <c r="K47" t="n">
        <v>75.31</v>
      </c>
      <c r="L47" t="n">
        <v>77.05</v>
      </c>
      <c r="M47" t="n">
        <v>83.71</v>
      </c>
      <c r="N47" t="n">
        <v>85.7</v>
      </c>
      <c r="O47" t="n">
        <v>85.36</v>
      </c>
      <c r="P47" t="n">
        <v>94.66</v>
      </c>
      <c r="Q47" t="n">
        <v>97.28</v>
      </c>
      <c r="R47" t="n">
        <v>96.77</v>
      </c>
      <c r="S47" t="n">
        <v>97.59</v>
      </c>
      <c r="T47" t="n">
        <v>96.53</v>
      </c>
      <c r="U47" t="n">
        <v>93.8</v>
      </c>
      <c r="V47" t="n">
        <v>90.42</v>
      </c>
      <c r="W47" t="n">
        <v>87.93</v>
      </c>
      <c r="X47" t="n">
        <v>86.57</v>
      </c>
      <c r="Y47" t="n">
        <v>88.84</v>
      </c>
      <c r="Z47" t="n">
        <v>92.67</v>
      </c>
      <c r="AA47" t="n">
        <v>94.06</v>
      </c>
      <c r="AB47" t="n">
        <v>97.92</v>
      </c>
      <c r="AC47" t="n">
        <v>105.71</v>
      </c>
      <c r="AD47" t="n">
        <v>114.43</v>
      </c>
      <c r="AE47" t="n">
        <v>119.35</v>
      </c>
      <c r="AF47" t="n">
        <v>130.52</v>
      </c>
    </row>
    <row r="48">
      <c r="A48" t="s">
        <v>18</v>
      </c>
      <c r="B48" t="s">
        <v>253</v>
      </c>
      <c r="C48" t="s">
        <v>131</v>
      </c>
      <c r="D48" t="s">
        <v>254</v>
      </c>
      <c r="E48" t="s">
        <v>132</v>
      </c>
      <c r="F48" t="n">
        <v>236.98</v>
      </c>
      <c r="G48" t="n">
        <v>253.61</v>
      </c>
      <c r="H48" t="n">
        <v>270.89</v>
      </c>
      <c r="I48" t="n">
        <v>286.65</v>
      </c>
      <c r="J48" t="n">
        <v>305.51</v>
      </c>
      <c r="K48" t="n">
        <v>323.43</v>
      </c>
      <c r="L48" t="n">
        <v>339.84</v>
      </c>
      <c r="M48" t="n">
        <v>366.93</v>
      </c>
      <c r="N48" t="n">
        <v>387.21</v>
      </c>
      <c r="O48" t="n">
        <v>398.1</v>
      </c>
      <c r="P48" t="n">
        <v>424.39</v>
      </c>
      <c r="Q48" t="n">
        <v>451.64</v>
      </c>
      <c r="R48" t="n">
        <v>469.17</v>
      </c>
      <c r="S48" t="n">
        <v>482.25</v>
      </c>
      <c r="T48" t="n">
        <v>486.47</v>
      </c>
      <c r="U48" t="n">
        <v>488.83</v>
      </c>
      <c r="V48" t="n">
        <v>482.1</v>
      </c>
      <c r="W48" t="n">
        <v>482.68</v>
      </c>
      <c r="X48" t="n">
        <v>488.62</v>
      </c>
      <c r="Y48" t="n">
        <v>499.03</v>
      </c>
      <c r="Z48" t="n">
        <v>511.33</v>
      </c>
      <c r="AA48" t="n">
        <v>519.32</v>
      </c>
      <c r="AB48" t="n">
        <v>541.06</v>
      </c>
      <c r="AC48" t="n">
        <v>563.3</v>
      </c>
      <c r="AD48" t="n">
        <v>593.34</v>
      </c>
      <c r="AE48" t="n">
        <v>600.95</v>
      </c>
      <c r="AF48" t="n">
        <v>658.89</v>
      </c>
    </row>
    <row r="49">
      <c r="A49" t="s">
        <v>18</v>
      </c>
      <c r="B49" t="s">
        <v>255</v>
      </c>
      <c r="C49" t="s">
        <v>131</v>
      </c>
      <c r="D49" t="s">
        <v>256</v>
      </c>
      <c r="E49" t="s">
        <v>132</v>
      </c>
      <c r="F49" t="n">
        <v>79.85</v>
      </c>
      <c r="G49" t="n">
        <v>85</v>
      </c>
      <c r="H49" t="n">
        <v>89.86</v>
      </c>
      <c r="I49" t="n">
        <v>94.65</v>
      </c>
      <c r="J49" t="n">
        <v>100.44</v>
      </c>
      <c r="K49" t="n">
        <v>103.36</v>
      </c>
      <c r="L49" t="n">
        <v>104.85</v>
      </c>
      <c r="M49" t="n">
        <v>110.47</v>
      </c>
      <c r="N49" t="n">
        <v>116.39</v>
      </c>
      <c r="O49" t="n">
        <v>118.5</v>
      </c>
      <c r="P49" t="n">
        <v>125.56</v>
      </c>
      <c r="Q49" t="n">
        <v>134.6</v>
      </c>
      <c r="R49" t="n">
        <v>137.68</v>
      </c>
      <c r="S49" t="n">
        <v>142.34</v>
      </c>
      <c r="T49" t="n">
        <v>142.39</v>
      </c>
      <c r="U49" t="n">
        <v>143.03</v>
      </c>
      <c r="V49" t="n">
        <v>137.11</v>
      </c>
      <c r="W49" t="n">
        <v>137.95</v>
      </c>
      <c r="X49" t="n">
        <v>141.79</v>
      </c>
      <c r="Y49" t="n">
        <v>146.37</v>
      </c>
      <c r="Z49" t="n">
        <v>149.23</v>
      </c>
      <c r="AA49" t="n">
        <v>151.7</v>
      </c>
      <c r="AB49" t="n">
        <v>161.48</v>
      </c>
      <c r="AC49" t="n">
        <v>171.59</v>
      </c>
      <c r="AD49" t="n">
        <v>184.87</v>
      </c>
      <c r="AE49" t="n">
        <v>188.62</v>
      </c>
      <c r="AF49" t="n">
        <v>214</v>
      </c>
    </row>
    <row r="50">
      <c r="A50" t="s">
        <v>18</v>
      </c>
      <c r="B50" t="s">
        <v>257</v>
      </c>
      <c r="C50" t="s">
        <v>131</v>
      </c>
      <c r="D50" t="s">
        <v>258</v>
      </c>
      <c r="E50" t="s">
        <v>132</v>
      </c>
      <c r="F50" t="n">
        <v>97.42</v>
      </c>
      <c r="G50" t="n">
        <v>105.95</v>
      </c>
      <c r="H50" t="n">
        <v>115.4</v>
      </c>
      <c r="I50" t="n">
        <v>124.47</v>
      </c>
      <c r="J50" t="n">
        <v>132.22</v>
      </c>
      <c r="K50" t="n">
        <v>144.77</v>
      </c>
      <c r="L50" t="n">
        <v>157.95</v>
      </c>
      <c r="M50" t="n">
        <v>172.75</v>
      </c>
      <c r="N50" t="n">
        <v>185.12</v>
      </c>
      <c r="O50" t="n">
        <v>194.24</v>
      </c>
      <c r="P50" t="n">
        <v>204.17</v>
      </c>
      <c r="Q50" t="n">
        <v>219.76</v>
      </c>
      <c r="R50" t="n">
        <v>234.71</v>
      </c>
      <c r="S50" t="n">
        <v>242.32</v>
      </c>
      <c r="T50" t="n">
        <v>247.55</v>
      </c>
      <c r="U50" t="n">
        <v>252</v>
      </c>
      <c r="V50" t="n">
        <v>254.56</v>
      </c>
      <c r="W50" t="n">
        <v>256.8</v>
      </c>
      <c r="X50" t="n">
        <v>260.27</v>
      </c>
      <c r="Y50" t="n">
        <v>263.81</v>
      </c>
      <c r="Z50" t="n">
        <v>269.44</v>
      </c>
      <c r="AA50" t="n">
        <v>273.57</v>
      </c>
      <c r="AB50" t="n">
        <v>281.65</v>
      </c>
      <c r="AC50" t="n">
        <v>286</v>
      </c>
      <c r="AD50" t="n">
        <v>294.04</v>
      </c>
      <c r="AE50" t="n">
        <v>292.98</v>
      </c>
      <c r="AF50" t="n">
        <v>314.37</v>
      </c>
    </row>
    <row r="51">
      <c r="A51" t="s">
        <v>18</v>
      </c>
      <c r="B51" t="s">
        <v>259</v>
      </c>
      <c r="C51" t="s">
        <v>131</v>
      </c>
      <c r="D51" t="s">
        <v>260</v>
      </c>
      <c r="E51" t="s">
        <v>132</v>
      </c>
      <c r="F51" t="n">
        <v>80.56</v>
      </c>
      <c r="G51" t="n">
        <v>84.21</v>
      </c>
      <c r="H51" t="n">
        <v>88.78</v>
      </c>
      <c r="I51" t="n">
        <v>93.66</v>
      </c>
      <c r="J51" t="n">
        <v>98.69</v>
      </c>
      <c r="K51" t="n">
        <v>105.95</v>
      </c>
      <c r="L51" t="n">
        <v>114.15</v>
      </c>
      <c r="M51" t="n">
        <v>121.69</v>
      </c>
      <c r="N51" t="n">
        <v>129.36</v>
      </c>
      <c r="O51" t="n">
        <v>134.98</v>
      </c>
      <c r="P51" t="n">
        <v>137.93</v>
      </c>
      <c r="Q51" t="n">
        <v>143.14</v>
      </c>
      <c r="R51" t="n">
        <v>153.87</v>
      </c>
      <c r="S51" t="n">
        <v>158.24</v>
      </c>
      <c r="T51" t="n">
        <v>158.67</v>
      </c>
      <c r="U51" t="n">
        <v>168.12</v>
      </c>
      <c r="V51" t="n">
        <v>168.05</v>
      </c>
      <c r="W51" t="n">
        <v>167.38</v>
      </c>
      <c r="X51" t="n">
        <v>165.16</v>
      </c>
      <c r="Y51" t="n">
        <v>167.63</v>
      </c>
      <c r="Z51" t="n">
        <v>165.73</v>
      </c>
      <c r="AA51" t="n">
        <v>169.84</v>
      </c>
      <c r="AB51" t="n">
        <v>167.16</v>
      </c>
      <c r="AC51" t="n">
        <v>163.7</v>
      </c>
      <c r="AD51" t="n">
        <v>162.94</v>
      </c>
      <c r="AE51" t="n">
        <v>160.08</v>
      </c>
      <c r="AF51" t="n">
        <v>181.44</v>
      </c>
    </row>
    <row r="52">
      <c r="A52" t="s">
        <v>18</v>
      </c>
      <c r="B52" t="s">
        <v>261</v>
      </c>
      <c r="C52" t="s">
        <v>131</v>
      </c>
      <c r="D52" t="s">
        <v>262</v>
      </c>
      <c r="E52" t="s">
        <v>132</v>
      </c>
      <c r="F52" t="n">
        <v>16.86</v>
      </c>
      <c r="G52" t="n">
        <v>21.74</v>
      </c>
      <c r="H52" t="n">
        <v>26.62</v>
      </c>
      <c r="I52" t="n">
        <v>30.81</v>
      </c>
      <c r="J52" t="n">
        <v>33.53</v>
      </c>
      <c r="K52" t="n">
        <v>38.82</v>
      </c>
      <c r="L52" t="n">
        <v>43.8</v>
      </c>
      <c r="M52" t="n">
        <v>51.06</v>
      </c>
      <c r="N52" t="n">
        <v>55.76</v>
      </c>
      <c r="O52" t="n">
        <v>59.26</v>
      </c>
      <c r="P52" t="n">
        <v>66.24</v>
      </c>
      <c r="Q52" t="n">
        <v>76.62</v>
      </c>
      <c r="R52" t="n">
        <v>80.84</v>
      </c>
      <c r="S52" t="n">
        <v>84.08</v>
      </c>
      <c r="T52" t="n">
        <v>88.88</v>
      </c>
      <c r="U52" t="n">
        <v>83.88</v>
      </c>
      <c r="V52" t="n">
        <v>86.51</v>
      </c>
      <c r="W52" t="n">
        <v>89.42</v>
      </c>
      <c r="X52" t="n">
        <v>95.11</v>
      </c>
      <c r="Y52" t="n">
        <v>96.18</v>
      </c>
      <c r="Z52" t="n">
        <v>103.71</v>
      </c>
      <c r="AA52" t="n">
        <v>103.73</v>
      </c>
      <c r="AB52" t="n">
        <v>114.49</v>
      </c>
      <c r="AC52" t="n">
        <v>122.3</v>
      </c>
      <c r="AD52" t="n">
        <v>131.1</v>
      </c>
      <c r="AE52" t="n">
        <v>132.9</v>
      </c>
      <c r="AF52" t="n">
        <v>132.93</v>
      </c>
    </row>
    <row r="53">
      <c r="A53" t="s">
        <v>18</v>
      </c>
      <c r="B53" t="s">
        <v>263</v>
      </c>
      <c r="C53" t="s">
        <v>131</v>
      </c>
      <c r="D53" t="s">
        <v>264</v>
      </c>
      <c r="E53" t="s">
        <v>132</v>
      </c>
      <c r="F53" t="n">
        <v>31.91</v>
      </c>
      <c r="G53" t="n">
        <v>32.01</v>
      </c>
      <c r="H53" t="n">
        <v>31.89</v>
      </c>
      <c r="I53" t="n">
        <v>32.55</v>
      </c>
      <c r="J53" t="n">
        <v>33.28</v>
      </c>
      <c r="K53" t="n">
        <v>34.21</v>
      </c>
      <c r="L53" t="n">
        <v>35.09</v>
      </c>
      <c r="M53" t="n">
        <v>36.2</v>
      </c>
      <c r="N53" t="n">
        <v>35.37</v>
      </c>
      <c r="O53" t="n">
        <v>36.2</v>
      </c>
      <c r="P53" t="n">
        <v>40.12</v>
      </c>
      <c r="Q53" t="n">
        <v>45.92</v>
      </c>
      <c r="R53" t="n">
        <v>46.31</v>
      </c>
      <c r="S53" t="n">
        <v>50.99</v>
      </c>
      <c r="T53" t="n">
        <v>46.77</v>
      </c>
      <c r="U53" t="n">
        <v>47.14</v>
      </c>
      <c r="V53" t="n">
        <v>47.01</v>
      </c>
      <c r="W53" t="n">
        <v>45.89</v>
      </c>
      <c r="X53" t="n">
        <v>46.95</v>
      </c>
      <c r="Y53" t="n">
        <v>48.51</v>
      </c>
      <c r="Z53" t="n">
        <v>50.78</v>
      </c>
      <c r="AA53" t="n">
        <v>57.82</v>
      </c>
      <c r="AB53" t="n">
        <v>53.86</v>
      </c>
      <c r="AC53" t="n">
        <v>54.66</v>
      </c>
      <c r="AD53" t="n">
        <v>53.95</v>
      </c>
      <c r="AE53" t="n">
        <v>42.07</v>
      </c>
      <c r="AF53" t="n">
        <v>44.44</v>
      </c>
    </row>
    <row r="54">
      <c r="A54" t="s">
        <v>18</v>
      </c>
      <c r="B54" t="s">
        <v>265</v>
      </c>
      <c r="C54" t="s">
        <v>131</v>
      </c>
      <c r="D54" t="s">
        <v>266</v>
      </c>
      <c r="E54" t="s">
        <v>132</v>
      </c>
      <c r="F54" t="n">
        <v>67.84</v>
      </c>
      <c r="G54" t="n">
        <v>68.39</v>
      </c>
      <c r="H54" t="n">
        <v>69.01</v>
      </c>
      <c r="I54" t="n">
        <v>71.14</v>
      </c>
      <c r="J54" t="n">
        <v>72.85</v>
      </c>
      <c r="K54" t="n">
        <v>74.04</v>
      </c>
      <c r="L54" t="n">
        <v>77.53</v>
      </c>
      <c r="M54" t="n">
        <v>80.12</v>
      </c>
      <c r="N54" t="n">
        <v>82.76</v>
      </c>
      <c r="O54" t="n">
        <v>94.04</v>
      </c>
      <c r="P54" t="n">
        <v>91.57</v>
      </c>
      <c r="Q54" t="n">
        <v>94.68</v>
      </c>
      <c r="R54" t="n">
        <v>94.33</v>
      </c>
      <c r="S54" t="n">
        <v>98.95</v>
      </c>
      <c r="T54" t="n">
        <v>95.01</v>
      </c>
      <c r="U54" t="n">
        <v>91.82</v>
      </c>
      <c r="V54" t="n">
        <v>93.18</v>
      </c>
      <c r="W54" t="n">
        <v>94.69</v>
      </c>
      <c r="X54" t="n">
        <v>96.11</v>
      </c>
      <c r="Y54" t="n">
        <v>96.87</v>
      </c>
      <c r="Z54" t="n">
        <v>102.4</v>
      </c>
      <c r="AA54" t="n">
        <v>110</v>
      </c>
      <c r="AB54" t="n">
        <v>109.05</v>
      </c>
      <c r="AC54" t="n">
        <v>110.77</v>
      </c>
      <c r="AD54" t="n">
        <v>111.65</v>
      </c>
      <c r="AE54" t="n">
        <v>95.63</v>
      </c>
      <c r="AF54" t="n">
        <v>99.12</v>
      </c>
    </row>
    <row r="55">
      <c r="A55" t="s">
        <v>18</v>
      </c>
      <c r="B55" t="s">
        <v>267</v>
      </c>
      <c r="C55" t="s">
        <v>131</v>
      </c>
      <c r="D55" t="s">
        <v>268</v>
      </c>
      <c r="E55" t="s">
        <v>132</v>
      </c>
      <c r="F55" t="n">
        <v>35.93</v>
      </c>
      <c r="G55" t="n">
        <v>36.38</v>
      </c>
      <c r="H55" t="n">
        <v>37.12</v>
      </c>
      <c r="I55" t="n">
        <v>38.59</v>
      </c>
      <c r="J55" t="n">
        <v>39.57</v>
      </c>
      <c r="K55" t="n">
        <v>39.83</v>
      </c>
      <c r="L55" t="n">
        <v>42.44</v>
      </c>
      <c r="M55" t="n">
        <v>43.92</v>
      </c>
      <c r="N55" t="n">
        <v>47.39</v>
      </c>
      <c r="O55" t="n">
        <v>57.84</v>
      </c>
      <c r="P55" t="n">
        <v>51.45</v>
      </c>
      <c r="Q55" t="n">
        <v>48.76</v>
      </c>
      <c r="R55" t="n">
        <v>48.02</v>
      </c>
      <c r="S55" t="n">
        <v>47.96</v>
      </c>
      <c r="T55" t="n">
        <v>48.24</v>
      </c>
      <c r="U55" t="n">
        <v>44.68</v>
      </c>
      <c r="V55" t="n">
        <v>46.17</v>
      </c>
      <c r="W55" t="n">
        <v>48.8</v>
      </c>
      <c r="X55" t="n">
        <v>49.16</v>
      </c>
      <c r="Y55" t="n">
        <v>48.36</v>
      </c>
      <c r="Z55" t="n">
        <v>51.62</v>
      </c>
      <c r="AA55" t="n">
        <v>52.18</v>
      </c>
      <c r="AB55" t="n">
        <v>55.19</v>
      </c>
      <c r="AC55" t="n">
        <v>56.11</v>
      </c>
      <c r="AD55" t="n">
        <v>57.7</v>
      </c>
      <c r="AE55" t="n">
        <v>53.56</v>
      </c>
      <c r="AF55" t="n">
        <v>54.68</v>
      </c>
    </row>
    <row r="56">
      <c r="A56" t="s">
        <v>18</v>
      </c>
      <c r="B56" t="s">
        <v>269</v>
      </c>
      <c r="C56" t="s">
        <v>131</v>
      </c>
      <c r="D56" t="s">
        <v>270</v>
      </c>
      <c r="E56" t="s">
        <v>132</v>
      </c>
      <c r="F56" t="n">
        <v>9.15</v>
      </c>
      <c r="G56" t="n">
        <v>9.15</v>
      </c>
      <c r="H56" t="n">
        <v>9.3</v>
      </c>
      <c r="I56" t="n">
        <v>8.63</v>
      </c>
      <c r="J56" t="n">
        <v>9.05</v>
      </c>
      <c r="K56" t="n">
        <v>8.24</v>
      </c>
      <c r="L56" t="n">
        <v>7.6</v>
      </c>
      <c r="M56" t="n">
        <v>7.91</v>
      </c>
      <c r="N56" t="n">
        <v>8.04</v>
      </c>
      <c r="O56" t="n">
        <v>6.88</v>
      </c>
      <c r="P56" t="n">
        <v>7.87</v>
      </c>
      <c r="Q56" t="n">
        <v>8.71</v>
      </c>
      <c r="R56" t="n">
        <v>10.69</v>
      </c>
      <c r="S56" t="n">
        <v>10.6</v>
      </c>
      <c r="T56" t="n">
        <v>8.15</v>
      </c>
      <c r="U56" t="n">
        <v>7.59</v>
      </c>
      <c r="V56" t="n">
        <v>7.95</v>
      </c>
      <c r="W56" t="n">
        <v>8.56</v>
      </c>
      <c r="X56" t="n">
        <v>7.38</v>
      </c>
      <c r="Y56" t="n">
        <v>6.97</v>
      </c>
      <c r="Z56" t="n">
        <v>9.27</v>
      </c>
      <c r="AA56" t="n">
        <v>7.8</v>
      </c>
      <c r="AB56" t="n">
        <v>7.7</v>
      </c>
      <c r="AC56" t="n">
        <v>8.67</v>
      </c>
      <c r="AD56" t="n">
        <v>7.28</v>
      </c>
      <c r="AE56" t="n">
        <v>5.43</v>
      </c>
      <c r="AF56" t="n">
        <v>4.31</v>
      </c>
    </row>
    <row r="57">
      <c r="A57" t="s">
        <v>18</v>
      </c>
      <c r="B57" t="s">
        <v>271</v>
      </c>
      <c r="C57" t="s">
        <v>131</v>
      </c>
      <c r="D57" t="s">
        <v>272</v>
      </c>
      <c r="E57" t="s">
        <v>132</v>
      </c>
      <c r="F57" t="n">
        <v>1482.04</v>
      </c>
      <c r="G57" t="n">
        <v>1507.75</v>
      </c>
      <c r="H57" t="n">
        <v>1537.71</v>
      </c>
      <c r="I57" t="n">
        <v>1593.13</v>
      </c>
      <c r="J57" t="n">
        <v>1697.75</v>
      </c>
      <c r="K57" t="n">
        <v>1772.06</v>
      </c>
      <c r="L57" t="n">
        <v>1821.94</v>
      </c>
      <c r="M57" t="n">
        <v>1849.23</v>
      </c>
      <c r="N57" t="n">
        <v>1884.72</v>
      </c>
      <c r="O57" t="n">
        <v>1946.15</v>
      </c>
      <c r="P57" t="n">
        <v>2037.01</v>
      </c>
      <c r="Q57" t="n">
        <v>2128.23</v>
      </c>
      <c r="R57" t="n">
        <v>2218.58</v>
      </c>
      <c r="S57" t="n">
        <v>2196.65</v>
      </c>
      <c r="T57" t="n">
        <v>2013.43</v>
      </c>
      <c r="U57" t="n">
        <v>1923.02</v>
      </c>
      <c r="V57" t="n">
        <v>1885.9</v>
      </c>
      <c r="W57" t="n">
        <v>1877.96</v>
      </c>
      <c r="X57" t="n">
        <v>1933.24</v>
      </c>
      <c r="Y57" t="n">
        <v>1983.98</v>
      </c>
      <c r="Z57" t="n">
        <v>2053.55</v>
      </c>
      <c r="AA57" t="n">
        <v>2131.41</v>
      </c>
      <c r="AB57" t="n">
        <v>2197.94</v>
      </c>
      <c r="AC57" t="n">
        <v>2264.15</v>
      </c>
      <c r="AD57" t="n">
        <v>2335.32</v>
      </c>
      <c r="AE57" t="n">
        <v>2277.11</v>
      </c>
      <c r="AF57" t="n">
        <v>2426.54</v>
      </c>
    </row>
    <row r="58">
      <c r="A58" t="s">
        <v>18</v>
      </c>
      <c r="B58" t="s">
        <v>273</v>
      </c>
      <c r="C58" t="s">
        <v>131</v>
      </c>
      <c r="D58" t="s">
        <v>274</v>
      </c>
      <c r="E58" t="s">
        <v>132</v>
      </c>
      <c r="F58" t="n">
        <v>1472.89</v>
      </c>
      <c r="G58" t="n">
        <v>1498.6</v>
      </c>
      <c r="H58" t="n">
        <v>1528.41</v>
      </c>
      <c r="I58" t="n">
        <v>1584.5</v>
      </c>
      <c r="J58" t="n">
        <v>1688.7</v>
      </c>
      <c r="K58" t="n">
        <v>1763.82</v>
      </c>
      <c r="L58" t="n">
        <v>1814.34</v>
      </c>
      <c r="M58" t="n">
        <v>1841.32</v>
      </c>
      <c r="N58" t="n">
        <v>1876.68</v>
      </c>
      <c r="O58" t="n">
        <v>1939.27</v>
      </c>
      <c r="P58" t="n">
        <v>2029.14</v>
      </c>
      <c r="Q58" t="n">
        <v>2119.52</v>
      </c>
      <c r="R58" t="n">
        <v>2207.89</v>
      </c>
      <c r="S58" t="n">
        <v>2186.05</v>
      </c>
      <c r="T58" t="n">
        <v>2005.28</v>
      </c>
      <c r="U58" t="n">
        <v>1915.43</v>
      </c>
      <c r="V58" t="n">
        <v>1877.95</v>
      </c>
      <c r="W58" t="n">
        <v>1869.4</v>
      </c>
      <c r="X58" t="n">
        <v>1925.86</v>
      </c>
      <c r="Y58" t="n">
        <v>1977.01</v>
      </c>
      <c r="Z58" t="n">
        <v>2044.28</v>
      </c>
      <c r="AA58" t="n">
        <v>2123.61</v>
      </c>
      <c r="AB58" t="n">
        <v>2190.24</v>
      </c>
      <c r="AC58" t="n">
        <v>2255.48</v>
      </c>
      <c r="AD58" t="n">
        <v>2328.04</v>
      </c>
      <c r="AE58" t="n">
        <v>2271.68</v>
      </c>
      <c r="AF58" t="n">
        <v>2422.23</v>
      </c>
    </row>
    <row r="59">
      <c r="A59" t="s">
        <v>18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20</v>
      </c>
      <c r="B2" t="s">
        <v>84</v>
      </c>
      <c r="C2" t="s">
        <v>131</v>
      </c>
      <c r="D2" t="s">
        <v>86</v>
      </c>
      <c r="E2" t="s">
        <v>132</v>
      </c>
      <c r="F2" t="n">
        <v>25.45</v>
      </c>
      <c r="G2" t="n">
        <v>25.51</v>
      </c>
      <c r="H2" t="n">
        <v>25.74</v>
      </c>
      <c r="I2" t="n">
        <v>26.34</v>
      </c>
      <c r="J2" t="n">
        <v>27.34</v>
      </c>
      <c r="K2" t="n">
        <v>26.31</v>
      </c>
      <c r="L2" t="n">
        <v>23.58</v>
      </c>
      <c r="M2" t="n">
        <v>23.51</v>
      </c>
      <c r="N2" t="n">
        <v>23.33</v>
      </c>
      <c r="O2" t="n">
        <v>22.79</v>
      </c>
      <c r="P2" t="n">
        <v>21.62</v>
      </c>
      <c r="Q2" t="n">
        <v>24.95</v>
      </c>
      <c r="R2" t="n">
        <v>23.58</v>
      </c>
      <c r="S2" t="n">
        <v>24.46</v>
      </c>
      <c r="T2" t="n">
        <v>21.91</v>
      </c>
      <c r="U2" t="n">
        <v>24.47</v>
      </c>
      <c r="V2" t="n">
        <v>26.38</v>
      </c>
      <c r="W2" t="n">
        <v>25.06</v>
      </c>
      <c r="X2" t="n">
        <v>27.62</v>
      </c>
      <c r="Y2" t="n">
        <v>27.24</v>
      </c>
      <c r="Z2" t="n">
        <v>26.33</v>
      </c>
      <c r="AA2" t="n">
        <v>27.43</v>
      </c>
      <c r="AB2" t="n">
        <v>27.71</v>
      </c>
      <c r="AC2" t="n">
        <v>26.78</v>
      </c>
      <c r="AD2" t="n">
        <v>26.81</v>
      </c>
      <c r="AE2" t="n">
        <v>26.08</v>
      </c>
      <c r="AF2" t="n">
        <v>25.35</v>
      </c>
    </row>
    <row r="3">
      <c r="A3" t="s">
        <v>20</v>
      </c>
      <c r="B3" t="s">
        <v>163</v>
      </c>
      <c r="C3" t="s">
        <v>131</v>
      </c>
      <c r="D3" t="s">
        <v>164</v>
      </c>
      <c r="E3" t="s">
        <v>132</v>
      </c>
      <c r="F3" t="n">
        <v>4.65</v>
      </c>
      <c r="G3" t="n">
        <v>4.65</v>
      </c>
      <c r="H3" t="n">
        <v>4.65</v>
      </c>
      <c r="I3" t="n">
        <v>5.25</v>
      </c>
      <c r="J3" t="n">
        <v>5.86</v>
      </c>
      <c r="K3" t="n">
        <v>6.26</v>
      </c>
      <c r="L3" t="n">
        <v>7.49</v>
      </c>
      <c r="M3" t="n">
        <v>7.57</v>
      </c>
      <c r="N3" t="n">
        <v>6.68</v>
      </c>
      <c r="O3" t="n">
        <v>6.89</v>
      </c>
      <c r="P3" t="n">
        <v>9.03</v>
      </c>
      <c r="Q3" t="n">
        <v>10.56</v>
      </c>
      <c r="R3" t="n">
        <v>10.33</v>
      </c>
      <c r="S3" t="n">
        <v>10.99</v>
      </c>
      <c r="T3" t="n">
        <v>6.78</v>
      </c>
      <c r="U3" t="n">
        <v>6.7</v>
      </c>
      <c r="V3" t="n">
        <v>4.9</v>
      </c>
      <c r="W3" t="n">
        <v>5.09</v>
      </c>
      <c r="X3" t="n">
        <v>6.21</v>
      </c>
      <c r="Y3" t="n">
        <v>6.1</v>
      </c>
      <c r="Z3" t="n">
        <v>6.97</v>
      </c>
      <c r="AA3" t="n">
        <v>5.31</v>
      </c>
      <c r="AB3" t="n">
        <v>6.6</v>
      </c>
      <c r="AC3" t="n">
        <v>6.1</v>
      </c>
      <c r="AD3" t="n">
        <v>6.87</v>
      </c>
      <c r="AE3" t="n">
        <v>5.45</v>
      </c>
      <c r="AF3" t="n">
        <v>5.21</v>
      </c>
    </row>
    <row r="4">
      <c r="A4" t="s">
        <v>20</v>
      </c>
      <c r="B4" t="s">
        <v>165</v>
      </c>
      <c r="C4" t="s">
        <v>131</v>
      </c>
      <c r="D4" t="s">
        <v>166</v>
      </c>
      <c r="E4" t="s">
        <v>132</v>
      </c>
      <c r="F4" t="n">
        <v>275.14</v>
      </c>
      <c r="G4" t="n">
        <v>276.27</v>
      </c>
      <c r="H4" t="n">
        <v>276.92</v>
      </c>
      <c r="I4" t="n">
        <v>282</v>
      </c>
      <c r="J4" t="n">
        <v>286.3</v>
      </c>
      <c r="K4" t="n">
        <v>292.97</v>
      </c>
      <c r="L4" t="n">
        <v>291.9</v>
      </c>
      <c r="M4" t="n">
        <v>277.49</v>
      </c>
      <c r="N4" t="n">
        <v>269.49</v>
      </c>
      <c r="O4" t="n">
        <v>264.46</v>
      </c>
      <c r="P4" t="n">
        <v>257.23</v>
      </c>
      <c r="Q4" t="n">
        <v>256.3</v>
      </c>
      <c r="R4" t="n">
        <v>255.63</v>
      </c>
      <c r="S4" t="n">
        <v>241.77</v>
      </c>
      <c r="T4" t="n">
        <v>210.98</v>
      </c>
      <c r="U4" t="n">
        <v>198.39</v>
      </c>
      <c r="V4" t="n">
        <v>197.57</v>
      </c>
      <c r="W4" t="n">
        <v>194.37</v>
      </c>
      <c r="X4" t="n">
        <v>201.39</v>
      </c>
      <c r="Y4" t="n">
        <v>202.92</v>
      </c>
      <c r="Z4" t="n">
        <v>215.98</v>
      </c>
      <c r="AA4" t="n">
        <v>227.95</v>
      </c>
      <c r="AB4" t="n">
        <v>233.94</v>
      </c>
      <c r="AC4" t="n">
        <v>232.56</v>
      </c>
      <c r="AD4" t="n">
        <v>239.09</v>
      </c>
      <c r="AE4" t="n">
        <v>247.15</v>
      </c>
      <c r="AF4" t="n">
        <v>264.52</v>
      </c>
    </row>
    <row r="5">
      <c r="A5" t="s">
        <v>20</v>
      </c>
      <c r="B5" t="s">
        <v>167</v>
      </c>
      <c r="C5" t="s">
        <v>131</v>
      </c>
      <c r="D5" t="s">
        <v>168</v>
      </c>
      <c r="E5" t="s">
        <v>132</v>
      </c>
      <c r="F5" t="n">
        <v>55.36</v>
      </c>
      <c r="G5" t="n">
        <v>55.4</v>
      </c>
      <c r="H5" t="n">
        <v>55.5</v>
      </c>
      <c r="I5" t="n">
        <v>55.82</v>
      </c>
      <c r="J5" t="n">
        <v>56.02</v>
      </c>
      <c r="K5" t="n">
        <v>56.95</v>
      </c>
      <c r="L5" t="n">
        <v>56.66</v>
      </c>
      <c r="M5" t="n">
        <v>55.85</v>
      </c>
      <c r="N5" t="n">
        <v>55.15</v>
      </c>
      <c r="O5" t="n">
        <v>56</v>
      </c>
      <c r="P5" t="n">
        <v>56.45</v>
      </c>
      <c r="Q5" t="n">
        <v>57.6</v>
      </c>
      <c r="R5" t="n">
        <v>56.21</v>
      </c>
      <c r="S5" t="n">
        <v>55.01</v>
      </c>
      <c r="T5" t="n">
        <v>47.71</v>
      </c>
      <c r="U5" t="n">
        <v>44.13</v>
      </c>
      <c r="V5" t="n">
        <v>50.09</v>
      </c>
      <c r="W5" t="n">
        <v>50.36</v>
      </c>
      <c r="X5" t="n">
        <v>50.99</v>
      </c>
      <c r="Y5" t="n">
        <v>54.83</v>
      </c>
      <c r="Z5" t="n">
        <v>54.37</v>
      </c>
      <c r="AA5" t="n">
        <v>55.94</v>
      </c>
      <c r="AB5" t="n">
        <v>54.95</v>
      </c>
      <c r="AC5" t="n">
        <v>55.61</v>
      </c>
      <c r="AD5" t="n">
        <v>53.96</v>
      </c>
      <c r="AE5" t="n">
        <v>52.4</v>
      </c>
      <c r="AF5" t="n">
        <v>54.7</v>
      </c>
    </row>
    <row r="6">
      <c r="A6" t="s">
        <v>20</v>
      </c>
      <c r="B6" t="s">
        <v>169</v>
      </c>
      <c r="C6" t="s">
        <v>131</v>
      </c>
      <c r="D6" t="s">
        <v>170</v>
      </c>
      <c r="E6" t="s">
        <v>132</v>
      </c>
      <c r="F6" t="n">
        <v>21.8</v>
      </c>
      <c r="G6" t="n">
        <v>21.11</v>
      </c>
      <c r="H6" t="n">
        <v>20.43</v>
      </c>
      <c r="I6" t="n">
        <v>20.07</v>
      </c>
      <c r="J6" t="n">
        <v>18.42</v>
      </c>
      <c r="K6" t="n">
        <v>15.83</v>
      </c>
      <c r="L6" t="n">
        <v>13.32</v>
      </c>
      <c r="M6" t="n">
        <v>12.44</v>
      </c>
      <c r="N6" t="n">
        <v>10.6</v>
      </c>
      <c r="O6" t="n">
        <v>7.99</v>
      </c>
      <c r="P6" t="n">
        <v>7.74</v>
      </c>
      <c r="Q6" t="n">
        <v>7.96</v>
      </c>
      <c r="R6" t="n">
        <v>7.5</v>
      </c>
      <c r="S6" t="n">
        <v>7.76</v>
      </c>
      <c r="T6" t="n">
        <v>5.54</v>
      </c>
      <c r="U6" t="n">
        <v>4.86</v>
      </c>
      <c r="V6" t="n">
        <v>3.46</v>
      </c>
      <c r="W6" t="n">
        <v>3.75</v>
      </c>
      <c r="X6" t="n">
        <v>5.47</v>
      </c>
      <c r="Y6" t="n">
        <v>4.8</v>
      </c>
      <c r="Z6" t="n">
        <v>4.42</v>
      </c>
      <c r="AA6" t="n">
        <v>2.81</v>
      </c>
      <c r="AB6" t="n">
        <v>3.18</v>
      </c>
      <c r="AC6" t="n">
        <v>3.4</v>
      </c>
      <c r="AD6" t="n">
        <v>2.38</v>
      </c>
      <c r="AE6" t="n">
        <v>3.08</v>
      </c>
      <c r="AF6" t="n">
        <v>3.18</v>
      </c>
    </row>
    <row r="7">
      <c r="A7" t="s">
        <v>20</v>
      </c>
      <c r="B7" t="s">
        <v>171</v>
      </c>
      <c r="C7" t="s">
        <v>131</v>
      </c>
      <c r="D7" t="s">
        <v>172</v>
      </c>
      <c r="E7" t="s">
        <v>132</v>
      </c>
      <c r="F7" t="n">
        <v>22.09</v>
      </c>
      <c r="G7" t="n">
        <v>21.94</v>
      </c>
      <c r="H7" t="n">
        <v>21.83</v>
      </c>
      <c r="I7" t="n">
        <v>22.38</v>
      </c>
      <c r="J7" t="n">
        <v>23.97</v>
      </c>
      <c r="K7" t="n">
        <v>24.33</v>
      </c>
      <c r="L7" t="n">
        <v>24.86</v>
      </c>
      <c r="M7" t="n">
        <v>24.31</v>
      </c>
      <c r="N7" t="n">
        <v>21.83</v>
      </c>
      <c r="O7" t="n">
        <v>20.9</v>
      </c>
      <c r="P7" t="n">
        <v>19.9</v>
      </c>
      <c r="Q7" t="n">
        <v>20.17</v>
      </c>
      <c r="R7" t="n">
        <v>20.9</v>
      </c>
      <c r="S7" t="n">
        <v>19.09</v>
      </c>
      <c r="T7" t="n">
        <v>15.25</v>
      </c>
      <c r="U7" t="n">
        <v>13.82</v>
      </c>
      <c r="V7" t="n">
        <v>12.15</v>
      </c>
      <c r="W7" t="n">
        <v>10.67</v>
      </c>
      <c r="X7" t="n">
        <v>13.46</v>
      </c>
      <c r="Y7" t="n">
        <v>12.88</v>
      </c>
      <c r="Z7" t="n">
        <v>12.53</v>
      </c>
      <c r="AA7" t="n">
        <v>12.78</v>
      </c>
      <c r="AB7" t="n">
        <v>14.11</v>
      </c>
      <c r="AC7" t="n">
        <v>11.72</v>
      </c>
      <c r="AD7" t="n">
        <v>10.96</v>
      </c>
      <c r="AE7" t="n">
        <v>10.74</v>
      </c>
      <c r="AF7" t="n">
        <v>9.98</v>
      </c>
    </row>
    <row r="8">
      <c r="A8" t="s">
        <v>20</v>
      </c>
      <c r="B8" t="s">
        <v>173</v>
      </c>
      <c r="C8" t="s">
        <v>131</v>
      </c>
      <c r="D8" t="s">
        <v>174</v>
      </c>
      <c r="E8" t="s">
        <v>132</v>
      </c>
      <c r="F8" t="n">
        <v>0.36</v>
      </c>
      <c r="G8" t="n">
        <v>0.36</v>
      </c>
      <c r="H8" t="n">
        <v>0.36</v>
      </c>
      <c r="I8" t="n">
        <v>0.4</v>
      </c>
      <c r="J8" t="n">
        <v>0.25</v>
      </c>
      <c r="K8" t="n">
        <v>0.28</v>
      </c>
      <c r="L8" t="n">
        <v>0.39</v>
      </c>
      <c r="M8" t="n">
        <v>0.45</v>
      </c>
      <c r="N8" t="n">
        <v>0.64</v>
      </c>
      <c r="O8" t="n">
        <v>1.32</v>
      </c>
      <c r="P8" t="n">
        <v>0.77</v>
      </c>
      <c r="Q8" t="n">
        <v>0.53</v>
      </c>
      <c r="R8" t="n">
        <v>0.44</v>
      </c>
      <c r="S8" t="n">
        <v>0.41</v>
      </c>
      <c r="T8" t="n">
        <v>0.45</v>
      </c>
      <c r="U8" t="n">
        <v>0.42</v>
      </c>
      <c r="V8" t="n">
        <v>0.34</v>
      </c>
      <c r="W8" t="n">
        <v>0.36</v>
      </c>
      <c r="X8" t="n">
        <v>0.38</v>
      </c>
      <c r="Y8" t="n">
        <v>0.26</v>
      </c>
      <c r="Z8" t="n">
        <v>0.2</v>
      </c>
      <c r="AA8" t="n">
        <v>0.12</v>
      </c>
      <c r="AB8" t="n">
        <v>1.41</v>
      </c>
      <c r="AC8" t="n">
        <v>2.3</v>
      </c>
      <c r="AD8" t="n">
        <v>1.38</v>
      </c>
      <c r="AE8" t="n">
        <v>2.13</v>
      </c>
      <c r="AF8" t="n">
        <v>3.11</v>
      </c>
    </row>
    <row r="9">
      <c r="A9" t="s">
        <v>20</v>
      </c>
      <c r="B9" t="s">
        <v>175</v>
      </c>
      <c r="C9" t="s">
        <v>131</v>
      </c>
      <c r="D9" t="s">
        <v>176</v>
      </c>
      <c r="E9" t="s">
        <v>132</v>
      </c>
      <c r="F9" t="n">
        <v>5.54</v>
      </c>
      <c r="G9" t="n">
        <v>5.75</v>
      </c>
      <c r="H9" t="n">
        <v>5.43</v>
      </c>
      <c r="I9" t="n">
        <v>6.15</v>
      </c>
      <c r="J9" t="n">
        <v>5.4</v>
      </c>
      <c r="K9" t="n">
        <v>5.89</v>
      </c>
      <c r="L9" t="n">
        <v>5.84</v>
      </c>
      <c r="M9" t="n">
        <v>4.82</v>
      </c>
      <c r="N9" t="n">
        <v>4.78</v>
      </c>
      <c r="O9" t="n">
        <v>4.01</v>
      </c>
      <c r="P9" t="n">
        <v>3.84</v>
      </c>
      <c r="Q9" t="n">
        <v>2.92</v>
      </c>
      <c r="R9" t="n">
        <v>2.97</v>
      </c>
      <c r="S9" t="n">
        <v>3.46</v>
      </c>
      <c r="T9" t="n">
        <v>2.83</v>
      </c>
      <c r="U9" t="n">
        <v>2.93</v>
      </c>
      <c r="V9" t="n">
        <v>2.78</v>
      </c>
      <c r="W9" t="n">
        <v>2.91</v>
      </c>
      <c r="X9" t="n">
        <v>2.85</v>
      </c>
      <c r="Y9" t="n">
        <v>2.42</v>
      </c>
      <c r="Z9" t="n">
        <v>3.02</v>
      </c>
      <c r="AA9" t="n">
        <v>3.55</v>
      </c>
      <c r="AB9" t="n">
        <v>2.9</v>
      </c>
      <c r="AC9" t="n">
        <v>3.06</v>
      </c>
      <c r="AD9" t="n">
        <v>2.26</v>
      </c>
      <c r="AE9" t="n">
        <v>2.6</v>
      </c>
      <c r="AF9" t="n">
        <v>2.02</v>
      </c>
    </row>
    <row r="10">
      <c r="A10" t="s">
        <v>20</v>
      </c>
      <c r="B10" t="s">
        <v>177</v>
      </c>
      <c r="C10" t="s">
        <v>131</v>
      </c>
      <c r="D10" t="s">
        <v>178</v>
      </c>
      <c r="E10" t="s">
        <v>132</v>
      </c>
      <c r="F10" t="n">
        <v>18.73</v>
      </c>
      <c r="G10" t="n">
        <v>20.86</v>
      </c>
      <c r="H10" t="n">
        <v>22.47</v>
      </c>
      <c r="I10" t="n">
        <v>24.91</v>
      </c>
      <c r="J10" t="n">
        <v>24.41</v>
      </c>
      <c r="K10" t="n">
        <v>27.32</v>
      </c>
      <c r="L10" t="n">
        <v>30.44</v>
      </c>
      <c r="M10" t="n">
        <v>32.35</v>
      </c>
      <c r="N10" t="n">
        <v>31.47</v>
      </c>
      <c r="O10" t="n">
        <v>33.7</v>
      </c>
      <c r="P10" t="n">
        <v>33.43</v>
      </c>
      <c r="Q10" t="n">
        <v>33.32</v>
      </c>
      <c r="R10" t="n">
        <v>35.06</v>
      </c>
      <c r="S10" t="n">
        <v>33.56</v>
      </c>
      <c r="T10" t="n">
        <v>31.52</v>
      </c>
      <c r="U10" t="n">
        <v>35</v>
      </c>
      <c r="V10" t="n">
        <v>34.19</v>
      </c>
      <c r="W10" t="n">
        <v>33.32</v>
      </c>
      <c r="X10" t="n">
        <v>36.43</v>
      </c>
      <c r="Y10" t="n">
        <v>34.93</v>
      </c>
      <c r="Z10" t="n">
        <v>39.95</v>
      </c>
      <c r="AA10" t="n">
        <v>44.88</v>
      </c>
      <c r="AB10" t="n">
        <v>43.02</v>
      </c>
      <c r="AC10" t="n">
        <v>43</v>
      </c>
      <c r="AD10" t="n">
        <v>44.07</v>
      </c>
      <c r="AE10" t="n">
        <v>52.74</v>
      </c>
      <c r="AF10" t="n">
        <v>60.83</v>
      </c>
    </row>
    <row r="11">
      <c r="A11" t="s">
        <v>20</v>
      </c>
      <c r="B11" t="s">
        <v>179</v>
      </c>
      <c r="C11" t="s">
        <v>131</v>
      </c>
      <c r="D11" t="s">
        <v>180</v>
      </c>
      <c r="E11" t="s">
        <v>132</v>
      </c>
      <c r="F11" t="n">
        <v>13.19</v>
      </c>
      <c r="G11" t="n">
        <v>15.11</v>
      </c>
      <c r="H11" t="n">
        <v>17.04</v>
      </c>
      <c r="I11" t="n">
        <v>18.76</v>
      </c>
      <c r="J11" t="n">
        <v>19.01</v>
      </c>
      <c r="K11" t="n">
        <v>21.43</v>
      </c>
      <c r="L11" t="n">
        <v>24.6</v>
      </c>
      <c r="M11" t="n">
        <v>27.53</v>
      </c>
      <c r="N11" t="n">
        <v>26.69</v>
      </c>
      <c r="O11" t="n">
        <v>29.69</v>
      </c>
      <c r="P11" t="n">
        <v>29.59</v>
      </c>
      <c r="Q11" t="n">
        <v>30.4</v>
      </c>
      <c r="R11" t="n">
        <v>32.09</v>
      </c>
      <c r="S11" t="n">
        <v>30.1</v>
      </c>
      <c r="T11" t="n">
        <v>28.69</v>
      </c>
      <c r="U11" t="n">
        <v>32.07</v>
      </c>
      <c r="V11" t="n">
        <v>31.41</v>
      </c>
      <c r="W11" t="n">
        <v>30.41</v>
      </c>
      <c r="X11" t="n">
        <v>33.58</v>
      </c>
      <c r="Y11" t="n">
        <v>32.51</v>
      </c>
      <c r="Z11" t="n">
        <v>36.93</v>
      </c>
      <c r="AA11" t="n">
        <v>41.33</v>
      </c>
      <c r="AB11" t="n">
        <v>40.12</v>
      </c>
      <c r="AC11" t="n">
        <v>39.94</v>
      </c>
      <c r="AD11" t="n">
        <v>41.81</v>
      </c>
      <c r="AE11" t="n">
        <v>50.14</v>
      </c>
      <c r="AF11" t="n">
        <v>58.81</v>
      </c>
    </row>
    <row r="12">
      <c r="A12" t="s">
        <v>20</v>
      </c>
      <c r="B12" t="s">
        <v>181</v>
      </c>
      <c r="C12" t="s">
        <v>131</v>
      </c>
      <c r="D12" t="s">
        <v>182</v>
      </c>
      <c r="E12" t="s">
        <v>132</v>
      </c>
      <c r="F12" t="n">
        <v>25.24</v>
      </c>
      <c r="G12" t="n">
        <v>24.98</v>
      </c>
      <c r="H12" t="n">
        <v>24.73</v>
      </c>
      <c r="I12" t="n">
        <v>25.31</v>
      </c>
      <c r="J12" t="n">
        <v>23.85</v>
      </c>
      <c r="K12" t="n">
        <v>26.11</v>
      </c>
      <c r="L12" t="n">
        <v>24.18</v>
      </c>
      <c r="M12" t="n">
        <v>24.8</v>
      </c>
      <c r="N12" t="n">
        <v>23.64</v>
      </c>
      <c r="O12" t="n">
        <v>22.42</v>
      </c>
      <c r="P12" t="n">
        <v>22.04</v>
      </c>
      <c r="Q12" t="n">
        <v>20.91</v>
      </c>
      <c r="R12" t="n">
        <v>20.48</v>
      </c>
      <c r="S12" t="n">
        <v>16.91</v>
      </c>
      <c r="T12" t="n">
        <v>11.9</v>
      </c>
      <c r="U12" t="n">
        <v>9.53</v>
      </c>
      <c r="V12" t="n">
        <v>10.1</v>
      </c>
      <c r="W12" t="n">
        <v>10.54</v>
      </c>
      <c r="X12" t="n">
        <v>8.58</v>
      </c>
      <c r="Y12" t="n">
        <v>8.28</v>
      </c>
      <c r="Z12" t="n">
        <v>8.85</v>
      </c>
      <c r="AA12" t="n">
        <v>11.4</v>
      </c>
      <c r="AB12" t="n">
        <v>12.22</v>
      </c>
      <c r="AC12" t="n">
        <v>12.12</v>
      </c>
      <c r="AD12" t="n">
        <v>12.96</v>
      </c>
      <c r="AE12" t="n">
        <v>12.15</v>
      </c>
      <c r="AF12" t="n">
        <v>10.68</v>
      </c>
    </row>
    <row r="13">
      <c r="A13" t="s">
        <v>20</v>
      </c>
      <c r="B13" t="s">
        <v>183</v>
      </c>
      <c r="C13" t="s">
        <v>131</v>
      </c>
      <c r="D13" t="s">
        <v>184</v>
      </c>
      <c r="E13" t="s">
        <v>132</v>
      </c>
      <c r="F13" t="n">
        <v>25.3</v>
      </c>
      <c r="G13" t="n">
        <v>25.35</v>
      </c>
      <c r="H13" t="n">
        <v>25.43</v>
      </c>
      <c r="I13" t="n">
        <v>25.62</v>
      </c>
      <c r="J13" t="n">
        <v>26.93</v>
      </c>
      <c r="K13" t="n">
        <v>28.28</v>
      </c>
      <c r="L13" t="n">
        <v>27.81</v>
      </c>
      <c r="M13" t="n">
        <v>24.86</v>
      </c>
      <c r="N13" t="n">
        <v>26.23</v>
      </c>
      <c r="O13" t="n">
        <v>24.65</v>
      </c>
      <c r="P13" t="n">
        <v>23.84</v>
      </c>
      <c r="Q13" t="n">
        <v>24.76</v>
      </c>
      <c r="R13" t="n">
        <v>26.63</v>
      </c>
      <c r="S13" t="n">
        <v>24.7</v>
      </c>
      <c r="T13" t="n">
        <v>17.11</v>
      </c>
      <c r="U13" t="n">
        <v>14.93</v>
      </c>
      <c r="V13" t="n">
        <v>13.76</v>
      </c>
      <c r="W13" t="n">
        <v>13.25</v>
      </c>
      <c r="X13" t="n">
        <v>12.47</v>
      </c>
      <c r="Y13" t="n">
        <v>12.89</v>
      </c>
      <c r="Z13" t="n">
        <v>15.58</v>
      </c>
      <c r="AA13" t="n">
        <v>15.59</v>
      </c>
      <c r="AB13" t="n">
        <v>17.23</v>
      </c>
      <c r="AC13" t="n">
        <v>14.83</v>
      </c>
      <c r="AD13" t="n">
        <v>16.86</v>
      </c>
      <c r="AE13" t="n">
        <v>16.85</v>
      </c>
      <c r="AF13" t="n">
        <v>14.58</v>
      </c>
    </row>
    <row r="14">
      <c r="A14" t="s">
        <v>20</v>
      </c>
      <c r="B14" t="s">
        <v>185</v>
      </c>
      <c r="C14" t="s">
        <v>131</v>
      </c>
      <c r="D14" t="s">
        <v>186</v>
      </c>
      <c r="E14" t="s">
        <v>132</v>
      </c>
      <c r="F14" t="n">
        <v>45.64</v>
      </c>
      <c r="G14" t="n">
        <v>45.64</v>
      </c>
      <c r="H14" t="n">
        <v>45.64</v>
      </c>
      <c r="I14" t="n">
        <v>44.84</v>
      </c>
      <c r="J14" t="n">
        <v>43.05</v>
      </c>
      <c r="K14" t="n">
        <v>47.8</v>
      </c>
      <c r="L14" t="n">
        <v>47.95</v>
      </c>
      <c r="M14" t="n">
        <v>38.26</v>
      </c>
      <c r="N14" t="n">
        <v>33.2</v>
      </c>
      <c r="O14" t="n">
        <v>34.03</v>
      </c>
      <c r="P14" t="n">
        <v>34.5</v>
      </c>
      <c r="Q14" t="n">
        <v>33.21</v>
      </c>
      <c r="R14" t="n">
        <v>31.02</v>
      </c>
      <c r="S14" t="n">
        <v>31.87</v>
      </c>
      <c r="T14" t="n">
        <v>29.16</v>
      </c>
      <c r="U14" t="n">
        <v>25.67</v>
      </c>
      <c r="V14" t="n">
        <v>23.2</v>
      </c>
      <c r="W14" t="n">
        <v>25.07</v>
      </c>
      <c r="X14" t="n">
        <v>23.9</v>
      </c>
      <c r="Y14" t="n">
        <v>25.85</v>
      </c>
      <c r="Z14" t="n">
        <v>26.68</v>
      </c>
      <c r="AA14" t="n">
        <v>25.41</v>
      </c>
      <c r="AB14" t="n">
        <v>23.65</v>
      </c>
      <c r="AC14" t="n">
        <v>21.12</v>
      </c>
      <c r="AD14" t="n">
        <v>20.27</v>
      </c>
      <c r="AE14" t="n">
        <v>24.61</v>
      </c>
      <c r="AF14" t="n">
        <v>27.68</v>
      </c>
    </row>
    <row r="15">
      <c r="A15" t="s">
        <v>20</v>
      </c>
      <c r="B15" t="s">
        <v>187</v>
      </c>
      <c r="C15" t="s">
        <v>131</v>
      </c>
      <c r="D15" t="s">
        <v>188</v>
      </c>
      <c r="E15" t="s">
        <v>132</v>
      </c>
      <c r="F15" t="n">
        <v>52.6</v>
      </c>
      <c r="G15" t="n">
        <v>52.6</v>
      </c>
      <c r="H15" t="n">
        <v>52.56</v>
      </c>
      <c r="I15" t="n">
        <v>52.02</v>
      </c>
      <c r="J15" t="n">
        <v>49.68</v>
      </c>
      <c r="K15" t="n">
        <v>54.95</v>
      </c>
      <c r="L15" t="n">
        <v>54.97</v>
      </c>
      <c r="M15" t="n">
        <v>43.73</v>
      </c>
      <c r="N15" t="n">
        <v>38.78</v>
      </c>
      <c r="O15" t="n">
        <v>37.73</v>
      </c>
      <c r="P15" t="n">
        <v>38.48</v>
      </c>
      <c r="Q15" t="n">
        <v>36.28</v>
      </c>
      <c r="R15" t="n">
        <v>33.14</v>
      </c>
      <c r="S15" t="n">
        <v>33.97</v>
      </c>
      <c r="T15" t="n">
        <v>31.03</v>
      </c>
      <c r="U15" t="n">
        <v>27.24</v>
      </c>
      <c r="V15" t="n">
        <v>25.72</v>
      </c>
      <c r="W15" t="n">
        <v>26.52</v>
      </c>
      <c r="X15" t="n">
        <v>25.82</v>
      </c>
      <c r="Y15" t="n">
        <v>27.94</v>
      </c>
      <c r="Z15" t="n">
        <v>28.33</v>
      </c>
      <c r="AA15" t="n">
        <v>27.29</v>
      </c>
      <c r="AB15" t="n">
        <v>26.65</v>
      </c>
      <c r="AC15" t="n">
        <v>24.92</v>
      </c>
      <c r="AD15" t="n">
        <v>23.33</v>
      </c>
      <c r="AE15" t="n">
        <v>27.2</v>
      </c>
      <c r="AF15" t="n">
        <v>30.62</v>
      </c>
    </row>
    <row r="16">
      <c r="A16" t="s">
        <v>20</v>
      </c>
      <c r="B16" t="s">
        <v>189</v>
      </c>
      <c r="C16" t="s">
        <v>131</v>
      </c>
      <c r="D16" t="s">
        <v>190</v>
      </c>
      <c r="E16" t="s">
        <v>132</v>
      </c>
      <c r="F16" t="n">
        <v>6.96</v>
      </c>
      <c r="G16" t="n">
        <v>6.96</v>
      </c>
      <c r="H16" t="n">
        <v>6.92</v>
      </c>
      <c r="I16" t="n">
        <v>7.18</v>
      </c>
      <c r="J16" t="n">
        <v>6.63</v>
      </c>
      <c r="K16" t="n">
        <v>7.15</v>
      </c>
      <c r="L16" t="n">
        <v>7.02</v>
      </c>
      <c r="M16" t="n">
        <v>5.47</v>
      </c>
      <c r="N16" t="n">
        <v>5.58</v>
      </c>
      <c r="O16" t="n">
        <v>3.7</v>
      </c>
      <c r="P16" t="n">
        <v>3.98</v>
      </c>
      <c r="Q16" t="n">
        <v>3.07</v>
      </c>
      <c r="R16" t="n">
        <v>2.12</v>
      </c>
      <c r="S16" t="n">
        <v>2.1</v>
      </c>
      <c r="T16" t="n">
        <v>1.87</v>
      </c>
      <c r="U16" t="n">
        <v>1.57</v>
      </c>
      <c r="V16" t="n">
        <v>2.52</v>
      </c>
      <c r="W16" t="n">
        <v>1.45</v>
      </c>
      <c r="X16" t="n">
        <v>1.92</v>
      </c>
      <c r="Y16" t="n">
        <v>2.09</v>
      </c>
      <c r="Z16" t="n">
        <v>1.65</v>
      </c>
      <c r="AA16" t="n">
        <v>1.88</v>
      </c>
      <c r="AB16" t="n">
        <v>3</v>
      </c>
      <c r="AC16" t="n">
        <v>3.8</v>
      </c>
      <c r="AD16" t="n">
        <v>3.06</v>
      </c>
      <c r="AE16" t="n">
        <v>2.59</v>
      </c>
      <c r="AF16" t="n">
        <v>2.94</v>
      </c>
    </row>
    <row r="17">
      <c r="A17" t="s">
        <v>20</v>
      </c>
      <c r="B17" t="s">
        <v>191</v>
      </c>
      <c r="C17" t="s">
        <v>131</v>
      </c>
      <c r="D17" t="s">
        <v>192</v>
      </c>
      <c r="E17" t="s">
        <v>132</v>
      </c>
      <c r="F17" t="n">
        <v>19.84</v>
      </c>
      <c r="G17" t="n">
        <v>19.84</v>
      </c>
      <c r="H17" t="n">
        <v>19.84</v>
      </c>
      <c r="I17" t="n">
        <v>20.96</v>
      </c>
      <c r="J17" t="n">
        <v>27.15</v>
      </c>
      <c r="K17" t="n">
        <v>26.08</v>
      </c>
      <c r="L17" t="n">
        <v>27.19</v>
      </c>
      <c r="M17" t="n">
        <v>27.35</v>
      </c>
      <c r="N17" t="n">
        <v>27.22</v>
      </c>
      <c r="O17" t="n">
        <v>26.87</v>
      </c>
      <c r="P17" t="n">
        <v>26.36</v>
      </c>
      <c r="Q17" t="n">
        <v>26.45</v>
      </c>
      <c r="R17" t="n">
        <v>28.73</v>
      </c>
      <c r="S17" t="n">
        <v>27.21</v>
      </c>
      <c r="T17" t="n">
        <v>29.01</v>
      </c>
      <c r="U17" t="n">
        <v>27.99</v>
      </c>
      <c r="V17" t="n">
        <v>28.25</v>
      </c>
      <c r="W17" t="n">
        <v>28.41</v>
      </c>
      <c r="X17" t="n">
        <v>32.18</v>
      </c>
      <c r="Y17" t="n">
        <v>30.03</v>
      </c>
      <c r="Z17" t="n">
        <v>32.13</v>
      </c>
      <c r="AA17" t="n">
        <v>36.34</v>
      </c>
      <c r="AB17" t="n">
        <v>21.45</v>
      </c>
      <c r="AC17" t="n">
        <v>6.81</v>
      </c>
      <c r="AD17" t="n">
        <v>7.89</v>
      </c>
      <c r="AE17" t="n">
        <v>9.09</v>
      </c>
      <c r="AF17" t="n">
        <v>8.92</v>
      </c>
    </row>
    <row r="18">
      <c r="A18" t="s">
        <v>20</v>
      </c>
      <c r="B18" t="s">
        <v>193</v>
      </c>
      <c r="C18" t="s">
        <v>131</v>
      </c>
      <c r="D18" t="s">
        <v>194</v>
      </c>
      <c r="E18" t="s">
        <v>132</v>
      </c>
      <c r="F18" t="n">
        <v>8.27</v>
      </c>
      <c r="G18" t="n">
        <v>8.28</v>
      </c>
      <c r="H18" t="n">
        <v>8.22</v>
      </c>
      <c r="I18" t="n">
        <v>8.58</v>
      </c>
      <c r="J18" t="n">
        <v>8.03</v>
      </c>
      <c r="K18" t="n">
        <v>7.65</v>
      </c>
      <c r="L18" t="n">
        <v>6.42</v>
      </c>
      <c r="M18" t="n">
        <v>6.07</v>
      </c>
      <c r="N18" t="n">
        <v>6.46</v>
      </c>
      <c r="O18" t="n">
        <v>6.52</v>
      </c>
      <c r="P18" t="n">
        <v>6.48</v>
      </c>
      <c r="Q18" t="n">
        <v>5.45</v>
      </c>
      <c r="R18" t="n">
        <v>5.05</v>
      </c>
      <c r="S18" t="n">
        <v>4</v>
      </c>
      <c r="T18" t="n">
        <v>3.89</v>
      </c>
      <c r="U18" t="n">
        <v>3.56</v>
      </c>
      <c r="V18" t="n">
        <v>4.25</v>
      </c>
      <c r="W18" t="n">
        <v>3.29</v>
      </c>
      <c r="X18" t="n">
        <v>3.73</v>
      </c>
      <c r="Y18" t="n">
        <v>3.11</v>
      </c>
      <c r="Z18" t="n">
        <v>4.04</v>
      </c>
      <c r="AA18" t="n">
        <v>4.08</v>
      </c>
      <c r="AB18" t="n">
        <v>4.18</v>
      </c>
      <c r="AC18" t="n">
        <v>6.22</v>
      </c>
      <c r="AD18" t="n">
        <v>6.28</v>
      </c>
      <c r="AE18" t="n">
        <v>6.08</v>
      </c>
      <c r="AF18" t="n">
        <v>7.22</v>
      </c>
    </row>
    <row r="19">
      <c r="A19" t="s">
        <v>20</v>
      </c>
      <c r="B19" t="s">
        <v>195</v>
      </c>
      <c r="C19" t="s">
        <v>131</v>
      </c>
      <c r="D19" t="s">
        <v>196</v>
      </c>
      <c r="E19" t="s">
        <v>132</v>
      </c>
      <c r="F19" t="n">
        <v>25.55</v>
      </c>
      <c r="G19" t="n">
        <v>25.55</v>
      </c>
      <c r="H19" t="n">
        <v>25.55</v>
      </c>
      <c r="I19" t="n">
        <v>25.93</v>
      </c>
      <c r="J19" t="n">
        <v>27.59</v>
      </c>
      <c r="K19" t="n">
        <v>25.19</v>
      </c>
      <c r="L19" t="n">
        <v>25.66</v>
      </c>
      <c r="M19" t="n">
        <v>25.28</v>
      </c>
      <c r="N19" t="n">
        <v>27.47</v>
      </c>
      <c r="O19" t="n">
        <v>26.36</v>
      </c>
      <c r="P19" t="n">
        <v>21.74</v>
      </c>
      <c r="Q19" t="n">
        <v>22.87</v>
      </c>
      <c r="R19" t="n">
        <v>21.49</v>
      </c>
      <c r="S19" t="n">
        <v>19.15</v>
      </c>
      <c r="T19" t="n">
        <v>17.57</v>
      </c>
      <c r="U19" t="n">
        <v>16.91</v>
      </c>
      <c r="V19" t="n">
        <v>15.26</v>
      </c>
      <c r="W19" t="n">
        <v>13.9</v>
      </c>
      <c r="X19" t="n">
        <v>11.88</v>
      </c>
      <c r="Y19" t="n">
        <v>12.97</v>
      </c>
      <c r="Z19" t="n">
        <v>15.58</v>
      </c>
      <c r="AA19" t="n">
        <v>16.72</v>
      </c>
      <c r="AB19" t="n">
        <v>35.54</v>
      </c>
      <c r="AC19" t="n">
        <v>51.63</v>
      </c>
      <c r="AD19" t="n">
        <v>59.02</v>
      </c>
      <c r="AE19" t="n">
        <v>54.69</v>
      </c>
      <c r="AF19" t="n">
        <v>60.7</v>
      </c>
    </row>
    <row r="20">
      <c r="A20" t="s">
        <v>20</v>
      </c>
      <c r="B20" t="s">
        <v>197</v>
      </c>
      <c r="C20" t="s">
        <v>131</v>
      </c>
      <c r="D20" t="s">
        <v>198</v>
      </c>
      <c r="E20" t="s">
        <v>132</v>
      </c>
      <c r="F20" t="n">
        <v>11.08</v>
      </c>
      <c r="G20" t="n">
        <v>11.08</v>
      </c>
      <c r="H20" t="n">
        <v>11.08</v>
      </c>
      <c r="I20" t="n">
        <v>10.94</v>
      </c>
      <c r="J20" t="n">
        <v>10.76</v>
      </c>
      <c r="K20" t="n">
        <v>9.63</v>
      </c>
      <c r="L20" t="n">
        <v>10.68</v>
      </c>
      <c r="M20" t="n">
        <v>11.04</v>
      </c>
      <c r="N20" t="n">
        <v>12.13</v>
      </c>
      <c r="O20" t="n">
        <v>12.72</v>
      </c>
      <c r="P20" t="n">
        <v>11.94</v>
      </c>
      <c r="Q20" t="n">
        <v>10.55</v>
      </c>
      <c r="R20" t="n">
        <v>10.62</v>
      </c>
      <c r="S20" t="n">
        <v>11.02</v>
      </c>
      <c r="T20" t="n">
        <v>11.68</v>
      </c>
      <c r="U20" t="n">
        <v>11.27</v>
      </c>
      <c r="V20" t="n">
        <v>9.62</v>
      </c>
      <c r="W20" t="n">
        <v>8.93</v>
      </c>
      <c r="X20" t="n">
        <v>9.06</v>
      </c>
      <c r="Y20" t="n">
        <v>9.41</v>
      </c>
      <c r="Z20" t="n">
        <v>8.83</v>
      </c>
      <c r="AA20" t="n">
        <v>11.81</v>
      </c>
      <c r="AB20" t="n">
        <v>13.45</v>
      </c>
      <c r="AC20" t="n">
        <v>12.24</v>
      </c>
      <c r="AD20" t="n">
        <v>13.32</v>
      </c>
      <c r="AE20" t="n">
        <v>11.87</v>
      </c>
      <c r="AF20" t="n">
        <v>12.61</v>
      </c>
    </row>
    <row r="21">
      <c r="A21" t="s">
        <v>20</v>
      </c>
      <c r="B21" t="s">
        <v>199</v>
      </c>
      <c r="C21" t="s">
        <v>131</v>
      </c>
      <c r="D21" t="s">
        <v>200</v>
      </c>
      <c r="E21" t="s">
        <v>132</v>
      </c>
      <c r="F21" t="n">
        <v>14.49</v>
      </c>
      <c r="G21" t="n">
        <v>14.69</v>
      </c>
      <c r="H21" t="n">
        <v>14.9</v>
      </c>
      <c r="I21" t="n">
        <v>14.94</v>
      </c>
      <c r="J21" t="n">
        <v>15.41</v>
      </c>
      <c r="K21" t="n">
        <v>15.43</v>
      </c>
      <c r="L21" t="n">
        <v>16.52</v>
      </c>
      <c r="M21" t="n">
        <v>17.31</v>
      </c>
      <c r="N21" t="n">
        <v>18.14</v>
      </c>
      <c r="O21" t="n">
        <v>20.33</v>
      </c>
      <c r="P21" t="n">
        <v>21.73</v>
      </c>
      <c r="Q21" t="n">
        <v>23.62</v>
      </c>
      <c r="R21" t="n">
        <v>24.5</v>
      </c>
      <c r="S21" t="n">
        <v>23.64</v>
      </c>
      <c r="T21" t="n">
        <v>22.74</v>
      </c>
      <c r="U21" t="n">
        <v>22.44</v>
      </c>
      <c r="V21" t="n">
        <v>20.61</v>
      </c>
      <c r="W21" t="n">
        <v>17.11</v>
      </c>
      <c r="X21" t="n">
        <v>19.34</v>
      </c>
      <c r="Y21" t="n">
        <v>20.41</v>
      </c>
      <c r="Z21" t="n">
        <v>19.37</v>
      </c>
      <c r="AA21" t="n">
        <v>20.55</v>
      </c>
      <c r="AB21" t="n">
        <v>23.5</v>
      </c>
      <c r="AC21" t="n">
        <v>23.47</v>
      </c>
      <c r="AD21" t="n">
        <v>25.18</v>
      </c>
      <c r="AE21" t="n">
        <v>24.27</v>
      </c>
      <c r="AF21" t="n">
        <v>24.4</v>
      </c>
    </row>
    <row r="22">
      <c r="A22" t="s">
        <v>20</v>
      </c>
      <c r="B22" t="s">
        <v>201</v>
      </c>
      <c r="C22" t="s">
        <v>131</v>
      </c>
      <c r="D22" t="s">
        <v>202</v>
      </c>
      <c r="E22" t="s">
        <v>132</v>
      </c>
      <c r="F22" t="n">
        <v>3.41</v>
      </c>
      <c r="G22" t="n">
        <v>3.61</v>
      </c>
      <c r="H22" t="n">
        <v>3.82</v>
      </c>
      <c r="I22" t="n">
        <v>4</v>
      </c>
      <c r="J22" t="n">
        <v>4.65</v>
      </c>
      <c r="K22" t="n">
        <v>5.8</v>
      </c>
      <c r="L22" t="n">
        <v>5.84</v>
      </c>
      <c r="M22" t="n">
        <v>6.27</v>
      </c>
      <c r="N22" t="n">
        <v>6.01</v>
      </c>
      <c r="O22" t="n">
        <v>7.61</v>
      </c>
      <c r="P22" t="n">
        <v>9.79</v>
      </c>
      <c r="Q22" t="n">
        <v>13.07</v>
      </c>
      <c r="R22" t="n">
        <v>13.88</v>
      </c>
      <c r="S22" t="n">
        <v>12.62</v>
      </c>
      <c r="T22" t="n">
        <v>11.06</v>
      </c>
      <c r="U22" t="n">
        <v>11.17</v>
      </c>
      <c r="V22" t="n">
        <v>10.99</v>
      </c>
      <c r="W22" t="n">
        <v>8.18</v>
      </c>
      <c r="X22" t="n">
        <v>10.28</v>
      </c>
      <c r="Y22" t="n">
        <v>11</v>
      </c>
      <c r="Z22" t="n">
        <v>10.54</v>
      </c>
      <c r="AA22" t="n">
        <v>8.74</v>
      </c>
      <c r="AB22" t="n">
        <v>10.05</v>
      </c>
      <c r="AC22" t="n">
        <v>11.23</v>
      </c>
      <c r="AD22" t="n">
        <v>11.86</v>
      </c>
      <c r="AE22" t="n">
        <v>12.4</v>
      </c>
      <c r="AF22" t="n">
        <v>11.79</v>
      </c>
    </row>
    <row r="23">
      <c r="A23" t="s">
        <v>20</v>
      </c>
      <c r="B23" t="s">
        <v>203</v>
      </c>
      <c r="C23" t="s">
        <v>131</v>
      </c>
      <c r="D23" t="s">
        <v>204</v>
      </c>
      <c r="E23" t="s">
        <v>132</v>
      </c>
      <c r="F23" t="n">
        <v>60.46</v>
      </c>
      <c r="G23" t="n">
        <v>63.68</v>
      </c>
      <c r="H23" t="n">
        <v>70.27</v>
      </c>
      <c r="I23" t="n">
        <v>81.69</v>
      </c>
      <c r="J23" t="n">
        <v>92.77</v>
      </c>
      <c r="K23" t="n">
        <v>106.07</v>
      </c>
      <c r="L23" t="n">
        <v>113.12</v>
      </c>
      <c r="M23" t="n">
        <v>113.52</v>
      </c>
      <c r="N23" t="n">
        <v>117.72</v>
      </c>
      <c r="O23" t="n">
        <v>133.27</v>
      </c>
      <c r="P23" t="n">
        <v>155.44</v>
      </c>
      <c r="Q23" t="n">
        <v>173.06</v>
      </c>
      <c r="R23" t="n">
        <v>177.88</v>
      </c>
      <c r="S23" t="n">
        <v>146.72</v>
      </c>
      <c r="T23" t="n">
        <v>86.49</v>
      </c>
      <c r="U23" t="n">
        <v>61.71</v>
      </c>
      <c r="V23" t="n">
        <v>56.71</v>
      </c>
      <c r="W23" t="n">
        <v>52.54</v>
      </c>
      <c r="X23" t="n">
        <v>52.59</v>
      </c>
      <c r="Y23" t="n">
        <v>58.91</v>
      </c>
      <c r="Z23" t="n">
        <v>69.08</v>
      </c>
      <c r="AA23" t="n">
        <v>78.89</v>
      </c>
      <c r="AB23" t="n">
        <v>85.82</v>
      </c>
      <c r="AC23" t="n">
        <v>96.26</v>
      </c>
      <c r="AD23" t="n">
        <v>101.45</v>
      </c>
      <c r="AE23" t="n">
        <v>94.93</v>
      </c>
      <c r="AF23" t="n">
        <v>100.82</v>
      </c>
    </row>
    <row r="24">
      <c r="A24" t="s">
        <v>20</v>
      </c>
      <c r="B24" t="s">
        <v>205</v>
      </c>
      <c r="C24" t="s">
        <v>131</v>
      </c>
      <c r="D24" t="s">
        <v>206</v>
      </c>
      <c r="E24" t="s">
        <v>132</v>
      </c>
      <c r="F24" t="n">
        <v>171.22</v>
      </c>
      <c r="G24" t="n">
        <v>173.96</v>
      </c>
      <c r="H24" t="n">
        <v>176.69</v>
      </c>
      <c r="I24" t="n">
        <v>184.82</v>
      </c>
      <c r="J24" t="n">
        <v>200.07</v>
      </c>
      <c r="K24" t="n">
        <v>214.23</v>
      </c>
      <c r="L24" t="n">
        <v>221.14</v>
      </c>
      <c r="M24" t="n">
        <v>225.51</v>
      </c>
      <c r="N24" t="n">
        <v>230.12</v>
      </c>
      <c r="O24" t="n">
        <v>238.82</v>
      </c>
      <c r="P24" t="n">
        <v>255.14</v>
      </c>
      <c r="Q24" t="n">
        <v>268.21</v>
      </c>
      <c r="R24" t="n">
        <v>283.25</v>
      </c>
      <c r="S24" t="n">
        <v>287.55</v>
      </c>
      <c r="T24" t="n">
        <v>254.86</v>
      </c>
      <c r="U24" t="n">
        <v>244.92</v>
      </c>
      <c r="V24" t="n">
        <v>240.72</v>
      </c>
      <c r="W24" t="n">
        <v>240.89</v>
      </c>
      <c r="X24" t="n">
        <v>246.2</v>
      </c>
      <c r="Y24" t="n">
        <v>250.33</v>
      </c>
      <c r="Z24" t="n">
        <v>255.23</v>
      </c>
      <c r="AA24" t="n">
        <v>263.89</v>
      </c>
      <c r="AB24" t="n">
        <v>271.98</v>
      </c>
      <c r="AC24" t="n">
        <v>270.32</v>
      </c>
      <c r="AD24" t="n">
        <v>271.75</v>
      </c>
      <c r="AE24" t="n">
        <v>270.72</v>
      </c>
      <c r="AF24" t="n">
        <v>276.27</v>
      </c>
    </row>
    <row r="25">
      <c r="A25" t="s">
        <v>20</v>
      </c>
      <c r="B25" t="s">
        <v>207</v>
      </c>
      <c r="C25" t="s">
        <v>131</v>
      </c>
      <c r="D25" t="s">
        <v>208</v>
      </c>
      <c r="E25" t="s">
        <v>132</v>
      </c>
      <c r="F25" t="n">
        <v>24.58</v>
      </c>
      <c r="G25" t="n">
        <v>23.51</v>
      </c>
      <c r="H25" t="n">
        <v>21.75</v>
      </c>
      <c r="I25" t="n">
        <v>20.72</v>
      </c>
      <c r="J25" t="n">
        <v>23.05</v>
      </c>
      <c r="K25" t="n">
        <v>25.99</v>
      </c>
      <c r="L25" t="n">
        <v>25.82</v>
      </c>
      <c r="M25" t="n">
        <v>25.04</v>
      </c>
      <c r="N25" t="n">
        <v>25.33</v>
      </c>
      <c r="O25" t="n">
        <v>27.18</v>
      </c>
      <c r="P25" t="n">
        <v>29.15</v>
      </c>
      <c r="Q25" t="n">
        <v>32.23</v>
      </c>
      <c r="R25" t="n">
        <v>33.35</v>
      </c>
      <c r="S25" t="n">
        <v>33.71</v>
      </c>
      <c r="T25" t="n">
        <v>26.17</v>
      </c>
      <c r="U25" t="n">
        <v>24.87</v>
      </c>
      <c r="V25" t="n">
        <v>24.69</v>
      </c>
      <c r="W25" t="n">
        <v>24.08</v>
      </c>
      <c r="X25" t="n">
        <v>24.28</v>
      </c>
      <c r="Y25" t="n">
        <v>28.02</v>
      </c>
      <c r="Z25" t="n">
        <v>31.19</v>
      </c>
      <c r="AA25" t="n">
        <v>31.06</v>
      </c>
      <c r="AB25" t="n">
        <v>26.94</v>
      </c>
      <c r="AC25" t="n">
        <v>25.58</v>
      </c>
      <c r="AD25" t="n">
        <v>28.92</v>
      </c>
      <c r="AE25" t="n">
        <v>22.93</v>
      </c>
      <c r="AF25" t="n">
        <v>21.98</v>
      </c>
    </row>
    <row r="26">
      <c r="A26" t="s">
        <v>20</v>
      </c>
      <c r="B26" t="s">
        <v>209</v>
      </c>
      <c r="C26" t="s">
        <v>131</v>
      </c>
      <c r="D26" t="s">
        <v>210</v>
      </c>
      <c r="E26" t="s">
        <v>132</v>
      </c>
      <c r="F26" t="n">
        <v>38.08</v>
      </c>
      <c r="G26" t="n">
        <v>38.08</v>
      </c>
      <c r="H26" t="n">
        <v>38.1</v>
      </c>
      <c r="I26" t="n">
        <v>40.48</v>
      </c>
      <c r="J26" t="n">
        <v>39.25</v>
      </c>
      <c r="K26" t="n">
        <v>42.98</v>
      </c>
      <c r="L26" t="n">
        <v>43.5</v>
      </c>
      <c r="M26" t="n">
        <v>42.28</v>
      </c>
      <c r="N26" t="n">
        <v>38.7</v>
      </c>
      <c r="O26" t="n">
        <v>40.03</v>
      </c>
      <c r="P26" t="n">
        <v>47.19</v>
      </c>
      <c r="Q26" t="n">
        <v>51.17</v>
      </c>
      <c r="R26" t="n">
        <v>54.43</v>
      </c>
      <c r="S26" t="n">
        <v>56.23</v>
      </c>
      <c r="T26" t="n">
        <v>44.92</v>
      </c>
      <c r="U26" t="n">
        <v>44.63</v>
      </c>
      <c r="V26" t="n">
        <v>42.32</v>
      </c>
      <c r="W26" t="n">
        <v>44.54</v>
      </c>
      <c r="X26" t="n">
        <v>50.96</v>
      </c>
      <c r="Y26" t="n">
        <v>46.6</v>
      </c>
      <c r="Z26" t="n">
        <v>43.97</v>
      </c>
      <c r="AA26" t="n">
        <v>45.33</v>
      </c>
      <c r="AB26" t="n">
        <v>49.29</v>
      </c>
      <c r="AC26" t="n">
        <v>43.67</v>
      </c>
      <c r="AD26" t="n">
        <v>44.1</v>
      </c>
      <c r="AE26" t="n">
        <v>50.49</v>
      </c>
      <c r="AF26" t="n">
        <v>53.08</v>
      </c>
    </row>
    <row r="27">
      <c r="A27" t="s">
        <v>20</v>
      </c>
      <c r="B27" t="s">
        <v>211</v>
      </c>
      <c r="C27" t="s">
        <v>131</v>
      </c>
      <c r="D27" t="s">
        <v>212</v>
      </c>
      <c r="E27" t="s">
        <v>132</v>
      </c>
      <c r="F27" t="n">
        <v>108.56</v>
      </c>
      <c r="G27" t="n">
        <v>112.37</v>
      </c>
      <c r="H27" t="n">
        <v>116.84</v>
      </c>
      <c r="I27" t="n">
        <v>123.62</v>
      </c>
      <c r="J27" t="n">
        <v>137.77</v>
      </c>
      <c r="K27" t="n">
        <v>145.26</v>
      </c>
      <c r="L27" t="n">
        <v>151.82</v>
      </c>
      <c r="M27" t="n">
        <v>158.19</v>
      </c>
      <c r="N27" t="n">
        <v>166.09</v>
      </c>
      <c r="O27" t="n">
        <v>171.61</v>
      </c>
      <c r="P27" t="n">
        <v>178.8</v>
      </c>
      <c r="Q27" t="n">
        <v>184.81</v>
      </c>
      <c r="R27" t="n">
        <v>195.47</v>
      </c>
      <c r="S27" t="n">
        <v>197.61</v>
      </c>
      <c r="T27" t="n">
        <v>183.77</v>
      </c>
      <c r="U27" t="n">
        <v>175.42</v>
      </c>
      <c r="V27" t="n">
        <v>173.71</v>
      </c>
      <c r="W27" t="n">
        <v>172.27</v>
      </c>
      <c r="X27" t="n">
        <v>170.96</v>
      </c>
      <c r="Y27" t="n">
        <v>175.71</v>
      </c>
      <c r="Z27" t="n">
        <v>180.07</v>
      </c>
      <c r="AA27" t="n">
        <v>187.5</v>
      </c>
      <c r="AB27" t="n">
        <v>195.75</v>
      </c>
      <c r="AC27" t="n">
        <v>201.07</v>
      </c>
      <c r="AD27" t="n">
        <v>198.73</v>
      </c>
      <c r="AE27" t="n">
        <v>197.3</v>
      </c>
      <c r="AF27" t="n">
        <v>201.21</v>
      </c>
    </row>
    <row r="28">
      <c r="A28" t="s">
        <v>20</v>
      </c>
      <c r="B28" t="s">
        <v>213</v>
      </c>
      <c r="C28" t="s">
        <v>131</v>
      </c>
      <c r="D28" t="s">
        <v>214</v>
      </c>
      <c r="E28" t="s">
        <v>132</v>
      </c>
      <c r="F28" t="n">
        <v>48.2</v>
      </c>
      <c r="G28" t="n">
        <v>49.64</v>
      </c>
      <c r="H28" t="n">
        <v>50.87</v>
      </c>
      <c r="I28" t="n">
        <v>52.56</v>
      </c>
      <c r="J28" t="n">
        <v>59.15</v>
      </c>
      <c r="K28" t="n">
        <v>61.73</v>
      </c>
      <c r="L28" t="n">
        <v>66.26</v>
      </c>
      <c r="M28" t="n">
        <v>67</v>
      </c>
      <c r="N28" t="n">
        <v>68.42</v>
      </c>
      <c r="O28" t="n">
        <v>69.01</v>
      </c>
      <c r="P28" t="n">
        <v>68.49</v>
      </c>
      <c r="Q28" t="n">
        <v>69.2</v>
      </c>
      <c r="R28" t="n">
        <v>69.01</v>
      </c>
      <c r="S28" t="n">
        <v>67.39</v>
      </c>
      <c r="T28" t="n">
        <v>66.04</v>
      </c>
      <c r="U28" t="n">
        <v>64.65</v>
      </c>
      <c r="V28" t="n">
        <v>65.33</v>
      </c>
      <c r="W28" t="n">
        <v>62.34</v>
      </c>
      <c r="X28" t="n">
        <v>62.73</v>
      </c>
      <c r="Y28" t="n">
        <v>64.47</v>
      </c>
      <c r="Z28" t="n">
        <v>67.35</v>
      </c>
      <c r="AA28" t="n">
        <v>71.53</v>
      </c>
      <c r="AB28" t="n">
        <v>73.06</v>
      </c>
      <c r="AC28" t="n">
        <v>78.92</v>
      </c>
      <c r="AD28" t="n">
        <v>87.14</v>
      </c>
      <c r="AE28" t="n">
        <v>81.8</v>
      </c>
      <c r="AF28" t="n">
        <v>85.14</v>
      </c>
    </row>
    <row r="29">
      <c r="A29" t="s">
        <v>20</v>
      </c>
      <c r="B29" t="s">
        <v>215</v>
      </c>
      <c r="C29" t="s">
        <v>131</v>
      </c>
      <c r="D29" t="s">
        <v>216</v>
      </c>
      <c r="E29" t="s">
        <v>132</v>
      </c>
      <c r="F29" t="n">
        <v>18.72</v>
      </c>
      <c r="G29" t="n">
        <v>19.53</v>
      </c>
      <c r="H29" t="n">
        <v>20.34</v>
      </c>
      <c r="I29" t="n">
        <v>21.76</v>
      </c>
      <c r="J29" t="n">
        <v>25.85</v>
      </c>
      <c r="K29" t="n">
        <v>25.88</v>
      </c>
      <c r="L29" t="n">
        <v>29.33</v>
      </c>
      <c r="M29" t="n">
        <v>30.34</v>
      </c>
      <c r="N29" t="n">
        <v>29.25</v>
      </c>
      <c r="O29" t="n">
        <v>33.96</v>
      </c>
      <c r="P29" t="n">
        <v>33.87</v>
      </c>
      <c r="Q29" t="n">
        <v>30.56</v>
      </c>
      <c r="R29" t="n">
        <v>31.25</v>
      </c>
      <c r="S29" t="n">
        <v>30.93</v>
      </c>
      <c r="T29" t="n">
        <v>28.77</v>
      </c>
      <c r="U29" t="n">
        <v>27.48</v>
      </c>
      <c r="V29" t="n">
        <v>27.97</v>
      </c>
      <c r="W29" t="n">
        <v>25.36</v>
      </c>
      <c r="X29" t="n">
        <v>25.28</v>
      </c>
      <c r="Y29" t="n">
        <v>26.89</v>
      </c>
      <c r="Z29" t="n">
        <v>28.36</v>
      </c>
      <c r="AA29" t="n">
        <v>32.5</v>
      </c>
      <c r="AB29" t="n">
        <v>33.41</v>
      </c>
      <c r="AC29" t="n">
        <v>34.44</v>
      </c>
      <c r="AD29" t="n">
        <v>34.16</v>
      </c>
      <c r="AE29" t="n">
        <v>34.31</v>
      </c>
      <c r="AF29" t="n">
        <v>34.68</v>
      </c>
    </row>
    <row r="30">
      <c r="A30" t="s">
        <v>20</v>
      </c>
      <c r="B30" t="s">
        <v>217</v>
      </c>
      <c r="C30" t="s">
        <v>131</v>
      </c>
      <c r="D30" t="s">
        <v>218</v>
      </c>
      <c r="E30" t="s">
        <v>132</v>
      </c>
      <c r="F30" t="n">
        <v>3.14</v>
      </c>
      <c r="G30" t="n">
        <v>3.14</v>
      </c>
      <c r="H30" t="n">
        <v>3.21</v>
      </c>
      <c r="I30" t="n">
        <v>3</v>
      </c>
      <c r="J30" t="n">
        <v>3.03</v>
      </c>
      <c r="K30" t="n">
        <v>3.02</v>
      </c>
      <c r="L30" t="n">
        <v>3.14</v>
      </c>
      <c r="M30" t="n">
        <v>3.27</v>
      </c>
      <c r="N30" t="n">
        <v>3.21</v>
      </c>
      <c r="O30" t="n">
        <v>4.07</v>
      </c>
      <c r="P30" t="n">
        <v>2.94</v>
      </c>
      <c r="Q30" t="n">
        <v>2.41</v>
      </c>
      <c r="R30" t="n">
        <v>2.32</v>
      </c>
      <c r="S30" t="n">
        <v>1.77</v>
      </c>
      <c r="T30" t="n">
        <v>1.95</v>
      </c>
      <c r="U30" t="n">
        <v>2.17</v>
      </c>
      <c r="V30" t="n">
        <v>1.53</v>
      </c>
      <c r="W30" t="n">
        <v>1.08</v>
      </c>
      <c r="X30" t="n">
        <v>1.54</v>
      </c>
      <c r="Y30" t="n">
        <v>1.72</v>
      </c>
      <c r="Z30" t="n">
        <v>1.72</v>
      </c>
      <c r="AA30" t="n">
        <v>1.79</v>
      </c>
      <c r="AB30" t="n">
        <v>1.98</v>
      </c>
      <c r="AC30" t="n">
        <v>2.16</v>
      </c>
      <c r="AD30" t="n">
        <v>1.69</v>
      </c>
      <c r="AE30" t="n">
        <v>1.85</v>
      </c>
      <c r="AF30" t="n">
        <v>2.17</v>
      </c>
    </row>
    <row r="31">
      <c r="A31" t="s">
        <v>20</v>
      </c>
      <c r="B31" t="s">
        <v>219</v>
      </c>
      <c r="C31" t="s">
        <v>131</v>
      </c>
      <c r="D31" t="s">
        <v>220</v>
      </c>
      <c r="E31" t="s">
        <v>132</v>
      </c>
      <c r="F31" t="n">
        <v>7.79</v>
      </c>
      <c r="G31" t="n">
        <v>7.65</v>
      </c>
      <c r="H31" t="n">
        <v>7.22</v>
      </c>
      <c r="I31" t="n">
        <v>7.09</v>
      </c>
      <c r="J31" t="n">
        <v>8.07</v>
      </c>
      <c r="K31" t="n">
        <v>8.29</v>
      </c>
      <c r="L31" t="n">
        <v>7.91</v>
      </c>
      <c r="M31" t="n">
        <v>7.95</v>
      </c>
      <c r="N31" t="n">
        <v>7.84</v>
      </c>
      <c r="O31" t="n">
        <v>7.02</v>
      </c>
      <c r="P31" t="n">
        <v>5.64</v>
      </c>
      <c r="Q31" t="n">
        <v>8.14</v>
      </c>
      <c r="R31" t="n">
        <v>7.23</v>
      </c>
      <c r="S31" t="n">
        <v>7.12</v>
      </c>
      <c r="T31" t="n">
        <v>8.13</v>
      </c>
      <c r="U31" t="n">
        <v>9.05</v>
      </c>
      <c r="V31" t="n">
        <v>7.82</v>
      </c>
      <c r="W31" t="n">
        <v>8.22</v>
      </c>
      <c r="X31" t="n">
        <v>8.82</v>
      </c>
      <c r="Y31" t="n">
        <v>10.42</v>
      </c>
      <c r="Z31" t="n">
        <v>9.83</v>
      </c>
      <c r="AA31" t="n">
        <v>7.53</v>
      </c>
      <c r="AB31" t="n">
        <v>6.9</v>
      </c>
      <c r="AC31" t="n">
        <v>6.35</v>
      </c>
      <c r="AD31" t="n">
        <v>7.99</v>
      </c>
      <c r="AE31" t="n">
        <v>8.08</v>
      </c>
      <c r="AF31" t="n">
        <v>7.47</v>
      </c>
    </row>
    <row r="32">
      <c r="A32" t="s">
        <v>20</v>
      </c>
      <c r="B32" t="s">
        <v>221</v>
      </c>
      <c r="C32" t="s">
        <v>131</v>
      </c>
      <c r="D32" t="s">
        <v>222</v>
      </c>
      <c r="E32" t="s">
        <v>132</v>
      </c>
      <c r="F32" t="n">
        <v>5.84</v>
      </c>
      <c r="G32" t="n">
        <v>6.61</v>
      </c>
      <c r="H32" t="n">
        <v>7.39</v>
      </c>
      <c r="I32" t="n">
        <v>8.07</v>
      </c>
      <c r="J32" t="n">
        <v>9.63</v>
      </c>
      <c r="K32" t="n">
        <v>11.05</v>
      </c>
      <c r="L32" t="n">
        <v>11.59</v>
      </c>
      <c r="M32" t="n">
        <v>10.17</v>
      </c>
      <c r="N32" t="n">
        <v>13.38</v>
      </c>
      <c r="O32" t="n">
        <v>11.63</v>
      </c>
      <c r="P32" t="n">
        <v>12.87</v>
      </c>
      <c r="Q32" t="n">
        <v>12.72</v>
      </c>
      <c r="R32" t="n">
        <v>13.77</v>
      </c>
      <c r="S32" t="n">
        <v>12.83</v>
      </c>
      <c r="T32" t="n">
        <v>12.69</v>
      </c>
      <c r="U32" t="n">
        <v>12.3</v>
      </c>
      <c r="V32" t="n">
        <v>12.94</v>
      </c>
      <c r="W32" t="n">
        <v>12.83</v>
      </c>
      <c r="X32" t="n">
        <v>12.96</v>
      </c>
      <c r="Y32" t="n">
        <v>12.22</v>
      </c>
      <c r="Z32" t="n">
        <v>13.47</v>
      </c>
      <c r="AA32" t="n">
        <v>17.06</v>
      </c>
      <c r="AB32" t="n">
        <v>18.18</v>
      </c>
      <c r="AC32" t="n">
        <v>20.61</v>
      </c>
      <c r="AD32" t="n">
        <v>27.3</v>
      </c>
      <c r="AE32" t="n">
        <v>21.95</v>
      </c>
      <c r="AF32" t="n">
        <v>22.9</v>
      </c>
    </row>
    <row r="33">
      <c r="A33" t="s">
        <v>20</v>
      </c>
      <c r="B33" t="s">
        <v>223</v>
      </c>
      <c r="C33" t="s">
        <v>131</v>
      </c>
      <c r="D33" t="s">
        <v>224</v>
      </c>
      <c r="E33" t="s">
        <v>132</v>
      </c>
      <c r="F33" t="n">
        <v>12.71</v>
      </c>
      <c r="G33" t="n">
        <v>12.71</v>
      </c>
      <c r="H33" t="n">
        <v>12.71</v>
      </c>
      <c r="I33" t="n">
        <v>12.64</v>
      </c>
      <c r="J33" t="n">
        <v>12.57</v>
      </c>
      <c r="K33" t="n">
        <v>13.49</v>
      </c>
      <c r="L33" t="n">
        <v>14.29</v>
      </c>
      <c r="M33" t="n">
        <v>15.27</v>
      </c>
      <c r="N33" t="n">
        <v>14.74</v>
      </c>
      <c r="O33" t="n">
        <v>12.33</v>
      </c>
      <c r="P33" t="n">
        <v>13.17</v>
      </c>
      <c r="Q33" t="n">
        <v>15.37</v>
      </c>
      <c r="R33" t="n">
        <v>14.44</v>
      </c>
      <c r="S33" t="n">
        <v>14.74</v>
      </c>
      <c r="T33" t="n">
        <v>14.5</v>
      </c>
      <c r="U33" t="n">
        <v>13.65</v>
      </c>
      <c r="V33" t="n">
        <v>15.07</v>
      </c>
      <c r="W33" t="n">
        <v>14.85</v>
      </c>
      <c r="X33" t="n">
        <v>14.13</v>
      </c>
      <c r="Y33" t="n">
        <v>13.22</v>
      </c>
      <c r="Z33" t="n">
        <v>13.97</v>
      </c>
      <c r="AA33" t="n">
        <v>12.65</v>
      </c>
      <c r="AB33" t="n">
        <v>12.59</v>
      </c>
      <c r="AC33" t="n">
        <v>15.36</v>
      </c>
      <c r="AD33" t="n">
        <v>16</v>
      </c>
      <c r="AE33" t="n">
        <v>15.61</v>
      </c>
      <c r="AF33" t="n">
        <v>17.92</v>
      </c>
    </row>
    <row r="34">
      <c r="A34" t="s">
        <v>20</v>
      </c>
      <c r="B34" t="s">
        <v>225</v>
      </c>
      <c r="C34" t="s">
        <v>131</v>
      </c>
      <c r="D34" t="s">
        <v>226</v>
      </c>
      <c r="E34" t="s">
        <v>132</v>
      </c>
      <c r="F34" t="n">
        <v>82.1</v>
      </c>
      <c r="G34" t="n">
        <v>82.1</v>
      </c>
      <c r="H34" t="n">
        <v>82.1</v>
      </c>
      <c r="I34" t="n">
        <v>86.5</v>
      </c>
      <c r="J34" t="n">
        <v>92.72</v>
      </c>
      <c r="K34" t="n">
        <v>98.03</v>
      </c>
      <c r="L34" t="n">
        <v>98.04</v>
      </c>
      <c r="M34" t="n">
        <v>99.84</v>
      </c>
      <c r="N34" t="n">
        <v>106.63</v>
      </c>
      <c r="O34" t="n">
        <v>100.4</v>
      </c>
      <c r="P34" t="n">
        <v>103.62</v>
      </c>
      <c r="Q34" t="n">
        <v>112.68</v>
      </c>
      <c r="R34" t="n">
        <v>126.38</v>
      </c>
      <c r="S34" t="n">
        <v>120.5</v>
      </c>
      <c r="T34" t="n">
        <v>116.58</v>
      </c>
      <c r="U34" t="n">
        <v>113.46</v>
      </c>
      <c r="V34" t="n">
        <v>103.39</v>
      </c>
      <c r="W34" t="n">
        <v>109.14</v>
      </c>
      <c r="X34" t="n">
        <v>122.54</v>
      </c>
      <c r="Y34" t="n">
        <v>129.51</v>
      </c>
      <c r="Z34" t="n">
        <v>133</v>
      </c>
      <c r="AA34" t="n">
        <v>141.09</v>
      </c>
      <c r="AB34" t="n">
        <v>151.96</v>
      </c>
      <c r="AC34" t="n">
        <v>162.76</v>
      </c>
      <c r="AD34" t="n">
        <v>163.99</v>
      </c>
      <c r="AE34" t="n">
        <v>121.76</v>
      </c>
      <c r="AF34" t="n">
        <v>128.72</v>
      </c>
    </row>
    <row r="35">
      <c r="A35" t="s">
        <v>20</v>
      </c>
      <c r="B35" t="s">
        <v>227</v>
      </c>
      <c r="C35" t="s">
        <v>131</v>
      </c>
      <c r="D35" t="s">
        <v>228</v>
      </c>
      <c r="E35" t="s">
        <v>132</v>
      </c>
      <c r="F35" t="n">
        <v>48.42</v>
      </c>
      <c r="G35" t="n">
        <v>51.31</v>
      </c>
      <c r="H35" t="n">
        <v>55.16</v>
      </c>
      <c r="I35" t="n">
        <v>60.09</v>
      </c>
      <c r="J35" t="n">
        <v>69.19</v>
      </c>
      <c r="K35" t="n">
        <v>70.7</v>
      </c>
      <c r="L35" t="n">
        <v>71.68</v>
      </c>
      <c r="M35" t="n">
        <v>72.42</v>
      </c>
      <c r="N35" t="n">
        <v>68.85</v>
      </c>
      <c r="O35" t="n">
        <v>67.34</v>
      </c>
      <c r="P35" t="n">
        <v>73.36</v>
      </c>
      <c r="Q35" t="n">
        <v>75.77</v>
      </c>
      <c r="R35" t="n">
        <v>74.16</v>
      </c>
      <c r="S35" t="n">
        <v>76.9</v>
      </c>
      <c r="T35" t="n">
        <v>78.22</v>
      </c>
      <c r="U35" t="n">
        <v>76.74</v>
      </c>
      <c r="V35" t="n">
        <v>75.42</v>
      </c>
      <c r="W35" t="n">
        <v>80.99</v>
      </c>
      <c r="X35" t="n">
        <v>81.72</v>
      </c>
      <c r="Y35" t="n">
        <v>85.34</v>
      </c>
      <c r="Z35" t="n">
        <v>89.58</v>
      </c>
      <c r="AA35" t="n">
        <v>94.76</v>
      </c>
      <c r="AB35" t="n">
        <v>100.73</v>
      </c>
      <c r="AC35" t="n">
        <v>104.39</v>
      </c>
      <c r="AD35" t="n">
        <v>111.2</v>
      </c>
      <c r="AE35" t="n">
        <v>118.66</v>
      </c>
      <c r="AF35" t="n">
        <v>138.11</v>
      </c>
    </row>
    <row r="36">
      <c r="A36" t="s">
        <v>20</v>
      </c>
      <c r="B36" t="s">
        <v>229</v>
      </c>
      <c r="C36" t="s">
        <v>131</v>
      </c>
      <c r="D36" t="s">
        <v>230</v>
      </c>
      <c r="E36" t="s">
        <v>132</v>
      </c>
      <c r="F36" t="n">
        <v>12.83</v>
      </c>
      <c r="G36" t="n">
        <v>12.83</v>
      </c>
      <c r="H36" t="n">
        <v>12.8</v>
      </c>
      <c r="I36" t="n">
        <v>12.82</v>
      </c>
      <c r="J36" t="n">
        <v>12.97</v>
      </c>
      <c r="K36" t="n">
        <v>12.17</v>
      </c>
      <c r="L36" t="n">
        <v>11.47</v>
      </c>
      <c r="M36" t="n">
        <v>11.72</v>
      </c>
      <c r="N36" t="n">
        <v>12.37</v>
      </c>
      <c r="O36" t="n">
        <v>13.47</v>
      </c>
      <c r="P36" t="n">
        <v>13.03</v>
      </c>
      <c r="Q36" t="n">
        <v>12.68</v>
      </c>
      <c r="R36" t="n">
        <v>12.57</v>
      </c>
      <c r="S36" t="n">
        <v>12.84</v>
      </c>
      <c r="T36" t="n">
        <v>12.44</v>
      </c>
      <c r="U36" t="n">
        <v>12.06</v>
      </c>
      <c r="V36" t="n">
        <v>12.12</v>
      </c>
      <c r="W36" t="n">
        <v>10.61</v>
      </c>
      <c r="X36" t="n">
        <v>11.52</v>
      </c>
      <c r="Y36" t="n">
        <v>12.86</v>
      </c>
      <c r="Z36" t="n">
        <v>10.93</v>
      </c>
      <c r="AA36" t="n">
        <v>11.62</v>
      </c>
      <c r="AB36" t="n">
        <v>11.42</v>
      </c>
      <c r="AC36" t="n">
        <v>12.58</v>
      </c>
      <c r="AD36" t="n">
        <v>13.55</v>
      </c>
      <c r="AE36" t="n">
        <v>11.19</v>
      </c>
      <c r="AF36" t="n">
        <v>13.27</v>
      </c>
    </row>
    <row r="37">
      <c r="A37" t="s">
        <v>20</v>
      </c>
      <c r="B37" t="s">
        <v>231</v>
      </c>
      <c r="C37" t="s">
        <v>131</v>
      </c>
      <c r="D37" t="s">
        <v>232</v>
      </c>
      <c r="E37" t="s">
        <v>132</v>
      </c>
      <c r="F37" t="n">
        <v>16.33</v>
      </c>
      <c r="G37" t="n">
        <v>16.32</v>
      </c>
      <c r="H37" t="n">
        <v>16.29</v>
      </c>
      <c r="I37" t="n">
        <v>18.29</v>
      </c>
      <c r="J37" t="n">
        <v>21.03</v>
      </c>
      <c r="K37" t="n">
        <v>23.18</v>
      </c>
      <c r="L37" t="n">
        <v>23.48</v>
      </c>
      <c r="M37" t="n">
        <v>21.69</v>
      </c>
      <c r="N37" t="n">
        <v>20.66</v>
      </c>
      <c r="O37" t="n">
        <v>20.63</v>
      </c>
      <c r="P37" t="n">
        <v>22.91</v>
      </c>
      <c r="Q37" t="n">
        <v>24.36</v>
      </c>
      <c r="R37" t="n">
        <v>22.85</v>
      </c>
      <c r="S37" t="n">
        <v>23.25</v>
      </c>
      <c r="T37" t="n">
        <v>23.14</v>
      </c>
      <c r="U37" t="n">
        <v>21.02</v>
      </c>
      <c r="V37" t="n">
        <v>21.71</v>
      </c>
      <c r="W37" t="n">
        <v>19.52</v>
      </c>
      <c r="X37" t="n">
        <v>19.03</v>
      </c>
      <c r="Y37" t="n">
        <v>17.88</v>
      </c>
      <c r="Z37" t="n">
        <v>18.42</v>
      </c>
      <c r="AA37" t="n">
        <v>15.82</v>
      </c>
      <c r="AB37" t="n">
        <v>15.37</v>
      </c>
      <c r="AC37" t="n">
        <v>16.09</v>
      </c>
      <c r="AD37" t="n">
        <v>16.84</v>
      </c>
      <c r="AE37" t="n">
        <v>20.82</v>
      </c>
      <c r="AF37" t="n">
        <v>21.66</v>
      </c>
    </row>
    <row r="38">
      <c r="A38" t="s">
        <v>20</v>
      </c>
      <c r="B38" t="s">
        <v>233</v>
      </c>
      <c r="C38" t="s">
        <v>131</v>
      </c>
      <c r="D38" t="s">
        <v>234</v>
      </c>
      <c r="E38" t="s">
        <v>132</v>
      </c>
      <c r="F38" t="n">
        <v>19.26</v>
      </c>
      <c r="G38" t="n">
        <v>22.16</v>
      </c>
      <c r="H38" t="n">
        <v>26.07</v>
      </c>
      <c r="I38" t="n">
        <v>28.98</v>
      </c>
      <c r="J38" t="n">
        <v>35.19</v>
      </c>
      <c r="K38" t="n">
        <v>35.35</v>
      </c>
      <c r="L38" t="n">
        <v>36.73</v>
      </c>
      <c r="M38" t="n">
        <v>39.01</v>
      </c>
      <c r="N38" t="n">
        <v>35.82</v>
      </c>
      <c r="O38" t="n">
        <v>33.24</v>
      </c>
      <c r="P38" t="n">
        <v>37.42</v>
      </c>
      <c r="Q38" t="n">
        <v>38.73</v>
      </c>
      <c r="R38" t="n">
        <v>38.74</v>
      </c>
      <c r="S38" t="n">
        <v>40.81</v>
      </c>
      <c r="T38" t="n">
        <v>42.64</v>
      </c>
      <c r="U38" t="n">
        <v>43.66</v>
      </c>
      <c r="V38" t="n">
        <v>41.59</v>
      </c>
      <c r="W38" t="n">
        <v>50.86</v>
      </c>
      <c r="X38" t="n">
        <v>51.17</v>
      </c>
      <c r="Y38" t="n">
        <v>54.6</v>
      </c>
      <c r="Z38" t="n">
        <v>60.23</v>
      </c>
      <c r="AA38" t="n">
        <v>67.32</v>
      </c>
      <c r="AB38" t="n">
        <v>73.94</v>
      </c>
      <c r="AC38" t="n">
        <v>75.72</v>
      </c>
      <c r="AD38" t="n">
        <v>80.81</v>
      </c>
      <c r="AE38" t="n">
        <v>86.65</v>
      </c>
      <c r="AF38" t="n">
        <v>103.18</v>
      </c>
    </row>
    <row r="39">
      <c r="A39" t="s">
        <v>20</v>
      </c>
      <c r="B39" t="s">
        <v>235</v>
      </c>
      <c r="C39" t="s">
        <v>131</v>
      </c>
      <c r="D39" t="s">
        <v>236</v>
      </c>
      <c r="E39" t="s">
        <v>132</v>
      </c>
      <c r="F39" t="n">
        <v>54.26</v>
      </c>
      <c r="G39" t="n">
        <v>54.73</v>
      </c>
      <c r="H39" t="n">
        <v>55.15</v>
      </c>
      <c r="I39" t="n">
        <v>57.22</v>
      </c>
      <c r="J39" t="n">
        <v>64.33</v>
      </c>
      <c r="K39" t="n">
        <v>69.86</v>
      </c>
      <c r="L39" t="n">
        <v>71.05</v>
      </c>
      <c r="M39" t="n">
        <v>71.51</v>
      </c>
      <c r="N39" t="n">
        <v>76.46</v>
      </c>
      <c r="O39" t="n">
        <v>83.72</v>
      </c>
      <c r="P39" t="n">
        <v>86.25</v>
      </c>
      <c r="Q39" t="n">
        <v>88.12</v>
      </c>
      <c r="R39" t="n">
        <v>92.19</v>
      </c>
      <c r="S39" t="n">
        <v>95.77</v>
      </c>
      <c r="T39" t="n">
        <v>97.02</v>
      </c>
      <c r="U39" t="n">
        <v>90.22</v>
      </c>
      <c r="V39" t="n">
        <v>89.16</v>
      </c>
      <c r="W39" t="n">
        <v>88.1</v>
      </c>
      <c r="X39" t="n">
        <v>88.63</v>
      </c>
      <c r="Y39" t="n">
        <v>89.41</v>
      </c>
      <c r="Z39" t="n">
        <v>88.58</v>
      </c>
      <c r="AA39" t="n">
        <v>93.14</v>
      </c>
      <c r="AB39" t="n">
        <v>91.97</v>
      </c>
      <c r="AC39" t="n">
        <v>90.61</v>
      </c>
      <c r="AD39" t="n">
        <v>98.78</v>
      </c>
      <c r="AE39" t="n">
        <v>105.72</v>
      </c>
      <c r="AF39" t="n">
        <v>115.53</v>
      </c>
    </row>
    <row r="40">
      <c r="A40" t="s">
        <v>20</v>
      </c>
      <c r="B40" t="s">
        <v>237</v>
      </c>
      <c r="C40" t="s">
        <v>131</v>
      </c>
      <c r="D40" t="s">
        <v>238</v>
      </c>
      <c r="E40" t="s">
        <v>132</v>
      </c>
      <c r="F40" t="n">
        <v>3.46</v>
      </c>
      <c r="G40" t="n">
        <v>3.46</v>
      </c>
      <c r="H40" t="n">
        <v>3.46</v>
      </c>
      <c r="I40" t="n">
        <v>3.64</v>
      </c>
      <c r="J40" t="n">
        <v>4.13</v>
      </c>
      <c r="K40" t="n">
        <v>4.54</v>
      </c>
      <c r="L40" t="n">
        <v>4.76</v>
      </c>
      <c r="M40" t="n">
        <v>5.52</v>
      </c>
      <c r="N40" t="n">
        <v>5.37</v>
      </c>
      <c r="O40" t="n">
        <v>4.05</v>
      </c>
      <c r="P40" t="n">
        <v>5.74</v>
      </c>
      <c r="Q40" t="n">
        <v>7.32</v>
      </c>
      <c r="R40" t="n">
        <v>8.01</v>
      </c>
      <c r="S40" t="n">
        <v>7.86</v>
      </c>
      <c r="T40" t="n">
        <v>6.35</v>
      </c>
      <c r="U40" t="n">
        <v>6.47</v>
      </c>
      <c r="V40" t="n">
        <v>5.77</v>
      </c>
      <c r="W40" t="n">
        <v>6.6</v>
      </c>
      <c r="X40" t="n">
        <v>5.68</v>
      </c>
      <c r="Y40" t="n">
        <v>6.88</v>
      </c>
      <c r="Z40" t="n">
        <v>7.73</v>
      </c>
      <c r="AA40" t="n">
        <v>7.5</v>
      </c>
      <c r="AB40" t="n">
        <v>7.59</v>
      </c>
      <c r="AC40" t="n">
        <v>7.12</v>
      </c>
      <c r="AD40" t="n">
        <v>6.91</v>
      </c>
      <c r="AE40" t="n">
        <v>8.17</v>
      </c>
      <c r="AF40" t="n">
        <v>8.22</v>
      </c>
    </row>
    <row r="41">
      <c r="A41" t="s">
        <v>20</v>
      </c>
      <c r="B41" t="s">
        <v>239</v>
      </c>
      <c r="C41" t="s">
        <v>131</v>
      </c>
      <c r="D41" t="s">
        <v>240</v>
      </c>
      <c r="E41" t="s">
        <v>132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20</v>
      </c>
      <c r="B42" t="s">
        <v>241</v>
      </c>
      <c r="C42" t="s">
        <v>131</v>
      </c>
      <c r="D42" t="s">
        <v>242</v>
      </c>
      <c r="E42" t="s">
        <v>132</v>
      </c>
      <c r="F42" t="n">
        <v>45.94</v>
      </c>
      <c r="G42" t="n">
        <v>47.73</v>
      </c>
      <c r="H42" t="n">
        <v>49.49</v>
      </c>
      <c r="I42" t="n">
        <v>52.58</v>
      </c>
      <c r="J42" t="n">
        <v>59.09</v>
      </c>
      <c r="K42" t="n">
        <v>64.39</v>
      </c>
      <c r="L42" t="n">
        <v>68.88</v>
      </c>
      <c r="M42" t="n">
        <v>70.26</v>
      </c>
      <c r="N42" t="n">
        <v>72.81</v>
      </c>
      <c r="O42" t="n">
        <v>80.04</v>
      </c>
      <c r="P42" t="n">
        <v>84.67</v>
      </c>
      <c r="Q42" t="n">
        <v>89.4</v>
      </c>
      <c r="R42" t="n">
        <v>93.99</v>
      </c>
      <c r="S42" t="n">
        <v>93.36</v>
      </c>
      <c r="T42" t="n">
        <v>79.45</v>
      </c>
      <c r="U42" t="n">
        <v>75.69</v>
      </c>
      <c r="V42" t="n">
        <v>74.37</v>
      </c>
      <c r="W42" t="n">
        <v>75.24</v>
      </c>
      <c r="X42" t="n">
        <v>83.42</v>
      </c>
      <c r="Y42" t="n">
        <v>90.33</v>
      </c>
      <c r="Z42" t="n">
        <v>94.33</v>
      </c>
      <c r="AA42" t="n">
        <v>98.94</v>
      </c>
      <c r="AB42" t="n">
        <v>99.63</v>
      </c>
      <c r="AC42" t="n">
        <v>102.76</v>
      </c>
      <c r="AD42" t="n">
        <v>105.74</v>
      </c>
      <c r="AE42" t="n">
        <v>110.22</v>
      </c>
      <c r="AF42" t="n">
        <v>126.4</v>
      </c>
    </row>
    <row r="43">
      <c r="A43" t="s">
        <v>20</v>
      </c>
      <c r="B43" t="s">
        <v>243</v>
      </c>
      <c r="C43" t="s">
        <v>131</v>
      </c>
      <c r="D43" t="s">
        <v>244</v>
      </c>
      <c r="E43" t="s">
        <v>132</v>
      </c>
      <c r="F43" t="n">
        <v>91.18</v>
      </c>
      <c r="G43" t="n">
        <v>92.91</v>
      </c>
      <c r="H43" t="n">
        <v>94.14</v>
      </c>
      <c r="I43" t="n">
        <v>97.66</v>
      </c>
      <c r="J43" t="n">
        <v>109.43</v>
      </c>
      <c r="K43" t="n">
        <v>119.32</v>
      </c>
      <c r="L43" t="n">
        <v>127.58</v>
      </c>
      <c r="M43" t="n">
        <v>129.28</v>
      </c>
      <c r="N43" t="n">
        <v>132.52</v>
      </c>
      <c r="O43" t="n">
        <v>144.19</v>
      </c>
      <c r="P43" t="n">
        <v>158.28</v>
      </c>
      <c r="Q43" t="n">
        <v>167.66</v>
      </c>
      <c r="R43" t="n">
        <v>180.51</v>
      </c>
      <c r="S43" t="n">
        <v>175.86</v>
      </c>
      <c r="T43" t="n">
        <v>149.5</v>
      </c>
      <c r="U43" t="n">
        <v>140.37</v>
      </c>
      <c r="V43" t="n">
        <v>143.83</v>
      </c>
      <c r="W43" t="n">
        <v>140.33</v>
      </c>
      <c r="X43" t="n">
        <v>146.89</v>
      </c>
      <c r="Y43" t="n">
        <v>158.77</v>
      </c>
      <c r="Z43" t="n">
        <v>165.69</v>
      </c>
      <c r="AA43" t="n">
        <v>172.78</v>
      </c>
      <c r="AB43" t="n">
        <v>180.29</v>
      </c>
      <c r="AC43" t="n">
        <v>194.59</v>
      </c>
      <c r="AD43" t="n">
        <v>201.83</v>
      </c>
      <c r="AE43" t="n">
        <v>188.84</v>
      </c>
      <c r="AF43" t="n">
        <v>207.48</v>
      </c>
    </row>
    <row r="44">
      <c r="A44" t="s">
        <v>20</v>
      </c>
      <c r="B44" t="s">
        <v>245</v>
      </c>
      <c r="C44" t="s">
        <v>131</v>
      </c>
      <c r="D44" t="s">
        <v>246</v>
      </c>
      <c r="E44" t="s">
        <v>132</v>
      </c>
      <c r="F44" t="n">
        <v>928.92</v>
      </c>
      <c r="G44" t="n">
        <v>942.88</v>
      </c>
      <c r="H44" t="n">
        <v>960.16</v>
      </c>
      <c r="I44" t="n">
        <v>1004.27</v>
      </c>
      <c r="J44" t="n">
        <v>1078.9</v>
      </c>
      <c r="K44" t="n">
        <v>1137.06</v>
      </c>
      <c r="L44" t="n">
        <v>1167.87</v>
      </c>
      <c r="M44" t="n">
        <v>1167.52</v>
      </c>
      <c r="N44" t="n">
        <v>1182.39</v>
      </c>
      <c r="O44" t="n">
        <v>1225.39</v>
      </c>
      <c r="P44" t="n">
        <v>1282.77</v>
      </c>
      <c r="Q44" t="n">
        <v>1345.93</v>
      </c>
      <c r="R44" t="n">
        <v>1390.4</v>
      </c>
      <c r="S44" t="n">
        <v>1348.14</v>
      </c>
      <c r="T44" t="n">
        <v>1183.82</v>
      </c>
      <c r="U44" t="n">
        <v>1113.59</v>
      </c>
      <c r="V44" t="n">
        <v>1095.97</v>
      </c>
      <c r="W44" t="n">
        <v>1089.03</v>
      </c>
      <c r="X44" t="n">
        <v>1127.01</v>
      </c>
      <c r="Y44" t="n">
        <v>1163.44</v>
      </c>
      <c r="Z44" t="n">
        <v>1213.05</v>
      </c>
      <c r="AA44" t="n">
        <v>1278.27</v>
      </c>
      <c r="AB44" t="n">
        <v>1329.75</v>
      </c>
      <c r="AC44" t="n">
        <v>1372.17</v>
      </c>
      <c r="AD44" t="n">
        <v>1416.77</v>
      </c>
      <c r="AE44" t="n">
        <v>1356.55</v>
      </c>
      <c r="AF44" t="n">
        <v>1444.8</v>
      </c>
    </row>
    <row r="45">
      <c r="A45" t="s">
        <v>20</v>
      </c>
      <c r="B45" t="s">
        <v>247</v>
      </c>
      <c r="C45" t="s">
        <v>131</v>
      </c>
      <c r="D45" t="s">
        <v>248</v>
      </c>
      <c r="E45" t="s">
        <v>132</v>
      </c>
      <c r="F45" t="n">
        <v>903.47</v>
      </c>
      <c r="G45" t="n">
        <v>917.37</v>
      </c>
      <c r="H45" t="n">
        <v>934.42</v>
      </c>
      <c r="I45" t="n">
        <v>977.93</v>
      </c>
      <c r="J45" t="n">
        <v>1051.56</v>
      </c>
      <c r="K45" t="n">
        <v>1110.75</v>
      </c>
      <c r="L45" t="n">
        <v>1144.29</v>
      </c>
      <c r="M45" t="n">
        <v>1144.01</v>
      </c>
      <c r="N45" t="n">
        <v>1159.06</v>
      </c>
      <c r="O45" t="n">
        <v>1202.6</v>
      </c>
      <c r="P45" t="n">
        <v>1261.15</v>
      </c>
      <c r="Q45" t="n">
        <v>1320.98</v>
      </c>
      <c r="R45" t="n">
        <v>1366.82</v>
      </c>
      <c r="S45" t="n">
        <v>1323.68</v>
      </c>
      <c r="T45" t="n">
        <v>1161.91</v>
      </c>
      <c r="U45" t="n">
        <v>1089.12</v>
      </c>
      <c r="V45" t="n">
        <v>1069.59</v>
      </c>
      <c r="W45" t="n">
        <v>1063.97</v>
      </c>
      <c r="X45" t="n">
        <v>1099.39</v>
      </c>
      <c r="Y45" t="n">
        <v>1136.2</v>
      </c>
      <c r="Z45" t="n">
        <v>1186.72</v>
      </c>
      <c r="AA45" t="n">
        <v>1250.84</v>
      </c>
      <c r="AB45" t="n">
        <v>1302.04</v>
      </c>
      <c r="AC45" t="n">
        <v>1345.39</v>
      </c>
      <c r="AD45" t="n">
        <v>1389.96</v>
      </c>
      <c r="AE45" t="n">
        <v>1330.47</v>
      </c>
      <c r="AF45" t="n">
        <v>1419.45</v>
      </c>
    </row>
    <row r="46">
      <c r="A46" t="s">
        <v>20</v>
      </c>
      <c r="B46" t="s">
        <v>249</v>
      </c>
      <c r="C46" t="s">
        <v>131</v>
      </c>
      <c r="D46" t="s">
        <v>250</v>
      </c>
      <c r="E46" t="s">
        <v>132</v>
      </c>
      <c r="F46" t="n">
        <v>45.24</v>
      </c>
      <c r="G46" t="n">
        <v>45.18</v>
      </c>
      <c r="H46" t="n">
        <v>44.65</v>
      </c>
      <c r="I46" t="n">
        <v>45.08</v>
      </c>
      <c r="J46" t="n">
        <v>50.34</v>
      </c>
      <c r="K46" t="n">
        <v>54.93</v>
      </c>
      <c r="L46" t="n">
        <v>58.7</v>
      </c>
      <c r="M46" t="n">
        <v>59.02</v>
      </c>
      <c r="N46" t="n">
        <v>59.71</v>
      </c>
      <c r="O46" t="n">
        <v>64.15</v>
      </c>
      <c r="P46" t="n">
        <v>73.61</v>
      </c>
      <c r="Q46" t="n">
        <v>78.26</v>
      </c>
      <c r="R46" t="n">
        <v>86.52</v>
      </c>
      <c r="S46" t="n">
        <v>82.5</v>
      </c>
      <c r="T46" t="n">
        <v>70.05</v>
      </c>
      <c r="U46" t="n">
        <v>64.68</v>
      </c>
      <c r="V46" t="n">
        <v>69.46</v>
      </c>
      <c r="W46" t="n">
        <v>65.09</v>
      </c>
      <c r="X46" t="n">
        <v>63.47</v>
      </c>
      <c r="Y46" t="n">
        <v>68.44</v>
      </c>
      <c r="Z46" t="n">
        <v>71.36</v>
      </c>
      <c r="AA46" t="n">
        <v>73.84</v>
      </c>
      <c r="AB46" t="n">
        <v>80.66</v>
      </c>
      <c r="AC46" t="n">
        <v>91.83</v>
      </c>
      <c r="AD46" t="n">
        <v>96.09</v>
      </c>
      <c r="AE46" t="n">
        <v>78.62</v>
      </c>
      <c r="AF46" t="n">
        <v>81.08</v>
      </c>
    </row>
    <row r="47">
      <c r="A47" t="s">
        <v>20</v>
      </c>
      <c r="B47" t="s">
        <v>251</v>
      </c>
      <c r="C47" t="s">
        <v>131</v>
      </c>
      <c r="D47" t="s">
        <v>252</v>
      </c>
      <c r="E47" t="s">
        <v>132</v>
      </c>
      <c r="F47" t="n">
        <v>59.65</v>
      </c>
      <c r="G47" t="n">
        <v>62.56</v>
      </c>
      <c r="H47" t="n">
        <v>65.49</v>
      </c>
      <c r="I47" t="n">
        <v>67.38</v>
      </c>
      <c r="J47" t="n">
        <v>72.63</v>
      </c>
      <c r="K47" t="n">
        <v>74.99</v>
      </c>
      <c r="L47" t="n">
        <v>76.69</v>
      </c>
      <c r="M47" t="n">
        <v>83.32</v>
      </c>
      <c r="N47" t="n">
        <v>85.52</v>
      </c>
      <c r="O47" t="n">
        <v>85.03</v>
      </c>
      <c r="P47" t="n">
        <v>94.36</v>
      </c>
      <c r="Q47" t="n">
        <v>96.72</v>
      </c>
      <c r="R47" t="n">
        <v>96.23</v>
      </c>
      <c r="S47" t="n">
        <v>97.02</v>
      </c>
      <c r="T47" t="n">
        <v>95.74</v>
      </c>
      <c r="U47" t="n">
        <v>93.26</v>
      </c>
      <c r="V47" t="n">
        <v>89.89</v>
      </c>
      <c r="W47" t="n">
        <v>87.11</v>
      </c>
      <c r="X47" t="n">
        <v>85.36</v>
      </c>
      <c r="Y47" t="n">
        <v>87.88</v>
      </c>
      <c r="Z47" t="n">
        <v>91.64</v>
      </c>
      <c r="AA47" t="n">
        <v>92.4</v>
      </c>
      <c r="AB47" t="n">
        <v>96.88</v>
      </c>
      <c r="AC47" t="n">
        <v>104.49</v>
      </c>
      <c r="AD47" t="n">
        <v>113.43</v>
      </c>
      <c r="AE47" t="n">
        <v>118.68</v>
      </c>
      <c r="AF47" t="n">
        <v>129.29</v>
      </c>
    </row>
    <row r="48">
      <c r="A48" t="s">
        <v>20</v>
      </c>
      <c r="B48" t="s">
        <v>253</v>
      </c>
      <c r="C48" t="s">
        <v>131</v>
      </c>
      <c r="D48" t="s">
        <v>254</v>
      </c>
      <c r="E48" t="s">
        <v>132</v>
      </c>
      <c r="F48" t="n">
        <v>226.82</v>
      </c>
      <c r="G48" t="n">
        <v>243.24</v>
      </c>
      <c r="H48" t="n">
        <v>259.34</v>
      </c>
      <c r="I48" t="n">
        <v>274.24</v>
      </c>
      <c r="J48" t="n">
        <v>293.19</v>
      </c>
      <c r="K48" t="n">
        <v>308.34</v>
      </c>
      <c r="L48" t="n">
        <v>326.18</v>
      </c>
      <c r="M48" t="n">
        <v>353.07</v>
      </c>
      <c r="N48" t="n">
        <v>372.51</v>
      </c>
      <c r="O48" t="n">
        <v>380.55</v>
      </c>
      <c r="P48" t="n">
        <v>407.1</v>
      </c>
      <c r="Q48" t="n">
        <v>434.27</v>
      </c>
      <c r="R48" t="n">
        <v>450</v>
      </c>
      <c r="S48" t="n">
        <v>462.97</v>
      </c>
      <c r="T48" t="n">
        <v>463.68</v>
      </c>
      <c r="U48" t="n">
        <v>465.55</v>
      </c>
      <c r="V48" t="n">
        <v>460.12</v>
      </c>
      <c r="W48" t="n">
        <v>458.72</v>
      </c>
      <c r="X48" t="n">
        <v>464.78</v>
      </c>
      <c r="Y48" t="n">
        <v>474.31</v>
      </c>
      <c r="Z48" t="n">
        <v>486.79</v>
      </c>
      <c r="AA48" t="n">
        <v>494.56</v>
      </c>
      <c r="AB48" t="n">
        <v>515.28</v>
      </c>
      <c r="AC48" t="n">
        <v>537.04</v>
      </c>
      <c r="AD48" t="n">
        <v>569.14</v>
      </c>
      <c r="AE48" t="n">
        <v>571.68</v>
      </c>
      <c r="AF48" t="n">
        <v>628.9</v>
      </c>
    </row>
    <row r="49">
      <c r="A49" t="s">
        <v>20</v>
      </c>
      <c r="B49" t="s">
        <v>255</v>
      </c>
      <c r="C49" t="s">
        <v>131</v>
      </c>
      <c r="D49" t="s">
        <v>256</v>
      </c>
      <c r="E49" t="s">
        <v>132</v>
      </c>
      <c r="F49" t="n">
        <v>76.43</v>
      </c>
      <c r="G49" t="n">
        <v>81.32</v>
      </c>
      <c r="H49" t="n">
        <v>85.87</v>
      </c>
      <c r="I49" t="n">
        <v>90.45</v>
      </c>
      <c r="J49" t="n">
        <v>95.95</v>
      </c>
      <c r="K49" t="n">
        <v>98.21</v>
      </c>
      <c r="L49" t="n">
        <v>100.33</v>
      </c>
      <c r="M49" t="n">
        <v>105.68</v>
      </c>
      <c r="N49" t="n">
        <v>111.52</v>
      </c>
      <c r="O49" t="n">
        <v>113.09</v>
      </c>
      <c r="P49" t="n">
        <v>120.16</v>
      </c>
      <c r="Q49" t="n">
        <v>129.11</v>
      </c>
      <c r="R49" t="n">
        <v>131.92</v>
      </c>
      <c r="S49" t="n">
        <v>135.37</v>
      </c>
      <c r="T49" t="n">
        <v>135.79</v>
      </c>
      <c r="U49" t="n">
        <v>135.43</v>
      </c>
      <c r="V49" t="n">
        <v>129.99</v>
      </c>
      <c r="W49" t="n">
        <v>131.44</v>
      </c>
      <c r="X49" t="n">
        <v>134.92</v>
      </c>
      <c r="Y49" t="n">
        <v>139.8</v>
      </c>
      <c r="Z49" t="n">
        <v>141.77</v>
      </c>
      <c r="AA49" t="n">
        <v>144.64</v>
      </c>
      <c r="AB49" t="n">
        <v>153.22</v>
      </c>
      <c r="AC49" t="n">
        <v>163.54</v>
      </c>
      <c r="AD49" t="n">
        <v>176.09</v>
      </c>
      <c r="AE49" t="n">
        <v>179.07</v>
      </c>
      <c r="AF49" t="n">
        <v>202.79</v>
      </c>
    </row>
    <row r="50">
      <c r="A50" t="s">
        <v>20</v>
      </c>
      <c r="B50" t="s">
        <v>257</v>
      </c>
      <c r="C50" t="s">
        <v>131</v>
      </c>
      <c r="D50" t="s">
        <v>258</v>
      </c>
      <c r="E50" t="s">
        <v>132</v>
      </c>
      <c r="F50" t="n">
        <v>90.74</v>
      </c>
      <c r="G50" t="n">
        <v>99.36</v>
      </c>
      <c r="H50" t="n">
        <v>107.99</v>
      </c>
      <c r="I50" t="n">
        <v>116.4</v>
      </c>
      <c r="J50" t="n">
        <v>124.62</v>
      </c>
      <c r="K50" t="n">
        <v>135.13</v>
      </c>
      <c r="L50" t="n">
        <v>149.16</v>
      </c>
      <c r="M50" t="n">
        <v>164.07</v>
      </c>
      <c r="N50" t="n">
        <v>175.47</v>
      </c>
      <c r="O50" t="n">
        <v>182.43</v>
      </c>
      <c r="P50" t="n">
        <v>192.58</v>
      </c>
      <c r="Q50" t="n">
        <v>208.45</v>
      </c>
      <c r="R50" t="n">
        <v>221.86</v>
      </c>
      <c r="S50" t="n">
        <v>230.58</v>
      </c>
      <c r="T50" t="n">
        <v>232.15</v>
      </c>
      <c r="U50" t="n">
        <v>236.86</v>
      </c>
      <c r="V50" t="n">
        <v>240.24</v>
      </c>
      <c r="W50" t="n">
        <v>240.16</v>
      </c>
      <c r="X50" t="n">
        <v>244.5</v>
      </c>
      <c r="Y50" t="n">
        <v>246.63</v>
      </c>
      <c r="Z50" t="n">
        <v>253.38</v>
      </c>
      <c r="AA50" t="n">
        <v>257.52</v>
      </c>
      <c r="AB50" t="n">
        <v>265.18</v>
      </c>
      <c r="AC50" t="n">
        <v>269</v>
      </c>
      <c r="AD50" t="n">
        <v>279.63</v>
      </c>
      <c r="AE50" t="n">
        <v>273.93</v>
      </c>
      <c r="AF50" t="n">
        <v>296.82</v>
      </c>
    </row>
    <row r="51">
      <c r="A51" t="s">
        <v>20</v>
      </c>
      <c r="B51" t="s">
        <v>259</v>
      </c>
      <c r="C51" t="s">
        <v>131</v>
      </c>
      <c r="D51" t="s">
        <v>260</v>
      </c>
      <c r="E51" t="s">
        <v>132</v>
      </c>
      <c r="F51" t="n">
        <v>74.53</v>
      </c>
      <c r="G51" t="n">
        <v>78.46</v>
      </c>
      <c r="H51" t="n">
        <v>82.4</v>
      </c>
      <c r="I51" t="n">
        <v>86.73</v>
      </c>
      <c r="J51" t="n">
        <v>92.5</v>
      </c>
      <c r="K51" t="n">
        <v>98.31</v>
      </c>
      <c r="L51" t="n">
        <v>107.19</v>
      </c>
      <c r="M51" t="n">
        <v>114.61</v>
      </c>
      <c r="N51" t="n">
        <v>121.67</v>
      </c>
      <c r="O51" t="n">
        <v>125.91</v>
      </c>
      <c r="P51" t="n">
        <v>128.72</v>
      </c>
      <c r="Q51" t="n">
        <v>134.2</v>
      </c>
      <c r="R51" t="n">
        <v>143.77</v>
      </c>
      <c r="S51" t="n">
        <v>148.71</v>
      </c>
      <c r="T51" t="n">
        <v>146.61</v>
      </c>
      <c r="U51" t="n">
        <v>156.02</v>
      </c>
      <c r="V51" t="n">
        <v>157.03</v>
      </c>
      <c r="W51" t="n">
        <v>154.61</v>
      </c>
      <c r="X51" t="n">
        <v>153.49</v>
      </c>
      <c r="Y51" t="n">
        <v>154.55</v>
      </c>
      <c r="Z51" t="n">
        <v>154.37</v>
      </c>
      <c r="AA51" t="n">
        <v>158.28</v>
      </c>
      <c r="AB51" t="n">
        <v>155.3</v>
      </c>
      <c r="AC51" t="n">
        <v>151.59</v>
      </c>
      <c r="AD51" t="n">
        <v>152.39</v>
      </c>
      <c r="AE51" t="n">
        <v>146.81</v>
      </c>
      <c r="AF51" t="n">
        <v>169.72</v>
      </c>
    </row>
    <row r="52">
      <c r="A52" t="s">
        <v>20</v>
      </c>
      <c r="B52" t="s">
        <v>261</v>
      </c>
      <c r="C52" t="s">
        <v>131</v>
      </c>
      <c r="D52" t="s">
        <v>262</v>
      </c>
      <c r="E52" t="s">
        <v>132</v>
      </c>
      <c r="F52" t="n">
        <v>16.21</v>
      </c>
      <c r="G52" t="n">
        <v>20.9</v>
      </c>
      <c r="H52" t="n">
        <v>25.59</v>
      </c>
      <c r="I52" t="n">
        <v>29.67</v>
      </c>
      <c r="J52" t="n">
        <v>32.12</v>
      </c>
      <c r="K52" t="n">
        <v>36.82</v>
      </c>
      <c r="L52" t="n">
        <v>41.97</v>
      </c>
      <c r="M52" t="n">
        <v>49.46</v>
      </c>
      <c r="N52" t="n">
        <v>53.8</v>
      </c>
      <c r="O52" t="n">
        <v>56.52</v>
      </c>
      <c r="P52" t="n">
        <v>63.86</v>
      </c>
      <c r="Q52" t="n">
        <v>74.25</v>
      </c>
      <c r="R52" t="n">
        <v>78.09</v>
      </c>
      <c r="S52" t="n">
        <v>81.87</v>
      </c>
      <c r="T52" t="n">
        <v>85.54</v>
      </c>
      <c r="U52" t="n">
        <v>80.84</v>
      </c>
      <c r="V52" t="n">
        <v>83.21</v>
      </c>
      <c r="W52" t="n">
        <v>85.55</v>
      </c>
      <c r="X52" t="n">
        <v>91.01</v>
      </c>
      <c r="Y52" t="n">
        <v>92.08</v>
      </c>
      <c r="Z52" t="n">
        <v>99.01</v>
      </c>
      <c r="AA52" t="n">
        <v>99.24</v>
      </c>
      <c r="AB52" t="n">
        <v>109.88</v>
      </c>
      <c r="AC52" t="n">
        <v>117.41</v>
      </c>
      <c r="AD52" t="n">
        <v>127.24</v>
      </c>
      <c r="AE52" t="n">
        <v>127.12</v>
      </c>
      <c r="AF52" t="n">
        <v>127.1</v>
      </c>
    </row>
    <row r="53">
      <c r="A53" t="s">
        <v>20</v>
      </c>
      <c r="B53" t="s">
        <v>263</v>
      </c>
      <c r="C53" t="s">
        <v>131</v>
      </c>
      <c r="D53" t="s">
        <v>264</v>
      </c>
      <c r="E53" t="s">
        <v>132</v>
      </c>
      <c r="F53" t="n">
        <v>25.29</v>
      </c>
      <c r="G53" t="n">
        <v>25.27</v>
      </c>
      <c r="H53" t="n">
        <v>25.02</v>
      </c>
      <c r="I53" t="n">
        <v>25.65</v>
      </c>
      <c r="J53" t="n">
        <v>26.26</v>
      </c>
      <c r="K53" t="n">
        <v>26.3</v>
      </c>
      <c r="L53" t="n">
        <v>26.6</v>
      </c>
      <c r="M53" t="n">
        <v>27.9</v>
      </c>
      <c r="N53" t="n">
        <v>26.71</v>
      </c>
      <c r="O53" t="n">
        <v>27.8</v>
      </c>
      <c r="P53" t="n">
        <v>31.65</v>
      </c>
      <c r="Q53" t="n">
        <v>36.52</v>
      </c>
      <c r="R53" t="n">
        <v>35.86</v>
      </c>
      <c r="S53" t="n">
        <v>39.24</v>
      </c>
      <c r="T53" t="n">
        <v>35.76</v>
      </c>
      <c r="U53" t="n">
        <v>35.33</v>
      </c>
      <c r="V53" t="n">
        <v>36.57</v>
      </c>
      <c r="W53" t="n">
        <v>35.97</v>
      </c>
      <c r="X53" t="n">
        <v>35.24</v>
      </c>
      <c r="Y53" t="n">
        <v>35.05</v>
      </c>
      <c r="Z53" t="n">
        <v>37.23</v>
      </c>
      <c r="AA53" t="n">
        <v>42.49</v>
      </c>
      <c r="AB53" t="n">
        <v>41.65</v>
      </c>
      <c r="AC53" t="n">
        <v>42.17</v>
      </c>
      <c r="AD53" t="n">
        <v>41.66</v>
      </c>
      <c r="AE53" t="n">
        <v>32.91</v>
      </c>
      <c r="AF53" t="n">
        <v>33.9</v>
      </c>
    </row>
    <row r="54">
      <c r="A54" t="s">
        <v>20</v>
      </c>
      <c r="B54" t="s">
        <v>265</v>
      </c>
      <c r="C54" t="s">
        <v>131</v>
      </c>
      <c r="D54" t="s">
        <v>266</v>
      </c>
      <c r="E54" t="s">
        <v>132</v>
      </c>
      <c r="F54" t="n">
        <v>53.35</v>
      </c>
      <c r="G54" t="n">
        <v>53.43</v>
      </c>
      <c r="H54" t="n">
        <v>53.57</v>
      </c>
      <c r="I54" t="n">
        <v>55.2</v>
      </c>
      <c r="J54" t="n">
        <v>56.33</v>
      </c>
      <c r="K54" t="n">
        <v>56.15</v>
      </c>
      <c r="L54" t="n">
        <v>59.51</v>
      </c>
      <c r="M54" t="n">
        <v>62.56</v>
      </c>
      <c r="N54" t="n">
        <v>64.03</v>
      </c>
      <c r="O54" t="n">
        <v>74.17</v>
      </c>
      <c r="P54" t="n">
        <v>72.58</v>
      </c>
      <c r="Q54" t="n">
        <v>75.8</v>
      </c>
      <c r="R54" t="n">
        <v>72.98</v>
      </c>
      <c r="S54" t="n">
        <v>76.59</v>
      </c>
      <c r="T54" t="n">
        <v>72.7</v>
      </c>
      <c r="U54" t="n">
        <v>69.52</v>
      </c>
      <c r="V54" t="n">
        <v>71.95</v>
      </c>
      <c r="W54" t="n">
        <v>73.07</v>
      </c>
      <c r="X54" t="n">
        <v>71.15</v>
      </c>
      <c r="Y54" t="n">
        <v>70.03</v>
      </c>
      <c r="Z54" t="n">
        <v>75.89</v>
      </c>
      <c r="AA54" t="n">
        <v>80.95</v>
      </c>
      <c r="AB54" t="n">
        <v>82.19</v>
      </c>
      <c r="AC54" t="n">
        <v>85.41</v>
      </c>
      <c r="AD54" t="n">
        <v>82.68</v>
      </c>
      <c r="AE54" t="n">
        <v>71.17</v>
      </c>
      <c r="AF54" t="n">
        <v>73.25</v>
      </c>
    </row>
    <row r="55">
      <c r="A55" t="s">
        <v>20</v>
      </c>
      <c r="B55" t="s">
        <v>267</v>
      </c>
      <c r="C55" t="s">
        <v>131</v>
      </c>
      <c r="D55" t="s">
        <v>268</v>
      </c>
      <c r="E55" t="s">
        <v>132</v>
      </c>
      <c r="F55" t="n">
        <v>28.06</v>
      </c>
      <c r="G55" t="n">
        <v>28.16</v>
      </c>
      <c r="H55" t="n">
        <v>28.55</v>
      </c>
      <c r="I55" t="n">
        <v>29.55</v>
      </c>
      <c r="J55" t="n">
        <v>30.07</v>
      </c>
      <c r="K55" t="n">
        <v>29.85</v>
      </c>
      <c r="L55" t="n">
        <v>32.91</v>
      </c>
      <c r="M55" t="n">
        <v>34.66</v>
      </c>
      <c r="N55" t="n">
        <v>37.32</v>
      </c>
      <c r="O55" t="n">
        <v>46.37</v>
      </c>
      <c r="P55" t="n">
        <v>40.93</v>
      </c>
      <c r="Q55" t="n">
        <v>39.28</v>
      </c>
      <c r="R55" t="n">
        <v>37.12</v>
      </c>
      <c r="S55" t="n">
        <v>37.35</v>
      </c>
      <c r="T55" t="n">
        <v>36.94</v>
      </c>
      <c r="U55" t="n">
        <v>34.19</v>
      </c>
      <c r="V55" t="n">
        <v>35.38</v>
      </c>
      <c r="W55" t="n">
        <v>37.1</v>
      </c>
      <c r="X55" t="n">
        <v>35.91</v>
      </c>
      <c r="Y55" t="n">
        <v>34.98</v>
      </c>
      <c r="Z55" t="n">
        <v>38.66</v>
      </c>
      <c r="AA55" t="n">
        <v>38.46</v>
      </c>
      <c r="AB55" t="n">
        <v>40.54</v>
      </c>
      <c r="AC55" t="n">
        <v>43.24</v>
      </c>
      <c r="AD55" t="n">
        <v>41.02</v>
      </c>
      <c r="AE55" t="n">
        <v>38.26</v>
      </c>
      <c r="AF55" t="n">
        <v>39.35</v>
      </c>
    </row>
    <row r="56">
      <c r="A56" t="s">
        <v>20</v>
      </c>
      <c r="B56" t="s">
        <v>269</v>
      </c>
      <c r="C56" t="s">
        <v>131</v>
      </c>
      <c r="D56" t="s">
        <v>270</v>
      </c>
      <c r="E56" t="s">
        <v>132</v>
      </c>
      <c r="F56" t="n">
        <v>7.96</v>
      </c>
      <c r="G56" t="n">
        <v>7.96</v>
      </c>
      <c r="H56" t="n">
        <v>8.1</v>
      </c>
      <c r="I56" t="n">
        <v>7.5</v>
      </c>
      <c r="J56" t="n">
        <v>7.83</v>
      </c>
      <c r="K56" t="n">
        <v>6.72</v>
      </c>
      <c r="L56" t="n">
        <v>6.48</v>
      </c>
      <c r="M56" t="n">
        <v>6.69</v>
      </c>
      <c r="N56" t="n">
        <v>6.57</v>
      </c>
      <c r="O56" t="n">
        <v>5.38</v>
      </c>
      <c r="P56" t="n">
        <v>6.82</v>
      </c>
      <c r="Q56" t="n">
        <v>7.45</v>
      </c>
      <c r="R56" t="n">
        <v>9.08</v>
      </c>
      <c r="S56" t="n">
        <v>9.18</v>
      </c>
      <c r="T56" t="n">
        <v>6.94</v>
      </c>
      <c r="U56" t="n">
        <v>6.12</v>
      </c>
      <c r="V56" t="n">
        <v>6.64</v>
      </c>
      <c r="W56" t="n">
        <v>7.16</v>
      </c>
      <c r="X56" t="n">
        <v>6.16</v>
      </c>
      <c r="Y56" t="n">
        <v>5.27</v>
      </c>
      <c r="Z56" t="n">
        <v>7.34</v>
      </c>
      <c r="AA56" t="n">
        <v>5.48</v>
      </c>
      <c r="AB56" t="n">
        <v>5.85</v>
      </c>
      <c r="AC56" t="n">
        <v>6.41</v>
      </c>
      <c r="AD56" t="n">
        <v>5.45</v>
      </c>
      <c r="AE56" t="n">
        <v>3.27</v>
      </c>
      <c r="AF56" t="n">
        <v>2.49</v>
      </c>
    </row>
    <row r="57">
      <c r="A57" t="s">
        <v>20</v>
      </c>
      <c r="B57" t="s">
        <v>271</v>
      </c>
      <c r="C57" t="s">
        <v>131</v>
      </c>
      <c r="D57" t="s">
        <v>272</v>
      </c>
      <c r="E57" t="s">
        <v>132</v>
      </c>
      <c r="F57" t="n">
        <v>1167.16</v>
      </c>
      <c r="G57" t="n">
        <v>1197.54</v>
      </c>
      <c r="H57" t="n">
        <v>1231.07</v>
      </c>
      <c r="I57" t="n">
        <v>1289.64</v>
      </c>
      <c r="J57" t="n">
        <v>1384.06</v>
      </c>
      <c r="K57" t="n">
        <v>1456.65</v>
      </c>
      <c r="L57" t="n">
        <v>1505.29</v>
      </c>
      <c r="M57" t="n">
        <v>1532.8</v>
      </c>
      <c r="N57" t="n">
        <v>1566.84</v>
      </c>
      <c r="O57" t="n">
        <v>1615.37</v>
      </c>
      <c r="P57" t="n">
        <v>1702.43</v>
      </c>
      <c r="Q57" t="n">
        <v>1794.98</v>
      </c>
      <c r="R57" t="n">
        <v>1857.5</v>
      </c>
      <c r="S57" t="n">
        <v>1828.15</v>
      </c>
      <c r="T57" t="n">
        <v>1660.79</v>
      </c>
      <c r="U57" t="n">
        <v>1591.73</v>
      </c>
      <c r="V57" t="n">
        <v>1568.5</v>
      </c>
      <c r="W57" t="n">
        <v>1561.5</v>
      </c>
      <c r="X57" t="n">
        <v>1603.63</v>
      </c>
      <c r="Y57" t="n">
        <v>1649.9</v>
      </c>
      <c r="Z57" t="n">
        <v>1714.91</v>
      </c>
      <c r="AA57" t="n">
        <v>1785.81</v>
      </c>
      <c r="AB57" t="n">
        <v>1858.47</v>
      </c>
      <c r="AC57" t="n">
        <v>1922.73</v>
      </c>
      <c r="AD57" t="n">
        <v>1998.28</v>
      </c>
      <c r="AE57" t="n">
        <v>1939.67</v>
      </c>
      <c r="AF57" t="n">
        <v>2084.41</v>
      </c>
    </row>
    <row r="58">
      <c r="A58" t="s">
        <v>20</v>
      </c>
      <c r="B58" t="s">
        <v>273</v>
      </c>
      <c r="C58" t="s">
        <v>131</v>
      </c>
      <c r="D58" t="s">
        <v>274</v>
      </c>
      <c r="E58" t="s">
        <v>132</v>
      </c>
      <c r="F58" t="n">
        <v>1159.2</v>
      </c>
      <c r="G58" t="n">
        <v>1189.58</v>
      </c>
      <c r="H58" t="n">
        <v>1222.97</v>
      </c>
      <c r="I58" t="n">
        <v>1282.14</v>
      </c>
      <c r="J58" t="n">
        <v>1376.23</v>
      </c>
      <c r="K58" t="n">
        <v>1449.93</v>
      </c>
      <c r="L58" t="n">
        <v>1498.81</v>
      </c>
      <c r="M58" t="n">
        <v>1526.11</v>
      </c>
      <c r="N58" t="n">
        <v>1560.27</v>
      </c>
      <c r="O58" t="n">
        <v>1609.99</v>
      </c>
      <c r="P58" t="n">
        <v>1695.61</v>
      </c>
      <c r="Q58" t="n">
        <v>1787.53</v>
      </c>
      <c r="R58" t="n">
        <v>1848.42</v>
      </c>
      <c r="S58" t="n">
        <v>1818.97</v>
      </c>
      <c r="T58" t="n">
        <v>1653.85</v>
      </c>
      <c r="U58" t="n">
        <v>1585.61</v>
      </c>
      <c r="V58" t="n">
        <v>1561.86</v>
      </c>
      <c r="W58" t="n">
        <v>1554.34</v>
      </c>
      <c r="X58" t="n">
        <v>1597.47</v>
      </c>
      <c r="Y58" t="n">
        <v>1644.63</v>
      </c>
      <c r="Z58" t="n">
        <v>1707.57</v>
      </c>
      <c r="AA58" t="n">
        <v>1780.33</v>
      </c>
      <c r="AB58" t="n">
        <v>1852.62</v>
      </c>
      <c r="AC58" t="n">
        <v>1916.32</v>
      </c>
      <c r="AD58" t="n">
        <v>1992.83</v>
      </c>
      <c r="AE58" t="n">
        <v>1936.4</v>
      </c>
      <c r="AF58" t="n">
        <v>2081.92</v>
      </c>
    </row>
    <row r="59">
      <c r="A59" t="s">
        <v>20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22</v>
      </c>
      <c r="B2" t="s">
        <v>84</v>
      </c>
      <c r="C2" t="s">
        <v>131</v>
      </c>
      <c r="D2" t="s">
        <v>86</v>
      </c>
      <c r="E2" t="s">
        <v>132</v>
      </c>
      <c r="F2" t="n">
        <v>395558</v>
      </c>
      <c r="G2" t="n">
        <v>391195</v>
      </c>
      <c r="H2" t="n">
        <v>384306</v>
      </c>
      <c r="I2" t="n">
        <v>381862</v>
      </c>
      <c r="J2" t="n">
        <v>385590</v>
      </c>
      <c r="K2" t="n">
        <v>352211</v>
      </c>
      <c r="L2" t="n">
        <v>332741</v>
      </c>
      <c r="M2" t="n">
        <v>319194</v>
      </c>
      <c r="N2" t="n">
        <v>305585</v>
      </c>
      <c r="O2" t="n">
        <v>303736</v>
      </c>
      <c r="P2" t="n">
        <v>298136</v>
      </c>
      <c r="Q2" t="n">
        <v>292361</v>
      </c>
      <c r="R2" t="n">
        <v>284333</v>
      </c>
      <c r="S2" t="n">
        <v>284209</v>
      </c>
      <c r="T2" t="n">
        <v>271199</v>
      </c>
      <c r="U2" t="n">
        <v>271123</v>
      </c>
      <c r="V2" t="n">
        <v>263786</v>
      </c>
      <c r="W2" t="n">
        <v>261941</v>
      </c>
      <c r="X2" t="n">
        <v>270811</v>
      </c>
      <c r="Y2" t="n">
        <v>263200</v>
      </c>
      <c r="Z2" t="n">
        <v>269863</v>
      </c>
      <c r="AA2" t="n">
        <v>273667</v>
      </c>
      <c r="AB2" t="n">
        <v>272623</v>
      </c>
      <c r="AC2" t="n">
        <v>270590</v>
      </c>
      <c r="AD2" t="n">
        <v>258361</v>
      </c>
      <c r="AE2" t="n">
        <v>245675</v>
      </c>
      <c r="AF2" t="n">
        <v>252488</v>
      </c>
    </row>
    <row r="3">
      <c r="A3" t="s">
        <v>22</v>
      </c>
      <c r="B3" t="s">
        <v>163</v>
      </c>
      <c r="C3" t="s">
        <v>131</v>
      </c>
      <c r="D3" t="s">
        <v>164</v>
      </c>
      <c r="E3" t="s">
        <v>132</v>
      </c>
      <c r="F3" t="n">
        <v>10353</v>
      </c>
      <c r="G3" t="n">
        <v>10353</v>
      </c>
      <c r="H3" t="n">
        <v>10353</v>
      </c>
      <c r="I3" t="n">
        <v>11326</v>
      </c>
      <c r="J3" t="n">
        <v>12987</v>
      </c>
      <c r="K3" t="n">
        <v>13910</v>
      </c>
      <c r="L3" t="n">
        <v>16462</v>
      </c>
      <c r="M3" t="n">
        <v>16404</v>
      </c>
      <c r="N3" t="n">
        <v>14085</v>
      </c>
      <c r="O3" t="n">
        <v>14881</v>
      </c>
      <c r="P3" t="n">
        <v>19680</v>
      </c>
      <c r="Q3" t="n">
        <v>23587</v>
      </c>
      <c r="R3" t="n">
        <v>22917</v>
      </c>
      <c r="S3" t="n">
        <v>24158</v>
      </c>
      <c r="T3" t="n">
        <v>13897</v>
      </c>
      <c r="U3" t="n">
        <v>12879</v>
      </c>
      <c r="V3" t="n">
        <v>10802</v>
      </c>
      <c r="W3" t="n">
        <v>12155</v>
      </c>
      <c r="X3" t="n">
        <v>13716</v>
      </c>
      <c r="Y3" t="n">
        <v>12515</v>
      </c>
      <c r="Z3" t="n">
        <v>13375</v>
      </c>
      <c r="AA3" t="n">
        <v>10671</v>
      </c>
      <c r="AB3" t="n">
        <v>13960</v>
      </c>
      <c r="AC3" t="n">
        <v>11691</v>
      </c>
      <c r="AD3" t="n">
        <v>14849</v>
      </c>
      <c r="AE3" t="n">
        <v>11077</v>
      </c>
      <c r="AF3" t="n">
        <v>9609</v>
      </c>
    </row>
    <row r="4">
      <c r="A4" t="s">
        <v>22</v>
      </c>
      <c r="B4" t="s">
        <v>165</v>
      </c>
      <c r="C4" t="s">
        <v>131</v>
      </c>
      <c r="D4" t="s">
        <v>166</v>
      </c>
      <c r="E4" t="s">
        <v>132</v>
      </c>
      <c r="F4" t="n">
        <v>585367</v>
      </c>
      <c r="G4" t="n">
        <v>586329</v>
      </c>
      <c r="H4" t="n">
        <v>585344</v>
      </c>
      <c r="I4" t="n">
        <v>589358</v>
      </c>
      <c r="J4" t="n">
        <v>598730</v>
      </c>
      <c r="K4" t="n">
        <v>607784</v>
      </c>
      <c r="L4" t="n">
        <v>602893</v>
      </c>
      <c r="M4" t="n">
        <v>573679</v>
      </c>
      <c r="N4" t="n">
        <v>556927</v>
      </c>
      <c r="O4" t="n">
        <v>536248</v>
      </c>
      <c r="P4" t="n">
        <v>528874</v>
      </c>
      <c r="Q4" t="n">
        <v>524055</v>
      </c>
      <c r="R4" t="n">
        <v>517877</v>
      </c>
      <c r="S4" t="n">
        <v>489823</v>
      </c>
      <c r="T4" t="n">
        <v>417182</v>
      </c>
      <c r="U4" t="n">
        <v>393868</v>
      </c>
      <c r="V4" t="n">
        <v>392868</v>
      </c>
      <c r="W4" t="n">
        <v>386032</v>
      </c>
      <c r="X4" t="n">
        <v>398551</v>
      </c>
      <c r="Y4" t="n">
        <v>408481</v>
      </c>
      <c r="Z4" t="n">
        <v>427187</v>
      </c>
      <c r="AA4" t="n">
        <v>465541</v>
      </c>
      <c r="AB4" t="n">
        <v>479538</v>
      </c>
      <c r="AC4" t="n">
        <v>480430</v>
      </c>
      <c r="AD4" t="n">
        <v>492133</v>
      </c>
      <c r="AE4" t="n">
        <v>485186</v>
      </c>
      <c r="AF4" t="n">
        <v>522966</v>
      </c>
    </row>
    <row r="5">
      <c r="A5" t="s">
        <v>22</v>
      </c>
      <c r="B5" t="s">
        <v>167</v>
      </c>
      <c r="C5" t="s">
        <v>131</v>
      </c>
      <c r="D5" t="s">
        <v>168</v>
      </c>
      <c r="E5" t="s">
        <v>132</v>
      </c>
      <c r="F5" t="n">
        <v>113541</v>
      </c>
      <c r="G5" t="n">
        <v>113595</v>
      </c>
      <c r="H5" t="n">
        <v>113692</v>
      </c>
      <c r="I5" t="n">
        <v>114318</v>
      </c>
      <c r="J5" t="n">
        <v>112617</v>
      </c>
      <c r="K5" t="n">
        <v>113563</v>
      </c>
      <c r="L5" t="n">
        <v>112842</v>
      </c>
      <c r="M5" t="n">
        <v>111427</v>
      </c>
      <c r="N5" t="n">
        <v>110236</v>
      </c>
      <c r="O5" t="n">
        <v>111155</v>
      </c>
      <c r="P5" t="n">
        <v>110773</v>
      </c>
      <c r="Q5" t="n">
        <v>111615</v>
      </c>
      <c r="R5" t="n">
        <v>106010</v>
      </c>
      <c r="S5" t="n">
        <v>105967</v>
      </c>
      <c r="T5" t="n">
        <v>92415</v>
      </c>
      <c r="U5" t="n">
        <v>84878</v>
      </c>
      <c r="V5" t="n">
        <v>98697</v>
      </c>
      <c r="W5" t="n">
        <v>96171</v>
      </c>
      <c r="X5" t="n">
        <v>96286</v>
      </c>
      <c r="Y5" t="n">
        <v>103879</v>
      </c>
      <c r="Z5" t="n">
        <v>99748</v>
      </c>
      <c r="AA5" t="n">
        <v>107608</v>
      </c>
      <c r="AB5" t="n">
        <v>110656</v>
      </c>
      <c r="AC5" t="n">
        <v>111694</v>
      </c>
      <c r="AD5" t="n">
        <v>105579</v>
      </c>
      <c r="AE5" t="n">
        <v>104184</v>
      </c>
      <c r="AF5" t="n">
        <v>108095</v>
      </c>
    </row>
    <row r="6">
      <c r="A6" t="s">
        <v>22</v>
      </c>
      <c r="B6" t="s">
        <v>169</v>
      </c>
      <c r="C6" t="s">
        <v>131</v>
      </c>
      <c r="D6" t="s">
        <v>170</v>
      </c>
      <c r="E6" t="s">
        <v>132</v>
      </c>
      <c r="F6" t="n">
        <v>42869</v>
      </c>
      <c r="G6" t="n">
        <v>41617</v>
      </c>
      <c r="H6" t="n">
        <v>40394</v>
      </c>
      <c r="I6" t="n">
        <v>38961</v>
      </c>
      <c r="J6" t="n">
        <v>35683</v>
      </c>
      <c r="K6" t="n">
        <v>31481</v>
      </c>
      <c r="L6" t="n">
        <v>27135</v>
      </c>
      <c r="M6" t="n">
        <v>25478</v>
      </c>
      <c r="N6" t="n">
        <v>21226</v>
      </c>
      <c r="O6" t="n">
        <v>16251</v>
      </c>
      <c r="P6" t="n">
        <v>15923</v>
      </c>
      <c r="Q6" t="n">
        <v>16592</v>
      </c>
      <c r="R6" t="n">
        <v>16802</v>
      </c>
      <c r="S6" t="n">
        <v>16181</v>
      </c>
      <c r="T6" t="n">
        <v>11493</v>
      </c>
      <c r="U6" t="n">
        <v>10711</v>
      </c>
      <c r="V6" t="n">
        <v>7573</v>
      </c>
      <c r="W6" t="n">
        <v>8634</v>
      </c>
      <c r="X6" t="n">
        <v>11057</v>
      </c>
      <c r="Y6" t="n">
        <v>11120</v>
      </c>
      <c r="Z6" t="n">
        <v>10167</v>
      </c>
      <c r="AA6" t="n">
        <v>7653</v>
      </c>
      <c r="AB6" t="n">
        <v>7126</v>
      </c>
      <c r="AC6" t="n">
        <v>7121</v>
      </c>
      <c r="AD6" t="n">
        <v>5882</v>
      </c>
      <c r="AE6" t="n">
        <v>4745</v>
      </c>
      <c r="AF6" t="n">
        <v>5911</v>
      </c>
    </row>
    <row r="7">
      <c r="A7" t="s">
        <v>22</v>
      </c>
      <c r="B7" t="s">
        <v>171</v>
      </c>
      <c r="C7" t="s">
        <v>131</v>
      </c>
      <c r="D7" t="s">
        <v>172</v>
      </c>
      <c r="E7" t="s">
        <v>132</v>
      </c>
      <c r="F7" t="n">
        <v>48465</v>
      </c>
      <c r="G7" t="n">
        <v>48451</v>
      </c>
      <c r="H7" t="n">
        <v>47859</v>
      </c>
      <c r="I7" t="n">
        <v>48613</v>
      </c>
      <c r="J7" t="n">
        <v>52216</v>
      </c>
      <c r="K7" t="n">
        <v>53715</v>
      </c>
      <c r="L7" t="n">
        <v>54954</v>
      </c>
      <c r="M7" t="n">
        <v>53692</v>
      </c>
      <c r="N7" t="n">
        <v>48453</v>
      </c>
      <c r="O7" t="n">
        <v>44286</v>
      </c>
      <c r="P7" t="n">
        <v>44110</v>
      </c>
      <c r="Q7" t="n">
        <v>44651</v>
      </c>
      <c r="R7" t="n">
        <v>44969</v>
      </c>
      <c r="S7" t="n">
        <v>40758</v>
      </c>
      <c r="T7" t="n">
        <v>31601</v>
      </c>
      <c r="U7" t="n">
        <v>29696</v>
      </c>
      <c r="V7" t="n">
        <v>26340</v>
      </c>
      <c r="W7" t="n">
        <v>23129</v>
      </c>
      <c r="X7" t="n">
        <v>31196</v>
      </c>
      <c r="Y7" t="n">
        <v>27881</v>
      </c>
      <c r="Z7" t="n">
        <v>25073</v>
      </c>
      <c r="AA7" t="n">
        <v>27644</v>
      </c>
      <c r="AB7" t="n">
        <v>30878</v>
      </c>
      <c r="AC7" t="n">
        <v>26171</v>
      </c>
      <c r="AD7" t="n">
        <v>23037</v>
      </c>
      <c r="AE7" t="n">
        <v>21177</v>
      </c>
      <c r="AF7" t="n">
        <v>20629</v>
      </c>
    </row>
    <row r="8">
      <c r="A8" t="s">
        <v>22</v>
      </c>
      <c r="B8" t="s">
        <v>173</v>
      </c>
      <c r="C8" t="s">
        <v>131</v>
      </c>
      <c r="D8" t="s">
        <v>174</v>
      </c>
      <c r="E8" t="s">
        <v>132</v>
      </c>
      <c r="F8" t="n">
        <v>822</v>
      </c>
      <c r="G8" t="n">
        <v>811</v>
      </c>
      <c r="H8" t="n">
        <v>751</v>
      </c>
      <c r="I8" t="n">
        <v>837</v>
      </c>
      <c r="J8" t="n">
        <v>657</v>
      </c>
      <c r="K8" t="n">
        <v>564</v>
      </c>
      <c r="L8" t="n">
        <v>694</v>
      </c>
      <c r="M8" t="n">
        <v>867</v>
      </c>
      <c r="N8" t="n">
        <v>1197</v>
      </c>
      <c r="O8" t="n">
        <v>2793</v>
      </c>
      <c r="P8" t="n">
        <v>1645</v>
      </c>
      <c r="Q8" t="n">
        <v>948</v>
      </c>
      <c r="R8" t="n">
        <v>790</v>
      </c>
      <c r="S8" t="n">
        <v>841</v>
      </c>
      <c r="T8" t="n">
        <v>941</v>
      </c>
      <c r="U8" t="n">
        <v>1012</v>
      </c>
      <c r="V8" t="n">
        <v>1165</v>
      </c>
      <c r="W8" t="n">
        <v>643</v>
      </c>
      <c r="X8" t="n">
        <v>565</v>
      </c>
      <c r="Y8" t="n">
        <v>503</v>
      </c>
      <c r="Z8" t="n">
        <v>375</v>
      </c>
      <c r="AA8" t="n">
        <v>235</v>
      </c>
      <c r="AB8" t="n">
        <v>2726</v>
      </c>
      <c r="AC8" t="n">
        <v>5284</v>
      </c>
      <c r="AD8" t="n">
        <v>2650</v>
      </c>
      <c r="AE8" t="n">
        <v>3621</v>
      </c>
      <c r="AF8" t="n">
        <v>5595</v>
      </c>
    </row>
    <row r="9">
      <c r="A9" t="s">
        <v>22</v>
      </c>
      <c r="B9" t="s">
        <v>175</v>
      </c>
      <c r="C9" t="s">
        <v>131</v>
      </c>
      <c r="D9" t="s">
        <v>176</v>
      </c>
      <c r="E9" t="s">
        <v>132</v>
      </c>
      <c r="F9" t="n">
        <v>10975</v>
      </c>
      <c r="G9" t="n">
        <v>11328</v>
      </c>
      <c r="H9" t="n">
        <v>10769</v>
      </c>
      <c r="I9" t="n">
        <v>11958</v>
      </c>
      <c r="J9" t="n">
        <v>10665</v>
      </c>
      <c r="K9" t="n">
        <v>11636</v>
      </c>
      <c r="L9" t="n">
        <v>11342</v>
      </c>
      <c r="M9" t="n">
        <v>9262</v>
      </c>
      <c r="N9" t="n">
        <v>9089</v>
      </c>
      <c r="O9" t="n">
        <v>7599</v>
      </c>
      <c r="P9" t="n">
        <v>7272</v>
      </c>
      <c r="Q9" t="n">
        <v>5518</v>
      </c>
      <c r="R9" t="n">
        <v>5653</v>
      </c>
      <c r="S9" t="n">
        <v>6525</v>
      </c>
      <c r="T9" t="n">
        <v>5175</v>
      </c>
      <c r="U9" t="n">
        <v>5201</v>
      </c>
      <c r="V9" t="n">
        <v>5242</v>
      </c>
      <c r="W9" t="n">
        <v>5237</v>
      </c>
      <c r="X9" t="n">
        <v>4848</v>
      </c>
      <c r="Y9" t="n">
        <v>4806</v>
      </c>
      <c r="Z9" t="n">
        <v>6464</v>
      </c>
      <c r="AA9" t="n">
        <v>8066</v>
      </c>
      <c r="AB9" t="n">
        <v>6135</v>
      </c>
      <c r="AC9" t="n">
        <v>6227</v>
      </c>
      <c r="AD9" t="n">
        <v>4662</v>
      </c>
      <c r="AE9" t="n">
        <v>5059</v>
      </c>
      <c r="AF9" t="n">
        <v>3720</v>
      </c>
    </row>
    <row r="10">
      <c r="A10" t="s">
        <v>22</v>
      </c>
      <c r="B10" t="s">
        <v>177</v>
      </c>
      <c r="C10" t="s">
        <v>131</v>
      </c>
      <c r="D10" t="s">
        <v>178</v>
      </c>
      <c r="E10" t="s">
        <v>132</v>
      </c>
      <c r="F10" t="n">
        <v>39066</v>
      </c>
      <c r="G10" t="n">
        <v>42684</v>
      </c>
      <c r="H10" t="n">
        <v>45178</v>
      </c>
      <c r="I10" t="n">
        <v>49020</v>
      </c>
      <c r="J10" t="n">
        <v>48567</v>
      </c>
      <c r="K10" t="n">
        <v>54031</v>
      </c>
      <c r="L10" t="n">
        <v>59702</v>
      </c>
      <c r="M10" t="n">
        <v>63379</v>
      </c>
      <c r="N10" t="n">
        <v>61822</v>
      </c>
      <c r="O10" t="n">
        <v>64408</v>
      </c>
      <c r="P10" t="n">
        <v>64974</v>
      </c>
      <c r="Q10" t="n">
        <v>64448</v>
      </c>
      <c r="R10" t="n">
        <v>67421</v>
      </c>
      <c r="S10" t="n">
        <v>64483</v>
      </c>
      <c r="T10" t="n">
        <v>59865</v>
      </c>
      <c r="U10" t="n">
        <v>66333</v>
      </c>
      <c r="V10" t="n">
        <v>63294</v>
      </c>
      <c r="W10" t="n">
        <v>62972</v>
      </c>
      <c r="X10" t="n">
        <v>68478</v>
      </c>
      <c r="Y10" t="n">
        <v>69206</v>
      </c>
      <c r="Z10" t="n">
        <v>77801</v>
      </c>
      <c r="AA10" t="n">
        <v>90550</v>
      </c>
      <c r="AB10" t="n">
        <v>84318</v>
      </c>
      <c r="AC10" t="n">
        <v>86864</v>
      </c>
      <c r="AD10" t="n">
        <v>89784</v>
      </c>
      <c r="AE10" t="n">
        <v>105088</v>
      </c>
      <c r="AF10" t="n">
        <v>116844</v>
      </c>
    </row>
    <row r="11">
      <c r="A11" t="s">
        <v>22</v>
      </c>
      <c r="B11" t="s">
        <v>179</v>
      </c>
      <c r="C11" t="s">
        <v>131</v>
      </c>
      <c r="D11" t="s">
        <v>180</v>
      </c>
      <c r="E11" t="s">
        <v>132</v>
      </c>
      <c r="F11" t="n">
        <v>28091</v>
      </c>
      <c r="G11" t="n">
        <v>31356</v>
      </c>
      <c r="H11" t="n">
        <v>34409</v>
      </c>
      <c r="I11" t="n">
        <v>37062</v>
      </c>
      <c r="J11" t="n">
        <v>37902</v>
      </c>
      <c r="K11" t="n">
        <v>42395</v>
      </c>
      <c r="L11" t="n">
        <v>48360</v>
      </c>
      <c r="M11" t="n">
        <v>54117</v>
      </c>
      <c r="N11" t="n">
        <v>52733</v>
      </c>
      <c r="O11" t="n">
        <v>56809</v>
      </c>
      <c r="P11" t="n">
        <v>57702</v>
      </c>
      <c r="Q11" t="n">
        <v>58930</v>
      </c>
      <c r="R11" t="n">
        <v>61768</v>
      </c>
      <c r="S11" t="n">
        <v>57958</v>
      </c>
      <c r="T11" t="n">
        <v>54690</v>
      </c>
      <c r="U11" t="n">
        <v>61132</v>
      </c>
      <c r="V11" t="n">
        <v>58052</v>
      </c>
      <c r="W11" t="n">
        <v>57735</v>
      </c>
      <c r="X11" t="n">
        <v>63630</v>
      </c>
      <c r="Y11" t="n">
        <v>64400</v>
      </c>
      <c r="Z11" t="n">
        <v>71337</v>
      </c>
      <c r="AA11" t="n">
        <v>82484</v>
      </c>
      <c r="AB11" t="n">
        <v>78183</v>
      </c>
      <c r="AC11" t="n">
        <v>80637</v>
      </c>
      <c r="AD11" t="n">
        <v>85122</v>
      </c>
      <c r="AE11" t="n">
        <v>100029</v>
      </c>
      <c r="AF11" t="n">
        <v>113124</v>
      </c>
    </row>
    <row r="12">
      <c r="A12" t="s">
        <v>22</v>
      </c>
      <c r="B12" t="s">
        <v>181</v>
      </c>
      <c r="C12" t="s">
        <v>131</v>
      </c>
      <c r="D12" t="s">
        <v>182</v>
      </c>
      <c r="E12" t="s">
        <v>132</v>
      </c>
      <c r="F12" t="n">
        <v>55661</v>
      </c>
      <c r="G12" t="n">
        <v>55183</v>
      </c>
      <c r="H12" t="n">
        <v>54806</v>
      </c>
      <c r="I12" t="n">
        <v>55733</v>
      </c>
      <c r="J12" t="n">
        <v>51548</v>
      </c>
      <c r="K12" t="n">
        <v>56409</v>
      </c>
      <c r="L12" t="n">
        <v>51559</v>
      </c>
      <c r="M12" t="n">
        <v>52284</v>
      </c>
      <c r="N12" t="n">
        <v>49550</v>
      </c>
      <c r="O12" t="n">
        <v>45905</v>
      </c>
      <c r="P12" t="n">
        <v>46814</v>
      </c>
      <c r="Q12" t="n">
        <v>44046</v>
      </c>
      <c r="R12" t="n">
        <v>44200</v>
      </c>
      <c r="S12" t="n">
        <v>35780</v>
      </c>
      <c r="T12" t="n">
        <v>24651</v>
      </c>
      <c r="U12" t="n">
        <v>20127</v>
      </c>
      <c r="V12" t="n">
        <v>19735</v>
      </c>
      <c r="W12" t="n">
        <v>21711</v>
      </c>
      <c r="X12" t="n">
        <v>18571</v>
      </c>
      <c r="Y12" t="n">
        <v>18144</v>
      </c>
      <c r="Z12" t="n">
        <v>19353</v>
      </c>
      <c r="AA12" t="n">
        <v>25163</v>
      </c>
      <c r="AB12" t="n">
        <v>25541</v>
      </c>
      <c r="AC12" t="n">
        <v>25721</v>
      </c>
      <c r="AD12" t="n">
        <v>28294</v>
      </c>
      <c r="AE12" t="n">
        <v>23001</v>
      </c>
      <c r="AF12" t="n">
        <v>22536</v>
      </c>
    </row>
    <row r="13">
      <c r="A13" t="s">
        <v>22</v>
      </c>
      <c r="B13" t="s">
        <v>183</v>
      </c>
      <c r="C13" t="s">
        <v>131</v>
      </c>
      <c r="D13" t="s">
        <v>184</v>
      </c>
      <c r="E13" t="s">
        <v>132</v>
      </c>
      <c r="F13" t="n">
        <v>59533</v>
      </c>
      <c r="G13" t="n">
        <v>59589</v>
      </c>
      <c r="H13" t="n">
        <v>60215</v>
      </c>
      <c r="I13" t="n">
        <v>58790</v>
      </c>
      <c r="J13" t="n">
        <v>62260</v>
      </c>
      <c r="K13" t="n">
        <v>65792</v>
      </c>
      <c r="L13" t="n">
        <v>63231</v>
      </c>
      <c r="M13" t="n">
        <v>57174</v>
      </c>
      <c r="N13" t="n">
        <v>61496</v>
      </c>
      <c r="O13" t="n">
        <v>54900</v>
      </c>
      <c r="P13" t="n">
        <v>55586</v>
      </c>
      <c r="Q13" t="n">
        <v>57838</v>
      </c>
      <c r="R13" t="n">
        <v>60254</v>
      </c>
      <c r="S13" t="n">
        <v>56717</v>
      </c>
      <c r="T13" t="n">
        <v>37242</v>
      </c>
      <c r="U13" t="n">
        <v>33164</v>
      </c>
      <c r="V13" t="n">
        <v>30372</v>
      </c>
      <c r="W13" t="n">
        <v>29870</v>
      </c>
      <c r="X13" t="n">
        <v>27850</v>
      </c>
      <c r="Y13" t="n">
        <v>29029</v>
      </c>
      <c r="Z13" t="n">
        <v>34215</v>
      </c>
      <c r="AA13" t="n">
        <v>36381</v>
      </c>
      <c r="AB13" t="n">
        <v>39044</v>
      </c>
      <c r="AC13" t="n">
        <v>32057</v>
      </c>
      <c r="AD13" t="n">
        <v>39043</v>
      </c>
      <c r="AE13" t="n">
        <v>34340</v>
      </c>
      <c r="AF13" t="n">
        <v>30883</v>
      </c>
    </row>
    <row r="14">
      <c r="A14" t="s">
        <v>22</v>
      </c>
      <c r="B14" t="s">
        <v>185</v>
      </c>
      <c r="C14" t="s">
        <v>131</v>
      </c>
      <c r="D14" t="s">
        <v>186</v>
      </c>
      <c r="E14" t="s">
        <v>132</v>
      </c>
      <c r="F14" t="n">
        <v>93104</v>
      </c>
      <c r="G14" t="n">
        <v>91973</v>
      </c>
      <c r="H14" t="n">
        <v>90651</v>
      </c>
      <c r="I14" t="n">
        <v>88141</v>
      </c>
      <c r="J14" t="n">
        <v>84833</v>
      </c>
      <c r="K14" t="n">
        <v>92827</v>
      </c>
      <c r="L14" t="n">
        <v>93478</v>
      </c>
      <c r="M14" t="n">
        <v>75149</v>
      </c>
      <c r="N14" t="n">
        <v>64605</v>
      </c>
      <c r="O14" t="n">
        <v>66846</v>
      </c>
      <c r="P14" t="n">
        <v>68294</v>
      </c>
      <c r="Q14" t="n">
        <v>64508</v>
      </c>
      <c r="R14" t="n">
        <v>60690</v>
      </c>
      <c r="S14" t="n">
        <v>61740</v>
      </c>
      <c r="T14" t="n">
        <v>55706</v>
      </c>
      <c r="U14" t="n">
        <v>49712</v>
      </c>
      <c r="V14" t="n">
        <v>45123</v>
      </c>
      <c r="W14" t="n">
        <v>50445</v>
      </c>
      <c r="X14" t="n">
        <v>45585</v>
      </c>
      <c r="Y14" t="n">
        <v>51847</v>
      </c>
      <c r="Z14" t="n">
        <v>52949</v>
      </c>
      <c r="AA14" t="n">
        <v>50370</v>
      </c>
      <c r="AB14" t="n">
        <v>46887</v>
      </c>
      <c r="AC14" t="n">
        <v>43288</v>
      </c>
      <c r="AD14" t="n">
        <v>40935</v>
      </c>
      <c r="AE14" t="n">
        <v>45975</v>
      </c>
      <c r="AF14" t="n">
        <v>52024</v>
      </c>
    </row>
    <row r="15">
      <c r="A15" t="s">
        <v>22</v>
      </c>
      <c r="B15" t="s">
        <v>187</v>
      </c>
      <c r="C15" t="s">
        <v>131</v>
      </c>
      <c r="D15" t="s">
        <v>188</v>
      </c>
      <c r="E15" t="s">
        <v>132</v>
      </c>
      <c r="F15" t="n">
        <v>106620</v>
      </c>
      <c r="G15" t="n">
        <v>105487</v>
      </c>
      <c r="H15" t="n">
        <v>104156</v>
      </c>
      <c r="I15" t="n">
        <v>102364</v>
      </c>
      <c r="J15" t="n">
        <v>97332</v>
      </c>
      <c r="K15" t="n">
        <v>106327</v>
      </c>
      <c r="L15" t="n">
        <v>107212</v>
      </c>
      <c r="M15" t="n">
        <v>85903</v>
      </c>
      <c r="N15" t="n">
        <v>75833</v>
      </c>
      <c r="O15" t="n">
        <v>74101</v>
      </c>
      <c r="P15" t="n">
        <v>76483</v>
      </c>
      <c r="Q15" t="n">
        <v>70957</v>
      </c>
      <c r="R15" t="n">
        <v>64780</v>
      </c>
      <c r="S15" t="n">
        <v>65741</v>
      </c>
      <c r="T15" t="n">
        <v>59355</v>
      </c>
      <c r="U15" t="n">
        <v>52970</v>
      </c>
      <c r="V15" t="n">
        <v>50146</v>
      </c>
      <c r="W15" t="n">
        <v>53301</v>
      </c>
      <c r="X15" t="n">
        <v>49138</v>
      </c>
      <c r="Y15" t="n">
        <v>55876</v>
      </c>
      <c r="Z15" t="n">
        <v>56709</v>
      </c>
      <c r="AA15" t="n">
        <v>53868</v>
      </c>
      <c r="AB15" t="n">
        <v>52838</v>
      </c>
      <c r="AC15" t="n">
        <v>51471</v>
      </c>
      <c r="AD15" t="n">
        <v>47026</v>
      </c>
      <c r="AE15" t="n">
        <v>50943</v>
      </c>
      <c r="AF15" t="n">
        <v>56785</v>
      </c>
    </row>
    <row r="16">
      <c r="A16" t="s">
        <v>22</v>
      </c>
      <c r="B16" t="s">
        <v>189</v>
      </c>
      <c r="C16" t="s">
        <v>131</v>
      </c>
      <c r="D16" t="s">
        <v>190</v>
      </c>
      <c r="E16" t="s">
        <v>132</v>
      </c>
      <c r="F16" t="n">
        <v>13516</v>
      </c>
      <c r="G16" t="n">
        <v>13514</v>
      </c>
      <c r="H16" t="n">
        <v>13505</v>
      </c>
      <c r="I16" t="n">
        <v>14223</v>
      </c>
      <c r="J16" t="n">
        <v>12499</v>
      </c>
      <c r="K16" t="n">
        <v>13500</v>
      </c>
      <c r="L16" t="n">
        <v>13734</v>
      </c>
      <c r="M16" t="n">
        <v>10754</v>
      </c>
      <c r="N16" t="n">
        <v>11228</v>
      </c>
      <c r="O16" t="n">
        <v>7255</v>
      </c>
      <c r="P16" t="n">
        <v>8189</v>
      </c>
      <c r="Q16" t="n">
        <v>6449</v>
      </c>
      <c r="R16" t="n">
        <v>4090</v>
      </c>
      <c r="S16" t="n">
        <v>4001</v>
      </c>
      <c r="T16" t="n">
        <v>3649</v>
      </c>
      <c r="U16" t="n">
        <v>3258</v>
      </c>
      <c r="V16" t="n">
        <v>5023</v>
      </c>
      <c r="W16" t="n">
        <v>2856</v>
      </c>
      <c r="X16" t="n">
        <v>3553</v>
      </c>
      <c r="Y16" t="n">
        <v>4029</v>
      </c>
      <c r="Z16" t="n">
        <v>3760</v>
      </c>
      <c r="AA16" t="n">
        <v>3498</v>
      </c>
      <c r="AB16" t="n">
        <v>5951</v>
      </c>
      <c r="AC16" t="n">
        <v>8183</v>
      </c>
      <c r="AD16" t="n">
        <v>6091</v>
      </c>
      <c r="AE16" t="n">
        <v>4968</v>
      </c>
      <c r="AF16" t="n">
        <v>4761</v>
      </c>
    </row>
    <row r="17">
      <c r="A17" t="s">
        <v>22</v>
      </c>
      <c r="B17" t="s">
        <v>191</v>
      </c>
      <c r="C17" t="s">
        <v>131</v>
      </c>
      <c r="D17" t="s">
        <v>192</v>
      </c>
      <c r="E17" t="s">
        <v>132</v>
      </c>
      <c r="F17" t="n">
        <v>41866</v>
      </c>
      <c r="G17" t="n">
        <v>41866</v>
      </c>
      <c r="H17" t="n">
        <v>41779</v>
      </c>
      <c r="I17" t="n">
        <v>44038</v>
      </c>
      <c r="J17" t="n">
        <v>58573</v>
      </c>
      <c r="K17" t="n">
        <v>53975</v>
      </c>
      <c r="L17" t="n">
        <v>56142</v>
      </c>
      <c r="M17" t="n">
        <v>55177</v>
      </c>
      <c r="N17" t="n">
        <v>54736</v>
      </c>
      <c r="O17" t="n">
        <v>52984</v>
      </c>
      <c r="P17" t="n">
        <v>51956</v>
      </c>
      <c r="Q17" t="n">
        <v>51435</v>
      </c>
      <c r="R17" t="n">
        <v>55127</v>
      </c>
      <c r="S17" t="n">
        <v>51600</v>
      </c>
      <c r="T17" t="n">
        <v>55335</v>
      </c>
      <c r="U17" t="n">
        <v>52340</v>
      </c>
      <c r="V17" t="n">
        <v>53431</v>
      </c>
      <c r="W17" t="n">
        <v>53362</v>
      </c>
      <c r="X17" t="n">
        <v>60246</v>
      </c>
      <c r="Y17" t="n">
        <v>56912</v>
      </c>
      <c r="Z17" t="n">
        <v>61538</v>
      </c>
      <c r="AA17" t="n">
        <v>69619</v>
      </c>
      <c r="AB17" t="n">
        <v>42284</v>
      </c>
      <c r="AC17" t="n">
        <v>14232</v>
      </c>
      <c r="AD17" t="n">
        <v>16186</v>
      </c>
      <c r="AE17" t="n">
        <v>18224</v>
      </c>
      <c r="AF17" t="n">
        <v>18039</v>
      </c>
    </row>
    <row r="18">
      <c r="A18" t="s">
        <v>22</v>
      </c>
      <c r="B18" t="s">
        <v>193</v>
      </c>
      <c r="C18" t="s">
        <v>131</v>
      </c>
      <c r="D18" t="s">
        <v>194</v>
      </c>
      <c r="E18" t="s">
        <v>132</v>
      </c>
      <c r="F18" t="n">
        <v>18282</v>
      </c>
      <c r="G18" t="n">
        <v>18293</v>
      </c>
      <c r="H18" t="n">
        <v>18136</v>
      </c>
      <c r="I18" t="n">
        <v>18324</v>
      </c>
      <c r="J18" t="n">
        <v>18076</v>
      </c>
      <c r="K18" t="n">
        <v>16243</v>
      </c>
      <c r="L18" t="n">
        <v>14062</v>
      </c>
      <c r="M18" t="n">
        <v>14040</v>
      </c>
      <c r="N18" t="n">
        <v>14245</v>
      </c>
      <c r="O18" t="n">
        <v>13861</v>
      </c>
      <c r="P18" t="n">
        <v>14708</v>
      </c>
      <c r="Q18" t="n">
        <v>11916</v>
      </c>
      <c r="R18" t="n">
        <v>10679</v>
      </c>
      <c r="S18" t="n">
        <v>8644</v>
      </c>
      <c r="T18" t="n">
        <v>6908</v>
      </c>
      <c r="U18" t="n">
        <v>7352</v>
      </c>
      <c r="V18" t="n">
        <v>8496</v>
      </c>
      <c r="W18" t="n">
        <v>6367</v>
      </c>
      <c r="X18" t="n">
        <v>7787</v>
      </c>
      <c r="Y18" t="n">
        <v>5853</v>
      </c>
      <c r="Z18" t="n">
        <v>7582</v>
      </c>
      <c r="AA18" t="n">
        <v>7971</v>
      </c>
      <c r="AB18" t="n">
        <v>9019</v>
      </c>
      <c r="AC18" t="n">
        <v>11704</v>
      </c>
      <c r="AD18" t="n">
        <v>13412</v>
      </c>
      <c r="AE18" t="n">
        <v>11280</v>
      </c>
      <c r="AF18" t="n">
        <v>14464</v>
      </c>
    </row>
    <row r="19">
      <c r="A19" t="s">
        <v>22</v>
      </c>
      <c r="B19" t="s">
        <v>195</v>
      </c>
      <c r="C19" t="s">
        <v>131</v>
      </c>
      <c r="D19" t="s">
        <v>196</v>
      </c>
      <c r="E19" t="s">
        <v>132</v>
      </c>
      <c r="F19" t="n">
        <v>58644</v>
      </c>
      <c r="G19" t="n">
        <v>58753</v>
      </c>
      <c r="H19" t="n">
        <v>58375</v>
      </c>
      <c r="I19" t="n">
        <v>58360</v>
      </c>
      <c r="J19" t="n">
        <v>61201</v>
      </c>
      <c r="K19" t="n">
        <v>55682</v>
      </c>
      <c r="L19" t="n">
        <v>55360</v>
      </c>
      <c r="M19" t="n">
        <v>54258</v>
      </c>
      <c r="N19" t="n">
        <v>58133</v>
      </c>
      <c r="O19" t="n">
        <v>55604</v>
      </c>
      <c r="P19" t="n">
        <v>45902</v>
      </c>
      <c r="Q19" t="n">
        <v>49609</v>
      </c>
      <c r="R19" t="n">
        <v>46845</v>
      </c>
      <c r="S19" t="n">
        <v>43111</v>
      </c>
      <c r="T19" t="n">
        <v>37376</v>
      </c>
      <c r="U19" t="n">
        <v>35285</v>
      </c>
      <c r="V19" t="n">
        <v>33619</v>
      </c>
      <c r="W19" t="n">
        <v>29872</v>
      </c>
      <c r="X19" t="n">
        <v>27377</v>
      </c>
      <c r="Y19" t="n">
        <v>30078</v>
      </c>
      <c r="Z19" t="n">
        <v>34626</v>
      </c>
      <c r="AA19" t="n">
        <v>38849</v>
      </c>
      <c r="AB19" t="n">
        <v>75108</v>
      </c>
      <c r="AC19" t="n">
        <v>108111</v>
      </c>
      <c r="AD19" t="n">
        <v>121240</v>
      </c>
      <c r="AE19" t="n">
        <v>108583</v>
      </c>
      <c r="AF19" t="n">
        <v>123185</v>
      </c>
    </row>
    <row r="20">
      <c r="A20" t="s">
        <v>22</v>
      </c>
      <c r="B20" t="s">
        <v>197</v>
      </c>
      <c r="C20" t="s">
        <v>131</v>
      </c>
      <c r="D20" t="s">
        <v>198</v>
      </c>
      <c r="E20" t="s">
        <v>132</v>
      </c>
      <c r="F20" t="n">
        <v>21282</v>
      </c>
      <c r="G20" t="n">
        <v>21374</v>
      </c>
      <c r="H20" t="n">
        <v>21479</v>
      </c>
      <c r="I20" t="n">
        <v>20623</v>
      </c>
      <c r="J20" t="n">
        <v>20755</v>
      </c>
      <c r="K20" t="n">
        <v>18365</v>
      </c>
      <c r="L20" t="n">
        <v>21002</v>
      </c>
      <c r="M20" t="n">
        <v>21450</v>
      </c>
      <c r="N20" t="n">
        <v>23938</v>
      </c>
      <c r="O20" t="n">
        <v>24858</v>
      </c>
      <c r="P20" t="n">
        <v>22632</v>
      </c>
      <c r="Q20" t="n">
        <v>20933</v>
      </c>
      <c r="R20" t="n">
        <v>21026</v>
      </c>
      <c r="S20" t="n">
        <v>21783</v>
      </c>
      <c r="T20" t="n">
        <v>22922</v>
      </c>
      <c r="U20" t="n">
        <v>22219</v>
      </c>
      <c r="V20" t="n">
        <v>18386</v>
      </c>
      <c r="W20" t="n">
        <v>17464</v>
      </c>
      <c r="X20" t="n">
        <v>18399</v>
      </c>
      <c r="Y20" t="n">
        <v>18757</v>
      </c>
      <c r="Z20" t="n">
        <v>18101</v>
      </c>
      <c r="AA20" t="n">
        <v>22695</v>
      </c>
      <c r="AB20" t="n">
        <v>26303</v>
      </c>
      <c r="AC20" t="n">
        <v>25462</v>
      </c>
      <c r="AD20" t="n">
        <v>26776</v>
      </c>
      <c r="AE20" t="n">
        <v>23315</v>
      </c>
      <c r="AF20" t="n">
        <v>25156</v>
      </c>
    </row>
    <row r="21">
      <c r="A21" t="s">
        <v>22</v>
      </c>
      <c r="B21" t="s">
        <v>199</v>
      </c>
      <c r="C21" t="s">
        <v>131</v>
      </c>
      <c r="D21" t="s">
        <v>200</v>
      </c>
      <c r="E21" t="s">
        <v>132</v>
      </c>
      <c r="F21" t="n">
        <v>29511</v>
      </c>
      <c r="G21" t="n">
        <v>29928</v>
      </c>
      <c r="H21" t="n">
        <v>30286</v>
      </c>
      <c r="I21" t="n">
        <v>29533</v>
      </c>
      <c r="J21" t="n">
        <v>31057</v>
      </c>
      <c r="K21" t="n">
        <v>31292</v>
      </c>
      <c r="L21" t="n">
        <v>33919</v>
      </c>
      <c r="M21" t="n">
        <v>34788</v>
      </c>
      <c r="N21" t="n">
        <v>37091</v>
      </c>
      <c r="O21" t="n">
        <v>41272</v>
      </c>
      <c r="P21" t="n">
        <v>42905</v>
      </c>
      <c r="Q21" t="n">
        <v>47337</v>
      </c>
      <c r="R21" t="n">
        <v>50257</v>
      </c>
      <c r="S21" t="n">
        <v>48081</v>
      </c>
      <c r="T21" t="n">
        <v>45273</v>
      </c>
      <c r="U21" t="n">
        <v>44459</v>
      </c>
      <c r="V21" t="n">
        <v>39808</v>
      </c>
      <c r="W21" t="n">
        <v>34250</v>
      </c>
      <c r="X21" t="n">
        <v>38650</v>
      </c>
      <c r="Y21" t="n">
        <v>40641</v>
      </c>
      <c r="Z21" t="n">
        <v>40004</v>
      </c>
      <c r="AA21" t="n">
        <v>41242</v>
      </c>
      <c r="AB21" t="n">
        <v>48198</v>
      </c>
      <c r="AC21" t="n">
        <v>48215</v>
      </c>
      <c r="AD21" t="n">
        <v>51276</v>
      </c>
      <c r="AE21" t="n">
        <v>47645</v>
      </c>
      <c r="AF21" t="n">
        <v>47839</v>
      </c>
    </row>
    <row r="22">
      <c r="A22" t="s">
        <v>22</v>
      </c>
      <c r="B22" t="s">
        <v>201</v>
      </c>
      <c r="C22" t="s">
        <v>131</v>
      </c>
      <c r="D22" t="s">
        <v>202</v>
      </c>
      <c r="E22" t="s">
        <v>132</v>
      </c>
      <c r="F22" t="n">
        <v>8229</v>
      </c>
      <c r="G22" t="n">
        <v>8554</v>
      </c>
      <c r="H22" t="n">
        <v>8807</v>
      </c>
      <c r="I22" t="n">
        <v>8910</v>
      </c>
      <c r="J22" t="n">
        <v>10302</v>
      </c>
      <c r="K22" t="n">
        <v>12927</v>
      </c>
      <c r="L22" t="n">
        <v>12917</v>
      </c>
      <c r="M22" t="n">
        <v>13338</v>
      </c>
      <c r="N22" t="n">
        <v>13153</v>
      </c>
      <c r="O22" t="n">
        <v>16414</v>
      </c>
      <c r="P22" t="n">
        <v>20273</v>
      </c>
      <c r="Q22" t="n">
        <v>26404</v>
      </c>
      <c r="R22" t="n">
        <v>29231</v>
      </c>
      <c r="S22" t="n">
        <v>26298</v>
      </c>
      <c r="T22" t="n">
        <v>22351</v>
      </c>
      <c r="U22" t="n">
        <v>22240</v>
      </c>
      <c r="V22" t="n">
        <v>21422</v>
      </c>
      <c r="W22" t="n">
        <v>16786</v>
      </c>
      <c r="X22" t="n">
        <v>20251</v>
      </c>
      <c r="Y22" t="n">
        <v>21884</v>
      </c>
      <c r="Z22" t="n">
        <v>21903</v>
      </c>
      <c r="AA22" t="n">
        <v>18547</v>
      </c>
      <c r="AB22" t="n">
        <v>21895</v>
      </c>
      <c r="AC22" t="n">
        <v>22753</v>
      </c>
      <c r="AD22" t="n">
        <v>24500</v>
      </c>
      <c r="AE22" t="n">
        <v>24330</v>
      </c>
      <c r="AF22" t="n">
        <v>22683</v>
      </c>
    </row>
    <row r="23">
      <c r="A23" t="s">
        <v>22</v>
      </c>
      <c r="B23" t="s">
        <v>203</v>
      </c>
      <c r="C23" t="s">
        <v>131</v>
      </c>
      <c r="D23" t="s">
        <v>204</v>
      </c>
      <c r="E23" t="s">
        <v>132</v>
      </c>
      <c r="F23" t="n">
        <v>203877</v>
      </c>
      <c r="G23" t="n">
        <v>207585</v>
      </c>
      <c r="H23" t="n">
        <v>213350</v>
      </c>
      <c r="I23" t="n">
        <v>224829</v>
      </c>
      <c r="J23" t="n">
        <v>257295</v>
      </c>
      <c r="K23" t="n">
        <v>300375</v>
      </c>
      <c r="L23" t="n">
        <v>314936</v>
      </c>
      <c r="M23" t="n">
        <v>317172</v>
      </c>
      <c r="N23" t="n">
        <v>323312</v>
      </c>
      <c r="O23" t="n">
        <v>357364</v>
      </c>
      <c r="P23" t="n">
        <v>409393</v>
      </c>
      <c r="Q23" t="n">
        <v>454621</v>
      </c>
      <c r="R23" t="n">
        <v>464124</v>
      </c>
      <c r="S23" t="n">
        <v>389498</v>
      </c>
      <c r="T23" t="n">
        <v>231139</v>
      </c>
      <c r="U23" t="n">
        <v>169665</v>
      </c>
      <c r="V23" t="n">
        <v>151840</v>
      </c>
      <c r="W23" t="n">
        <v>140279</v>
      </c>
      <c r="X23" t="n">
        <v>146638</v>
      </c>
      <c r="Y23" t="n">
        <v>165492</v>
      </c>
      <c r="Z23" t="n">
        <v>197014</v>
      </c>
      <c r="AA23" t="n">
        <v>223118</v>
      </c>
      <c r="AB23" t="n">
        <v>250775</v>
      </c>
      <c r="AC23" t="n">
        <v>283247</v>
      </c>
      <c r="AD23" t="n">
        <v>291472</v>
      </c>
      <c r="AE23" t="n">
        <v>233098</v>
      </c>
      <c r="AF23" t="n">
        <v>250781</v>
      </c>
    </row>
    <row r="24">
      <c r="A24" t="s">
        <v>22</v>
      </c>
      <c r="B24" t="s">
        <v>205</v>
      </c>
      <c r="C24" t="s">
        <v>131</v>
      </c>
      <c r="D24" t="s">
        <v>206</v>
      </c>
      <c r="E24" t="s">
        <v>132</v>
      </c>
      <c r="F24" t="n">
        <v>421665</v>
      </c>
      <c r="G24" t="n">
        <v>417496</v>
      </c>
      <c r="H24" t="n">
        <v>411797</v>
      </c>
      <c r="I24" t="n">
        <v>417498</v>
      </c>
      <c r="J24" t="n">
        <v>430623</v>
      </c>
      <c r="K24" t="n">
        <v>451500</v>
      </c>
      <c r="L24" t="n">
        <v>455247</v>
      </c>
      <c r="M24" t="n">
        <v>459860</v>
      </c>
      <c r="N24" t="n">
        <v>459707</v>
      </c>
      <c r="O24" t="n">
        <v>471067</v>
      </c>
      <c r="P24" t="n">
        <v>492812</v>
      </c>
      <c r="Q24" t="n">
        <v>508665</v>
      </c>
      <c r="R24" t="n">
        <v>532897</v>
      </c>
      <c r="S24" t="n">
        <v>534655</v>
      </c>
      <c r="T24" t="n">
        <v>455606</v>
      </c>
      <c r="U24" t="n">
        <v>444942</v>
      </c>
      <c r="V24" t="n">
        <v>437517</v>
      </c>
      <c r="W24" t="n">
        <v>434772</v>
      </c>
      <c r="X24" t="n">
        <v>448646</v>
      </c>
      <c r="Y24" t="n">
        <v>457780</v>
      </c>
      <c r="Z24" t="n">
        <v>461851</v>
      </c>
      <c r="AA24" t="n">
        <v>476530</v>
      </c>
      <c r="AB24" t="n">
        <v>493941</v>
      </c>
      <c r="AC24" t="n">
        <v>495203</v>
      </c>
      <c r="AD24" t="n">
        <v>498054</v>
      </c>
      <c r="AE24" t="n">
        <v>463675</v>
      </c>
      <c r="AF24" t="n">
        <v>468875</v>
      </c>
    </row>
    <row r="25">
      <c r="A25" t="s">
        <v>22</v>
      </c>
      <c r="B25" t="s">
        <v>207</v>
      </c>
      <c r="C25" t="s">
        <v>131</v>
      </c>
      <c r="D25" t="s">
        <v>208</v>
      </c>
      <c r="E25" t="s">
        <v>132</v>
      </c>
      <c r="F25" t="n">
        <v>64958</v>
      </c>
      <c r="G25" t="n">
        <v>63654</v>
      </c>
      <c r="H25" t="n">
        <v>61245</v>
      </c>
      <c r="I25" t="n">
        <v>59179</v>
      </c>
      <c r="J25" t="n">
        <v>65114</v>
      </c>
      <c r="K25" t="n">
        <v>69586</v>
      </c>
      <c r="L25" t="n">
        <v>67730</v>
      </c>
      <c r="M25" t="n">
        <v>64557</v>
      </c>
      <c r="N25" t="n">
        <v>65354</v>
      </c>
      <c r="O25" t="n">
        <v>71275</v>
      </c>
      <c r="P25" t="n">
        <v>76460</v>
      </c>
      <c r="Q25" t="n">
        <v>78792</v>
      </c>
      <c r="R25" t="n">
        <v>81478</v>
      </c>
      <c r="S25" t="n">
        <v>79104</v>
      </c>
      <c r="T25" t="n">
        <v>60775</v>
      </c>
      <c r="U25" t="n">
        <v>62283</v>
      </c>
      <c r="V25" t="n">
        <v>62158</v>
      </c>
      <c r="W25" t="n">
        <v>60145</v>
      </c>
      <c r="X25" t="n">
        <v>59927</v>
      </c>
      <c r="Y25" t="n">
        <v>69798</v>
      </c>
      <c r="Z25" t="n">
        <v>74844</v>
      </c>
      <c r="AA25" t="n">
        <v>75899</v>
      </c>
      <c r="AB25" t="n">
        <v>65998</v>
      </c>
      <c r="AC25" t="n">
        <v>64083</v>
      </c>
      <c r="AD25" t="n">
        <v>75611</v>
      </c>
      <c r="AE25" t="n">
        <v>50488</v>
      </c>
      <c r="AF25" t="n">
        <v>52529</v>
      </c>
    </row>
    <row r="26">
      <c r="A26" t="s">
        <v>22</v>
      </c>
      <c r="B26" t="s">
        <v>209</v>
      </c>
      <c r="C26" t="s">
        <v>131</v>
      </c>
      <c r="D26" t="s">
        <v>210</v>
      </c>
      <c r="E26" t="s">
        <v>132</v>
      </c>
      <c r="F26" t="n">
        <v>104111</v>
      </c>
      <c r="G26" t="n">
        <v>102238</v>
      </c>
      <c r="H26" t="n">
        <v>99459</v>
      </c>
      <c r="I26" t="n">
        <v>98863</v>
      </c>
      <c r="J26" t="n">
        <v>97667</v>
      </c>
      <c r="K26" t="n">
        <v>103757</v>
      </c>
      <c r="L26" t="n">
        <v>102597</v>
      </c>
      <c r="M26" t="n">
        <v>101136</v>
      </c>
      <c r="N26" t="n">
        <v>91866</v>
      </c>
      <c r="O26" t="n">
        <v>93402</v>
      </c>
      <c r="P26" t="n">
        <v>106367</v>
      </c>
      <c r="Q26" t="n">
        <v>114395</v>
      </c>
      <c r="R26" t="n">
        <v>120172</v>
      </c>
      <c r="S26" t="n">
        <v>123676</v>
      </c>
      <c r="T26" t="n">
        <v>97010</v>
      </c>
      <c r="U26" t="n">
        <v>97552</v>
      </c>
      <c r="V26" t="n">
        <v>93573</v>
      </c>
      <c r="W26" t="n">
        <v>96540</v>
      </c>
      <c r="X26" t="n">
        <v>110438</v>
      </c>
      <c r="Y26" t="n">
        <v>98566</v>
      </c>
      <c r="Z26" t="n">
        <v>94008</v>
      </c>
      <c r="AA26" t="n">
        <v>97301</v>
      </c>
      <c r="AB26" t="n">
        <v>107299</v>
      </c>
      <c r="AC26" t="n">
        <v>97267</v>
      </c>
      <c r="AD26" t="n">
        <v>94624</v>
      </c>
      <c r="AE26" t="n">
        <v>106524</v>
      </c>
      <c r="AF26" t="n">
        <v>108779</v>
      </c>
    </row>
    <row r="27">
      <c r="A27" t="s">
        <v>22</v>
      </c>
      <c r="B27" t="s">
        <v>211</v>
      </c>
      <c r="C27" t="s">
        <v>131</v>
      </c>
      <c r="D27" t="s">
        <v>212</v>
      </c>
      <c r="E27" t="s">
        <v>132</v>
      </c>
      <c r="F27" t="n">
        <v>252596</v>
      </c>
      <c r="G27" t="n">
        <v>251604</v>
      </c>
      <c r="H27" t="n">
        <v>251093</v>
      </c>
      <c r="I27" t="n">
        <v>259456</v>
      </c>
      <c r="J27" t="n">
        <v>267842</v>
      </c>
      <c r="K27" t="n">
        <v>278157</v>
      </c>
      <c r="L27" t="n">
        <v>284920</v>
      </c>
      <c r="M27" t="n">
        <v>294167</v>
      </c>
      <c r="N27" t="n">
        <v>302487</v>
      </c>
      <c r="O27" t="n">
        <v>306390</v>
      </c>
      <c r="P27" t="n">
        <v>309985</v>
      </c>
      <c r="Q27" t="n">
        <v>315478</v>
      </c>
      <c r="R27" t="n">
        <v>331247</v>
      </c>
      <c r="S27" t="n">
        <v>331875</v>
      </c>
      <c r="T27" t="n">
        <v>297821</v>
      </c>
      <c r="U27" t="n">
        <v>285107</v>
      </c>
      <c r="V27" t="n">
        <v>281786</v>
      </c>
      <c r="W27" t="n">
        <v>278087</v>
      </c>
      <c r="X27" t="n">
        <v>278281</v>
      </c>
      <c r="Y27" t="n">
        <v>289416</v>
      </c>
      <c r="Z27" t="n">
        <v>292999</v>
      </c>
      <c r="AA27" t="n">
        <v>303330</v>
      </c>
      <c r="AB27" t="n">
        <v>320644</v>
      </c>
      <c r="AC27" t="n">
        <v>333853</v>
      </c>
      <c r="AD27" t="n">
        <v>327819</v>
      </c>
      <c r="AE27" t="n">
        <v>306663</v>
      </c>
      <c r="AF27" t="n">
        <v>307567</v>
      </c>
    </row>
    <row r="28">
      <c r="A28" t="s">
        <v>22</v>
      </c>
      <c r="B28" t="s">
        <v>213</v>
      </c>
      <c r="C28" t="s">
        <v>131</v>
      </c>
      <c r="D28" t="s">
        <v>214</v>
      </c>
      <c r="E28" t="s">
        <v>132</v>
      </c>
      <c r="F28" t="n">
        <v>146960</v>
      </c>
      <c r="G28" t="n">
        <v>144717</v>
      </c>
      <c r="H28" t="n">
        <v>140714</v>
      </c>
      <c r="I28" t="n">
        <v>139567</v>
      </c>
      <c r="J28" t="n">
        <v>153947</v>
      </c>
      <c r="K28" t="n">
        <v>161596</v>
      </c>
      <c r="L28" t="n">
        <v>171780</v>
      </c>
      <c r="M28" t="n">
        <v>178201</v>
      </c>
      <c r="N28" t="n">
        <v>174902</v>
      </c>
      <c r="O28" t="n">
        <v>179729</v>
      </c>
      <c r="P28" t="n">
        <v>183481</v>
      </c>
      <c r="Q28" t="n">
        <v>178820</v>
      </c>
      <c r="R28" t="n">
        <v>178779</v>
      </c>
      <c r="S28" t="n">
        <v>173954</v>
      </c>
      <c r="T28" t="n">
        <v>170508</v>
      </c>
      <c r="U28" t="n">
        <v>163974</v>
      </c>
      <c r="V28" t="n">
        <v>164352</v>
      </c>
      <c r="W28" t="n">
        <v>154778</v>
      </c>
      <c r="X28" t="n">
        <v>154883</v>
      </c>
      <c r="Y28" t="n">
        <v>158425</v>
      </c>
      <c r="Z28" t="n">
        <v>165018</v>
      </c>
      <c r="AA28" t="n">
        <v>174724</v>
      </c>
      <c r="AB28" t="n">
        <v>177734</v>
      </c>
      <c r="AC28" t="n">
        <v>188912</v>
      </c>
      <c r="AD28" t="n">
        <v>200566</v>
      </c>
      <c r="AE28" t="n">
        <v>164261</v>
      </c>
      <c r="AF28" t="n">
        <v>170091</v>
      </c>
    </row>
    <row r="29">
      <c r="A29" t="s">
        <v>22</v>
      </c>
      <c r="B29" t="s">
        <v>215</v>
      </c>
      <c r="C29" t="s">
        <v>131</v>
      </c>
      <c r="D29" t="s">
        <v>216</v>
      </c>
      <c r="E29" t="s">
        <v>132</v>
      </c>
      <c r="F29" t="n">
        <v>80058</v>
      </c>
      <c r="G29" t="n">
        <v>78081</v>
      </c>
      <c r="H29" t="n">
        <v>75300</v>
      </c>
      <c r="I29" t="n">
        <v>74971</v>
      </c>
      <c r="J29" t="n">
        <v>84712</v>
      </c>
      <c r="K29" t="n">
        <v>87114</v>
      </c>
      <c r="L29" t="n">
        <v>96616</v>
      </c>
      <c r="M29" t="n">
        <v>103548</v>
      </c>
      <c r="N29" t="n">
        <v>94353</v>
      </c>
      <c r="O29" t="n">
        <v>110687</v>
      </c>
      <c r="P29" t="n">
        <v>112432</v>
      </c>
      <c r="Q29" t="n">
        <v>101487</v>
      </c>
      <c r="R29" t="n">
        <v>103613</v>
      </c>
      <c r="S29" t="n">
        <v>103031</v>
      </c>
      <c r="T29" t="n">
        <v>97395</v>
      </c>
      <c r="U29" t="n">
        <v>90727</v>
      </c>
      <c r="V29" t="n">
        <v>92461</v>
      </c>
      <c r="W29" t="n">
        <v>85144</v>
      </c>
      <c r="X29" t="n">
        <v>84677</v>
      </c>
      <c r="Y29" t="n">
        <v>86756</v>
      </c>
      <c r="Z29" t="n">
        <v>89749</v>
      </c>
      <c r="AA29" t="n">
        <v>96286</v>
      </c>
      <c r="AB29" t="n">
        <v>96803</v>
      </c>
      <c r="AC29" t="n">
        <v>101293</v>
      </c>
      <c r="AD29" t="n">
        <v>98516</v>
      </c>
      <c r="AE29" t="n">
        <v>78944</v>
      </c>
      <c r="AF29" t="n">
        <v>79220</v>
      </c>
    </row>
    <row r="30">
      <c r="A30" t="s">
        <v>22</v>
      </c>
      <c r="B30" t="s">
        <v>217</v>
      </c>
      <c r="C30" t="s">
        <v>131</v>
      </c>
      <c r="D30" t="s">
        <v>218</v>
      </c>
      <c r="E30" t="s">
        <v>132</v>
      </c>
      <c r="F30" t="n">
        <v>6627</v>
      </c>
      <c r="G30" t="n">
        <v>6627</v>
      </c>
      <c r="H30" t="n">
        <v>6627</v>
      </c>
      <c r="I30" t="n">
        <v>6143</v>
      </c>
      <c r="J30" t="n">
        <v>6490</v>
      </c>
      <c r="K30" t="n">
        <v>6530</v>
      </c>
      <c r="L30" t="n">
        <v>6656</v>
      </c>
      <c r="M30" t="n">
        <v>6617</v>
      </c>
      <c r="N30" t="n">
        <v>6415</v>
      </c>
      <c r="O30" t="n">
        <v>9159</v>
      </c>
      <c r="P30" t="n">
        <v>6936</v>
      </c>
      <c r="Q30" t="n">
        <v>4927</v>
      </c>
      <c r="R30" t="n">
        <v>4363</v>
      </c>
      <c r="S30" t="n">
        <v>3188</v>
      </c>
      <c r="T30" t="n">
        <v>3847</v>
      </c>
      <c r="U30" t="n">
        <v>4555</v>
      </c>
      <c r="V30" t="n">
        <v>3536</v>
      </c>
      <c r="W30" t="n">
        <v>2193</v>
      </c>
      <c r="X30" t="n">
        <v>3089</v>
      </c>
      <c r="Y30" t="n">
        <v>3990</v>
      </c>
      <c r="Z30" t="n">
        <v>3180</v>
      </c>
      <c r="AA30" t="n">
        <v>3199</v>
      </c>
      <c r="AB30" t="n">
        <v>4441</v>
      </c>
      <c r="AC30" t="n">
        <v>4463</v>
      </c>
      <c r="AD30" t="n">
        <v>3192</v>
      </c>
      <c r="AE30" t="n">
        <v>3911</v>
      </c>
      <c r="AF30" t="n">
        <v>4196</v>
      </c>
    </row>
    <row r="31">
      <c r="A31" t="s">
        <v>22</v>
      </c>
      <c r="B31" t="s">
        <v>219</v>
      </c>
      <c r="C31" t="s">
        <v>131</v>
      </c>
      <c r="D31" t="s">
        <v>220</v>
      </c>
      <c r="E31" t="s">
        <v>132</v>
      </c>
      <c r="F31" t="n">
        <v>14375</v>
      </c>
      <c r="G31" t="n">
        <v>14192</v>
      </c>
      <c r="H31" t="n">
        <v>13429</v>
      </c>
      <c r="I31" t="n">
        <v>13777</v>
      </c>
      <c r="J31" t="n">
        <v>15169</v>
      </c>
      <c r="K31" t="n">
        <v>16051</v>
      </c>
      <c r="L31" t="n">
        <v>14489</v>
      </c>
      <c r="M31" t="n">
        <v>14590</v>
      </c>
      <c r="N31" t="n">
        <v>14449</v>
      </c>
      <c r="O31" t="n">
        <v>12999</v>
      </c>
      <c r="P31" t="n">
        <v>11121</v>
      </c>
      <c r="Q31" t="n">
        <v>15457</v>
      </c>
      <c r="R31" t="n">
        <v>13805</v>
      </c>
      <c r="S31" t="n">
        <v>13134</v>
      </c>
      <c r="T31" t="n">
        <v>15181</v>
      </c>
      <c r="U31" t="n">
        <v>16447</v>
      </c>
      <c r="V31" t="n">
        <v>14429</v>
      </c>
      <c r="W31" t="n">
        <v>15913</v>
      </c>
      <c r="X31" t="n">
        <v>16187</v>
      </c>
      <c r="Y31" t="n">
        <v>18932</v>
      </c>
      <c r="Z31" t="n">
        <v>19087</v>
      </c>
      <c r="AA31" t="n">
        <v>14740</v>
      </c>
      <c r="AB31" t="n">
        <v>12793</v>
      </c>
      <c r="AC31" t="n">
        <v>12270</v>
      </c>
      <c r="AD31" t="n">
        <v>14198</v>
      </c>
      <c r="AE31" t="n">
        <v>11637</v>
      </c>
      <c r="AF31" t="n">
        <v>10356</v>
      </c>
    </row>
    <row r="32">
      <c r="A32" t="s">
        <v>22</v>
      </c>
      <c r="B32" t="s">
        <v>221</v>
      </c>
      <c r="C32" t="s">
        <v>131</v>
      </c>
      <c r="D32" t="s">
        <v>222</v>
      </c>
      <c r="E32" t="s">
        <v>132</v>
      </c>
      <c r="F32" t="n">
        <v>16814</v>
      </c>
      <c r="G32" t="n">
        <v>16814</v>
      </c>
      <c r="H32" t="n">
        <v>16814</v>
      </c>
      <c r="I32" t="n">
        <v>16413</v>
      </c>
      <c r="J32" t="n">
        <v>18946</v>
      </c>
      <c r="K32" t="n">
        <v>22167</v>
      </c>
      <c r="L32" t="n">
        <v>22562</v>
      </c>
      <c r="M32" t="n">
        <v>19019</v>
      </c>
      <c r="N32" t="n">
        <v>29047</v>
      </c>
      <c r="O32" t="n">
        <v>22880</v>
      </c>
      <c r="P32" t="n">
        <v>26283</v>
      </c>
      <c r="Q32" t="n">
        <v>25442</v>
      </c>
      <c r="R32" t="n">
        <v>27205</v>
      </c>
      <c r="S32" t="n">
        <v>24998</v>
      </c>
      <c r="T32" t="n">
        <v>25031</v>
      </c>
      <c r="U32" t="n">
        <v>24957</v>
      </c>
      <c r="V32" t="n">
        <v>24644</v>
      </c>
      <c r="W32" t="n">
        <v>24263</v>
      </c>
      <c r="X32" t="n">
        <v>24432</v>
      </c>
      <c r="Y32" t="n">
        <v>22916</v>
      </c>
      <c r="Z32" t="n">
        <v>26241</v>
      </c>
      <c r="AA32" t="n">
        <v>32594</v>
      </c>
      <c r="AB32" t="n">
        <v>35823</v>
      </c>
      <c r="AC32" t="n">
        <v>39909</v>
      </c>
      <c r="AD32" t="n">
        <v>53491</v>
      </c>
      <c r="AE32" t="n">
        <v>39056</v>
      </c>
      <c r="AF32" t="n">
        <v>41456</v>
      </c>
    </row>
    <row r="33">
      <c r="A33" t="s">
        <v>22</v>
      </c>
      <c r="B33" t="s">
        <v>223</v>
      </c>
      <c r="C33" t="s">
        <v>131</v>
      </c>
      <c r="D33" t="s">
        <v>224</v>
      </c>
      <c r="E33" t="s">
        <v>132</v>
      </c>
      <c r="F33" t="n">
        <v>29086</v>
      </c>
      <c r="G33" t="n">
        <v>29003</v>
      </c>
      <c r="H33" t="n">
        <v>28544</v>
      </c>
      <c r="I33" t="n">
        <v>28263</v>
      </c>
      <c r="J33" t="n">
        <v>28630</v>
      </c>
      <c r="K33" t="n">
        <v>29734</v>
      </c>
      <c r="L33" t="n">
        <v>31457</v>
      </c>
      <c r="M33" t="n">
        <v>34427</v>
      </c>
      <c r="N33" t="n">
        <v>30638</v>
      </c>
      <c r="O33" t="n">
        <v>24004</v>
      </c>
      <c r="P33" t="n">
        <v>26709</v>
      </c>
      <c r="Q33" t="n">
        <v>31507</v>
      </c>
      <c r="R33" t="n">
        <v>29793</v>
      </c>
      <c r="S33" t="n">
        <v>29603</v>
      </c>
      <c r="T33" t="n">
        <v>29054</v>
      </c>
      <c r="U33" t="n">
        <v>27288</v>
      </c>
      <c r="V33" t="n">
        <v>29282</v>
      </c>
      <c r="W33" t="n">
        <v>27265</v>
      </c>
      <c r="X33" t="n">
        <v>26498</v>
      </c>
      <c r="Y33" t="n">
        <v>25831</v>
      </c>
      <c r="Z33" t="n">
        <v>26761</v>
      </c>
      <c r="AA33" t="n">
        <v>27905</v>
      </c>
      <c r="AB33" t="n">
        <v>27874</v>
      </c>
      <c r="AC33" t="n">
        <v>30977</v>
      </c>
      <c r="AD33" t="n">
        <v>31169</v>
      </c>
      <c r="AE33" t="n">
        <v>30713</v>
      </c>
      <c r="AF33" t="n">
        <v>34863</v>
      </c>
    </row>
    <row r="34">
      <c r="A34" t="s">
        <v>22</v>
      </c>
      <c r="B34" t="s">
        <v>225</v>
      </c>
      <c r="C34" t="s">
        <v>131</v>
      </c>
      <c r="D34" t="s">
        <v>226</v>
      </c>
      <c r="E34" t="s">
        <v>132</v>
      </c>
      <c r="F34" t="n">
        <v>183234</v>
      </c>
      <c r="G34" t="n">
        <v>183526</v>
      </c>
      <c r="H34" t="n">
        <v>184476</v>
      </c>
      <c r="I34" t="n">
        <v>191550</v>
      </c>
      <c r="J34" t="n">
        <v>193094</v>
      </c>
      <c r="K34" t="n">
        <v>200012</v>
      </c>
      <c r="L34" t="n">
        <v>197282</v>
      </c>
      <c r="M34" t="n">
        <v>196313</v>
      </c>
      <c r="N34" t="n">
        <v>201044</v>
      </c>
      <c r="O34" t="n">
        <v>192417</v>
      </c>
      <c r="P34" t="n">
        <v>198763</v>
      </c>
      <c r="Q34" t="n">
        <v>212569</v>
      </c>
      <c r="R34" t="n">
        <v>233417</v>
      </c>
      <c r="S34" t="n">
        <v>215159</v>
      </c>
      <c r="T34" t="n">
        <v>205524</v>
      </c>
      <c r="U34" t="n">
        <v>198471</v>
      </c>
      <c r="V34" t="n">
        <v>183371</v>
      </c>
      <c r="W34" t="n">
        <v>187187</v>
      </c>
      <c r="X34" t="n">
        <v>208490</v>
      </c>
      <c r="Y34" t="n">
        <v>223648</v>
      </c>
      <c r="Z34" t="n">
        <v>230648</v>
      </c>
      <c r="AA34" t="n">
        <v>242405</v>
      </c>
      <c r="AB34" t="n">
        <v>252198</v>
      </c>
      <c r="AC34" t="n">
        <v>276558</v>
      </c>
      <c r="AD34" t="n">
        <v>274667</v>
      </c>
      <c r="AE34" t="n">
        <v>154856</v>
      </c>
      <c r="AF34" t="n">
        <v>178490</v>
      </c>
    </row>
    <row r="35">
      <c r="A35" t="s">
        <v>22</v>
      </c>
      <c r="B35" t="s">
        <v>227</v>
      </c>
      <c r="C35" t="s">
        <v>131</v>
      </c>
      <c r="D35" t="s">
        <v>228</v>
      </c>
      <c r="E35" t="s">
        <v>132</v>
      </c>
      <c r="F35" t="n">
        <v>104629</v>
      </c>
      <c r="G35" t="n">
        <v>110964</v>
      </c>
      <c r="H35" t="n">
        <v>120119</v>
      </c>
      <c r="I35" t="n">
        <v>127475</v>
      </c>
      <c r="J35" t="n">
        <v>146986</v>
      </c>
      <c r="K35" t="n">
        <v>147648</v>
      </c>
      <c r="L35" t="n">
        <v>150560</v>
      </c>
      <c r="M35" t="n">
        <v>153555</v>
      </c>
      <c r="N35" t="n">
        <v>145115</v>
      </c>
      <c r="O35" t="n">
        <v>141850</v>
      </c>
      <c r="P35" t="n">
        <v>155443</v>
      </c>
      <c r="Q35" t="n">
        <v>156683</v>
      </c>
      <c r="R35" t="n">
        <v>152951</v>
      </c>
      <c r="S35" t="n">
        <v>158358</v>
      </c>
      <c r="T35" t="n">
        <v>159944</v>
      </c>
      <c r="U35" t="n">
        <v>163285</v>
      </c>
      <c r="V35" t="n">
        <v>165608</v>
      </c>
      <c r="W35" t="n">
        <v>173734</v>
      </c>
      <c r="X35" t="n">
        <v>178820</v>
      </c>
      <c r="Y35" t="n">
        <v>184025</v>
      </c>
      <c r="Z35" t="n">
        <v>191225</v>
      </c>
      <c r="AA35" t="n">
        <v>200499</v>
      </c>
      <c r="AB35" t="n">
        <v>218900</v>
      </c>
      <c r="AC35" t="n">
        <v>228102</v>
      </c>
      <c r="AD35" t="n">
        <v>240125</v>
      </c>
      <c r="AE35" t="n">
        <v>250663</v>
      </c>
      <c r="AF35" t="n">
        <v>283509</v>
      </c>
    </row>
    <row r="36">
      <c r="A36" t="s">
        <v>22</v>
      </c>
      <c r="B36" t="s">
        <v>229</v>
      </c>
      <c r="C36" t="s">
        <v>131</v>
      </c>
      <c r="D36" t="s">
        <v>230</v>
      </c>
      <c r="E36" t="s">
        <v>132</v>
      </c>
      <c r="F36" t="n">
        <v>26908</v>
      </c>
      <c r="G36" t="n">
        <v>26887</v>
      </c>
      <c r="H36" t="n">
        <v>26640</v>
      </c>
      <c r="I36" t="n">
        <v>27531</v>
      </c>
      <c r="J36" t="n">
        <v>28222</v>
      </c>
      <c r="K36" t="n">
        <v>25251</v>
      </c>
      <c r="L36" t="n">
        <v>23359</v>
      </c>
      <c r="M36" t="n">
        <v>25275</v>
      </c>
      <c r="N36" t="n">
        <v>27487</v>
      </c>
      <c r="O36" t="n">
        <v>27305</v>
      </c>
      <c r="P36" t="n">
        <v>26700</v>
      </c>
      <c r="Q36" t="n">
        <v>25481</v>
      </c>
      <c r="R36" t="n">
        <v>24958</v>
      </c>
      <c r="S36" t="n">
        <v>25526</v>
      </c>
      <c r="T36" t="n">
        <v>24730</v>
      </c>
      <c r="U36" t="n">
        <v>24466</v>
      </c>
      <c r="V36" t="n">
        <v>25729</v>
      </c>
      <c r="W36" t="n">
        <v>23521</v>
      </c>
      <c r="X36" t="n">
        <v>25994</v>
      </c>
      <c r="Y36" t="n">
        <v>29244</v>
      </c>
      <c r="Z36" t="n">
        <v>24969</v>
      </c>
      <c r="AA36" t="n">
        <v>26991</v>
      </c>
      <c r="AB36" t="n">
        <v>29897</v>
      </c>
      <c r="AC36" t="n">
        <v>29305</v>
      </c>
      <c r="AD36" t="n">
        <v>35729</v>
      </c>
      <c r="AE36" t="n">
        <v>26415</v>
      </c>
      <c r="AF36" t="n">
        <v>31578</v>
      </c>
    </row>
    <row r="37">
      <c r="A37" t="s">
        <v>22</v>
      </c>
      <c r="B37" t="s">
        <v>231</v>
      </c>
      <c r="C37" t="s">
        <v>131</v>
      </c>
      <c r="D37" t="s">
        <v>232</v>
      </c>
      <c r="E37" t="s">
        <v>132</v>
      </c>
      <c r="F37" t="n">
        <v>35794</v>
      </c>
      <c r="G37" t="n">
        <v>35787</v>
      </c>
      <c r="H37" t="n">
        <v>35670</v>
      </c>
      <c r="I37" t="n">
        <v>35958</v>
      </c>
      <c r="J37" t="n">
        <v>41294</v>
      </c>
      <c r="K37" t="n">
        <v>45445</v>
      </c>
      <c r="L37" t="n">
        <v>45917</v>
      </c>
      <c r="M37" t="n">
        <v>43158</v>
      </c>
      <c r="N37" t="n">
        <v>40528</v>
      </c>
      <c r="O37" t="n">
        <v>40684</v>
      </c>
      <c r="P37" t="n">
        <v>45531</v>
      </c>
      <c r="Q37" t="n">
        <v>46758</v>
      </c>
      <c r="R37" t="n">
        <v>43930</v>
      </c>
      <c r="S37" t="n">
        <v>44665</v>
      </c>
      <c r="T37" t="n">
        <v>43752</v>
      </c>
      <c r="U37" t="n">
        <v>41373</v>
      </c>
      <c r="V37" t="n">
        <v>42659</v>
      </c>
      <c r="W37" t="n">
        <v>38471</v>
      </c>
      <c r="X37" t="n">
        <v>36650</v>
      </c>
      <c r="Y37" t="n">
        <v>36147</v>
      </c>
      <c r="Z37" t="n">
        <v>35935</v>
      </c>
      <c r="AA37" t="n">
        <v>31017</v>
      </c>
      <c r="AB37" t="n">
        <v>30476</v>
      </c>
      <c r="AC37" t="n">
        <v>33192</v>
      </c>
      <c r="AD37" t="n">
        <v>33761</v>
      </c>
      <c r="AE37" t="n">
        <v>41689</v>
      </c>
      <c r="AF37" t="n">
        <v>42185</v>
      </c>
    </row>
    <row r="38">
      <c r="A38" t="s">
        <v>22</v>
      </c>
      <c r="B38" t="s">
        <v>233</v>
      </c>
      <c r="C38" t="s">
        <v>131</v>
      </c>
      <c r="D38" t="s">
        <v>234</v>
      </c>
      <c r="E38" t="s">
        <v>132</v>
      </c>
      <c r="F38" t="n">
        <v>41927</v>
      </c>
      <c r="G38" t="n">
        <v>48290</v>
      </c>
      <c r="H38" t="n">
        <v>57809</v>
      </c>
      <c r="I38" t="n">
        <v>63986</v>
      </c>
      <c r="J38" t="n">
        <v>77470</v>
      </c>
      <c r="K38" t="n">
        <v>76952</v>
      </c>
      <c r="L38" t="n">
        <v>81284</v>
      </c>
      <c r="M38" t="n">
        <v>85122</v>
      </c>
      <c r="N38" t="n">
        <v>77100</v>
      </c>
      <c r="O38" t="n">
        <v>73861</v>
      </c>
      <c r="P38" t="n">
        <v>83212</v>
      </c>
      <c r="Q38" t="n">
        <v>84444</v>
      </c>
      <c r="R38" t="n">
        <v>84063</v>
      </c>
      <c r="S38" t="n">
        <v>88167</v>
      </c>
      <c r="T38" t="n">
        <v>91462</v>
      </c>
      <c r="U38" t="n">
        <v>97446</v>
      </c>
      <c r="V38" t="n">
        <v>97220</v>
      </c>
      <c r="W38" t="n">
        <v>111742</v>
      </c>
      <c r="X38" t="n">
        <v>116176</v>
      </c>
      <c r="Y38" t="n">
        <v>118634</v>
      </c>
      <c r="Z38" t="n">
        <v>130321</v>
      </c>
      <c r="AA38" t="n">
        <v>142491</v>
      </c>
      <c r="AB38" t="n">
        <v>158527</v>
      </c>
      <c r="AC38" t="n">
        <v>165605</v>
      </c>
      <c r="AD38" t="n">
        <v>170635</v>
      </c>
      <c r="AE38" t="n">
        <v>182559</v>
      </c>
      <c r="AF38" t="n">
        <v>209746</v>
      </c>
    </row>
    <row r="39">
      <c r="A39" t="s">
        <v>22</v>
      </c>
      <c r="B39" t="s">
        <v>235</v>
      </c>
      <c r="C39" t="s">
        <v>131</v>
      </c>
      <c r="D39" t="s">
        <v>236</v>
      </c>
      <c r="E39" t="s">
        <v>132</v>
      </c>
      <c r="F39" t="n">
        <v>102695</v>
      </c>
      <c r="G39" t="n">
        <v>103819</v>
      </c>
      <c r="H39" t="n">
        <v>105417</v>
      </c>
      <c r="I39" t="n">
        <v>110284</v>
      </c>
      <c r="J39" t="n">
        <v>122713</v>
      </c>
      <c r="K39" t="n">
        <v>132537</v>
      </c>
      <c r="L39" t="n">
        <v>135889</v>
      </c>
      <c r="M39" t="n">
        <v>135603</v>
      </c>
      <c r="N39" t="n">
        <v>143630</v>
      </c>
      <c r="O39" t="n">
        <v>156296</v>
      </c>
      <c r="P39" t="n">
        <v>161551</v>
      </c>
      <c r="Q39" t="n">
        <v>165136</v>
      </c>
      <c r="R39" t="n">
        <v>171309</v>
      </c>
      <c r="S39" t="n">
        <v>175066</v>
      </c>
      <c r="T39" t="n">
        <v>175261</v>
      </c>
      <c r="U39" t="n">
        <v>167749</v>
      </c>
      <c r="V39" t="n">
        <v>166148</v>
      </c>
      <c r="W39" t="n">
        <v>161449</v>
      </c>
      <c r="X39" t="n">
        <v>166181</v>
      </c>
      <c r="Y39" t="n">
        <v>166316</v>
      </c>
      <c r="Z39" t="n">
        <v>168692</v>
      </c>
      <c r="AA39" t="n">
        <v>176886</v>
      </c>
      <c r="AB39" t="n">
        <v>177984</v>
      </c>
      <c r="AC39" t="n">
        <v>174277</v>
      </c>
      <c r="AD39" t="n">
        <v>191475</v>
      </c>
      <c r="AE39" t="n">
        <v>205556</v>
      </c>
      <c r="AF39" t="n">
        <v>210826</v>
      </c>
    </row>
    <row r="40">
      <c r="A40" t="s">
        <v>22</v>
      </c>
      <c r="B40" t="s">
        <v>237</v>
      </c>
      <c r="C40" t="s">
        <v>131</v>
      </c>
      <c r="D40" t="s">
        <v>238</v>
      </c>
      <c r="E40" t="s">
        <v>132</v>
      </c>
      <c r="F40" t="n">
        <v>11109</v>
      </c>
      <c r="G40" t="n">
        <v>11106</v>
      </c>
      <c r="H40" t="n">
        <v>11029</v>
      </c>
      <c r="I40" t="n">
        <v>10926</v>
      </c>
      <c r="J40" t="n">
        <v>12175</v>
      </c>
      <c r="K40" t="n">
        <v>12792</v>
      </c>
      <c r="L40" t="n">
        <v>14207</v>
      </c>
      <c r="M40" t="n">
        <v>14867</v>
      </c>
      <c r="N40" t="n">
        <v>13580</v>
      </c>
      <c r="O40" t="n">
        <v>11599</v>
      </c>
      <c r="P40" t="n">
        <v>14877</v>
      </c>
      <c r="Q40" t="n">
        <v>18459</v>
      </c>
      <c r="R40" t="n">
        <v>20942</v>
      </c>
      <c r="S40" t="n">
        <v>19632</v>
      </c>
      <c r="T40" t="n">
        <v>16061</v>
      </c>
      <c r="U40" t="n">
        <v>15769</v>
      </c>
      <c r="V40" t="n">
        <v>16554</v>
      </c>
      <c r="W40" t="n">
        <v>17961</v>
      </c>
      <c r="X40" t="n">
        <v>14873</v>
      </c>
      <c r="Y40" t="n">
        <v>17488</v>
      </c>
      <c r="Z40" t="n">
        <v>19867</v>
      </c>
      <c r="AA40" t="n">
        <v>20027</v>
      </c>
      <c r="AB40" t="n">
        <v>18883</v>
      </c>
      <c r="AC40" t="n">
        <v>18247</v>
      </c>
      <c r="AD40" t="n">
        <v>17251</v>
      </c>
      <c r="AE40" t="n">
        <v>19832</v>
      </c>
      <c r="AF40" t="n">
        <v>21933</v>
      </c>
    </row>
    <row r="41">
      <c r="A41" t="s">
        <v>22</v>
      </c>
      <c r="B41" t="s">
        <v>239</v>
      </c>
      <c r="C41" t="s">
        <v>131</v>
      </c>
      <c r="D41" t="s">
        <v>240</v>
      </c>
      <c r="E41" t="s">
        <v>132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22</v>
      </c>
      <c r="B42" t="s">
        <v>241</v>
      </c>
      <c r="C42" t="s">
        <v>131</v>
      </c>
      <c r="D42" t="s">
        <v>242</v>
      </c>
      <c r="E42" t="s">
        <v>132</v>
      </c>
      <c r="F42" t="n">
        <v>133319</v>
      </c>
      <c r="G42" t="n">
        <v>136151</v>
      </c>
      <c r="H42" t="n">
        <v>139504</v>
      </c>
      <c r="I42" t="n">
        <v>146865</v>
      </c>
      <c r="J42" t="n">
        <v>158936</v>
      </c>
      <c r="K42" t="n">
        <v>170272</v>
      </c>
      <c r="L42" t="n">
        <v>176622</v>
      </c>
      <c r="M42" t="n">
        <v>178452</v>
      </c>
      <c r="N42" t="n">
        <v>185458</v>
      </c>
      <c r="O42" t="n">
        <v>197780</v>
      </c>
      <c r="P42" t="n">
        <v>212673</v>
      </c>
      <c r="Q42" t="n">
        <v>217936</v>
      </c>
      <c r="R42" t="n">
        <v>230380</v>
      </c>
      <c r="S42" t="n">
        <v>227766</v>
      </c>
      <c r="T42" t="n">
        <v>200299</v>
      </c>
      <c r="U42" t="n">
        <v>194113</v>
      </c>
      <c r="V42" t="n">
        <v>191135</v>
      </c>
      <c r="W42" t="n">
        <v>191032</v>
      </c>
      <c r="X42" t="n">
        <v>214577</v>
      </c>
      <c r="Y42" t="n">
        <v>232934</v>
      </c>
      <c r="Z42" t="n">
        <v>235374</v>
      </c>
      <c r="AA42" t="n">
        <v>247910</v>
      </c>
      <c r="AB42" t="n">
        <v>249674</v>
      </c>
      <c r="AC42" t="n">
        <v>253598</v>
      </c>
      <c r="AD42" t="n">
        <v>259391</v>
      </c>
      <c r="AE42" t="n">
        <v>254291</v>
      </c>
      <c r="AF42" t="n">
        <v>286429</v>
      </c>
    </row>
    <row r="43">
      <c r="A43" t="s">
        <v>22</v>
      </c>
      <c r="B43" t="s">
        <v>243</v>
      </c>
      <c r="C43" t="s">
        <v>131</v>
      </c>
      <c r="D43" t="s">
        <v>244</v>
      </c>
      <c r="E43" t="s">
        <v>132</v>
      </c>
      <c r="F43" t="n">
        <v>220378</v>
      </c>
      <c r="G43" t="n">
        <v>223197</v>
      </c>
      <c r="H43" t="n">
        <v>226032</v>
      </c>
      <c r="I43" t="n">
        <v>235175</v>
      </c>
      <c r="J43" t="n">
        <v>257852</v>
      </c>
      <c r="K43" t="n">
        <v>280242</v>
      </c>
      <c r="L43" t="n">
        <v>290504</v>
      </c>
      <c r="M43" t="n">
        <v>293414</v>
      </c>
      <c r="N43" t="n">
        <v>301605</v>
      </c>
      <c r="O43" t="n">
        <v>328683</v>
      </c>
      <c r="P43" t="n">
        <v>355148</v>
      </c>
      <c r="Q43" t="n">
        <v>367699</v>
      </c>
      <c r="R43" t="n">
        <v>397648</v>
      </c>
      <c r="S43" t="n">
        <v>384807</v>
      </c>
      <c r="T43" t="n">
        <v>329533</v>
      </c>
      <c r="U43" t="n">
        <v>311186</v>
      </c>
      <c r="V43" t="n">
        <v>315691</v>
      </c>
      <c r="W43" t="n">
        <v>311393</v>
      </c>
      <c r="X43" t="n">
        <v>332590</v>
      </c>
      <c r="Y43" t="n">
        <v>360281</v>
      </c>
      <c r="Z43" t="n">
        <v>363947</v>
      </c>
      <c r="AA43" t="n">
        <v>385850</v>
      </c>
      <c r="AB43" t="n">
        <v>402206</v>
      </c>
      <c r="AC43" t="n">
        <v>423512</v>
      </c>
      <c r="AD43" t="n">
        <v>445353</v>
      </c>
      <c r="AE43" t="n">
        <v>395204</v>
      </c>
      <c r="AF43" t="n">
        <v>432499</v>
      </c>
    </row>
    <row r="44">
      <c r="A44" t="s">
        <v>22</v>
      </c>
      <c r="B44" t="s">
        <v>245</v>
      </c>
      <c r="C44" t="s">
        <v>131</v>
      </c>
      <c r="D44" t="s">
        <v>246</v>
      </c>
      <c r="E44" t="s">
        <v>132</v>
      </c>
      <c r="F44" t="n">
        <v>2529833</v>
      </c>
      <c r="G44" t="n">
        <v>2533418</v>
      </c>
      <c r="H44" t="n">
        <v>2533855</v>
      </c>
      <c r="I44" t="n">
        <v>2581716</v>
      </c>
      <c r="J44" t="n">
        <v>2715505</v>
      </c>
      <c r="K44" t="n">
        <v>2803798</v>
      </c>
      <c r="L44" t="n">
        <v>2830515</v>
      </c>
      <c r="M44" t="n">
        <v>2811894</v>
      </c>
      <c r="N44" t="n">
        <v>2799140</v>
      </c>
      <c r="O44" t="n">
        <v>2875992</v>
      </c>
      <c r="P44" t="n">
        <v>2997740</v>
      </c>
      <c r="Q44" t="n">
        <v>3084541</v>
      </c>
      <c r="R44" t="n">
        <v>3156366</v>
      </c>
      <c r="S44" t="n">
        <v>3031750</v>
      </c>
      <c r="T44" t="n">
        <v>2622230</v>
      </c>
      <c r="U44" t="n">
        <v>2476627</v>
      </c>
      <c r="V44" t="n">
        <v>2427588</v>
      </c>
      <c r="W44" t="n">
        <v>2395943</v>
      </c>
      <c r="X44" t="n">
        <v>2499847</v>
      </c>
      <c r="Y44" t="n">
        <v>2583111</v>
      </c>
      <c r="Z44" t="n">
        <v>2677927</v>
      </c>
      <c r="AA44" t="n">
        <v>2835758</v>
      </c>
      <c r="AB44" t="n">
        <v>2954261</v>
      </c>
      <c r="AC44" t="n">
        <v>3048386</v>
      </c>
      <c r="AD44" t="n">
        <v>3125378</v>
      </c>
      <c r="AE44" t="n">
        <v>2773146</v>
      </c>
      <c r="AF44" t="n">
        <v>2959901</v>
      </c>
    </row>
    <row r="45">
      <c r="A45" t="s">
        <v>22</v>
      </c>
      <c r="B45" t="s">
        <v>247</v>
      </c>
      <c r="C45" t="s">
        <v>131</v>
      </c>
      <c r="D45" t="s">
        <v>248</v>
      </c>
      <c r="E45" t="s">
        <v>132</v>
      </c>
      <c r="F45" t="n">
        <v>2134275</v>
      </c>
      <c r="G45" t="n">
        <v>2142223</v>
      </c>
      <c r="H45" t="n">
        <v>2149549</v>
      </c>
      <c r="I45" t="n">
        <v>2199854</v>
      </c>
      <c r="J45" t="n">
        <v>2329915</v>
      </c>
      <c r="K45" t="n">
        <v>2451587</v>
      </c>
      <c r="L45" t="n">
        <v>2497774</v>
      </c>
      <c r="M45" t="n">
        <v>2492700</v>
      </c>
      <c r="N45" t="n">
        <v>2493555</v>
      </c>
      <c r="O45" t="n">
        <v>2572256</v>
      </c>
      <c r="P45" t="n">
        <v>2699604</v>
      </c>
      <c r="Q45" t="n">
        <v>2792180</v>
      </c>
      <c r="R45" t="n">
        <v>2872033</v>
      </c>
      <c r="S45" t="n">
        <v>2747541</v>
      </c>
      <c r="T45" t="n">
        <v>2351031</v>
      </c>
      <c r="U45" t="n">
        <v>2205504</v>
      </c>
      <c r="V45" t="n">
        <v>2163802</v>
      </c>
      <c r="W45" t="n">
        <v>2134002</v>
      </c>
      <c r="X45" t="n">
        <v>2229036</v>
      </c>
      <c r="Y45" t="n">
        <v>2319911</v>
      </c>
      <c r="Z45" t="n">
        <v>2408064</v>
      </c>
      <c r="AA45" t="n">
        <v>2562091</v>
      </c>
      <c r="AB45" t="n">
        <v>2681638</v>
      </c>
      <c r="AC45" t="n">
        <v>2777796</v>
      </c>
      <c r="AD45" t="n">
        <v>2867017</v>
      </c>
      <c r="AE45" t="n">
        <v>2527471</v>
      </c>
      <c r="AF45" t="n">
        <v>2707413</v>
      </c>
    </row>
    <row r="46">
      <c r="A46" t="s">
        <v>22</v>
      </c>
      <c r="B46" t="s">
        <v>249</v>
      </c>
      <c r="C46" t="s">
        <v>131</v>
      </c>
      <c r="D46" t="s">
        <v>250</v>
      </c>
      <c r="E46" t="s">
        <v>132</v>
      </c>
      <c r="F46" t="n">
        <v>87059</v>
      </c>
      <c r="G46" t="n">
        <v>87046</v>
      </c>
      <c r="H46" t="n">
        <v>86528</v>
      </c>
      <c r="I46" t="n">
        <v>88310</v>
      </c>
      <c r="J46" t="n">
        <v>98916</v>
      </c>
      <c r="K46" t="n">
        <v>109970</v>
      </c>
      <c r="L46" t="n">
        <v>113882</v>
      </c>
      <c r="M46" t="n">
        <v>114962</v>
      </c>
      <c r="N46" t="n">
        <v>116147</v>
      </c>
      <c r="O46" t="n">
        <v>130903</v>
      </c>
      <c r="P46" t="n">
        <v>142475</v>
      </c>
      <c r="Q46" t="n">
        <v>149763</v>
      </c>
      <c r="R46" t="n">
        <v>167268</v>
      </c>
      <c r="S46" t="n">
        <v>157041</v>
      </c>
      <c r="T46" t="n">
        <v>129234</v>
      </c>
      <c r="U46" t="n">
        <v>117073</v>
      </c>
      <c r="V46" t="n">
        <v>124556</v>
      </c>
      <c r="W46" t="n">
        <v>120361</v>
      </c>
      <c r="X46" t="n">
        <v>118013</v>
      </c>
      <c r="Y46" t="n">
        <v>127347</v>
      </c>
      <c r="Z46" t="n">
        <v>128573</v>
      </c>
      <c r="AA46" t="n">
        <v>137940</v>
      </c>
      <c r="AB46" t="n">
        <v>152532</v>
      </c>
      <c r="AC46" t="n">
        <v>169914</v>
      </c>
      <c r="AD46" t="n">
        <v>185962</v>
      </c>
      <c r="AE46" t="n">
        <v>140913</v>
      </c>
      <c r="AF46" t="n">
        <v>146070</v>
      </c>
    </row>
    <row r="47">
      <c r="A47" t="s">
        <v>22</v>
      </c>
      <c r="B47" t="s">
        <v>251</v>
      </c>
      <c r="C47" t="s">
        <v>131</v>
      </c>
      <c r="D47" t="s">
        <v>252</v>
      </c>
      <c r="E47" t="s">
        <v>132</v>
      </c>
      <c r="F47" t="n">
        <v>117972</v>
      </c>
      <c r="G47" t="n">
        <v>120843</v>
      </c>
      <c r="H47" t="n">
        <v>124045</v>
      </c>
      <c r="I47" t="n">
        <v>126024</v>
      </c>
      <c r="J47" t="n">
        <v>134821</v>
      </c>
      <c r="K47" t="n">
        <v>138264</v>
      </c>
      <c r="L47" t="n">
        <v>141544</v>
      </c>
      <c r="M47" t="n">
        <v>151126</v>
      </c>
      <c r="N47" t="n">
        <v>153302</v>
      </c>
      <c r="O47" t="n">
        <v>150624</v>
      </c>
      <c r="P47" t="n">
        <v>165344</v>
      </c>
      <c r="Q47" t="n">
        <v>164337</v>
      </c>
      <c r="R47" t="n">
        <v>164321</v>
      </c>
      <c r="S47" t="n">
        <v>166711</v>
      </c>
      <c r="T47" t="n">
        <v>164538</v>
      </c>
      <c r="U47" t="n">
        <v>164824</v>
      </c>
      <c r="V47" t="n">
        <v>154466</v>
      </c>
      <c r="W47" t="n">
        <v>152697</v>
      </c>
      <c r="X47" t="n">
        <v>151740</v>
      </c>
      <c r="Y47" t="n">
        <v>158707</v>
      </c>
      <c r="Z47" t="n">
        <v>158627</v>
      </c>
      <c r="AA47" t="n">
        <v>166411</v>
      </c>
      <c r="AB47" t="n">
        <v>176426</v>
      </c>
      <c r="AC47" t="n">
        <v>191152</v>
      </c>
      <c r="AD47" t="n">
        <v>205316</v>
      </c>
      <c r="AE47" t="n">
        <v>214992</v>
      </c>
      <c r="AF47" t="n">
        <v>230273</v>
      </c>
    </row>
    <row r="48">
      <c r="A48" t="s">
        <v>22</v>
      </c>
      <c r="B48" t="s">
        <v>253</v>
      </c>
      <c r="C48" t="s">
        <v>131</v>
      </c>
      <c r="D48" t="s">
        <v>254</v>
      </c>
      <c r="E48" t="s">
        <v>132</v>
      </c>
      <c r="F48" t="n">
        <v>386501</v>
      </c>
      <c r="G48" t="n">
        <v>406362</v>
      </c>
      <c r="H48" t="n">
        <v>427356</v>
      </c>
      <c r="I48" t="n">
        <v>446603</v>
      </c>
      <c r="J48" t="n">
        <v>469567</v>
      </c>
      <c r="K48" t="n">
        <v>498120</v>
      </c>
      <c r="L48" t="n">
        <v>524196</v>
      </c>
      <c r="M48" t="n">
        <v>564095</v>
      </c>
      <c r="N48" t="n">
        <v>584773</v>
      </c>
      <c r="O48" t="n">
        <v>593438</v>
      </c>
      <c r="P48" t="n">
        <v>630945</v>
      </c>
      <c r="Q48" t="n">
        <v>657019</v>
      </c>
      <c r="R48" t="n">
        <v>679315</v>
      </c>
      <c r="S48" t="n">
        <v>692536</v>
      </c>
      <c r="T48" t="n">
        <v>695136</v>
      </c>
      <c r="U48" t="n">
        <v>700946</v>
      </c>
      <c r="V48" t="n">
        <v>691352</v>
      </c>
      <c r="W48" t="n">
        <v>697367</v>
      </c>
      <c r="X48" t="n">
        <v>717431</v>
      </c>
      <c r="Y48" t="n">
        <v>740808</v>
      </c>
      <c r="Z48" t="n">
        <v>744950</v>
      </c>
      <c r="AA48" t="n">
        <v>767644</v>
      </c>
      <c r="AB48" t="n">
        <v>814309</v>
      </c>
      <c r="AC48" t="n">
        <v>864985</v>
      </c>
      <c r="AD48" t="n">
        <v>915642</v>
      </c>
      <c r="AE48" t="n">
        <v>889074</v>
      </c>
      <c r="AF48" t="n">
        <v>973095</v>
      </c>
    </row>
    <row r="49">
      <c r="A49" t="s">
        <v>22</v>
      </c>
      <c r="B49" t="s">
        <v>255</v>
      </c>
      <c r="C49" t="s">
        <v>131</v>
      </c>
      <c r="D49" t="s">
        <v>256</v>
      </c>
      <c r="E49" t="s">
        <v>132</v>
      </c>
      <c r="F49" t="n">
        <v>98031</v>
      </c>
      <c r="G49" t="n">
        <v>103795</v>
      </c>
      <c r="H49" t="n">
        <v>109547</v>
      </c>
      <c r="I49" t="n">
        <v>115022</v>
      </c>
      <c r="J49" t="n">
        <v>119440</v>
      </c>
      <c r="K49" t="n">
        <v>125141</v>
      </c>
      <c r="L49" t="n">
        <v>128703</v>
      </c>
      <c r="M49" t="n">
        <v>134436</v>
      </c>
      <c r="N49" t="n">
        <v>141741</v>
      </c>
      <c r="O49" t="n">
        <v>141998</v>
      </c>
      <c r="P49" t="n">
        <v>149295</v>
      </c>
      <c r="Q49" t="n">
        <v>156079</v>
      </c>
      <c r="R49" t="n">
        <v>159384</v>
      </c>
      <c r="S49" t="n">
        <v>163847</v>
      </c>
      <c r="T49" t="n">
        <v>164177</v>
      </c>
      <c r="U49" t="n">
        <v>165258</v>
      </c>
      <c r="V49" t="n">
        <v>157383</v>
      </c>
      <c r="W49" t="n">
        <v>161751</v>
      </c>
      <c r="X49" t="n">
        <v>169116</v>
      </c>
      <c r="Y49" t="n">
        <v>179250</v>
      </c>
      <c r="Z49" t="n">
        <v>174310</v>
      </c>
      <c r="AA49" t="n">
        <v>181465</v>
      </c>
      <c r="AB49" t="n">
        <v>195316</v>
      </c>
      <c r="AC49" t="n">
        <v>217411</v>
      </c>
      <c r="AD49" t="n">
        <v>237721</v>
      </c>
      <c r="AE49" t="n">
        <v>229145</v>
      </c>
      <c r="AF49" t="n">
        <v>266725</v>
      </c>
    </row>
    <row r="50">
      <c r="A50" t="s">
        <v>22</v>
      </c>
      <c r="B50" t="s">
        <v>257</v>
      </c>
      <c r="C50" t="s">
        <v>131</v>
      </c>
      <c r="D50" t="s">
        <v>258</v>
      </c>
      <c r="E50" t="s">
        <v>132</v>
      </c>
      <c r="F50" t="n">
        <v>170498</v>
      </c>
      <c r="G50" t="n">
        <v>181724</v>
      </c>
      <c r="H50" t="n">
        <v>193764</v>
      </c>
      <c r="I50" t="n">
        <v>205557</v>
      </c>
      <c r="J50" t="n">
        <v>215307</v>
      </c>
      <c r="K50" t="n">
        <v>234716</v>
      </c>
      <c r="L50" t="n">
        <v>253949</v>
      </c>
      <c r="M50" t="n">
        <v>278533</v>
      </c>
      <c r="N50" t="n">
        <v>289731</v>
      </c>
      <c r="O50" t="n">
        <v>300817</v>
      </c>
      <c r="P50" t="n">
        <v>316306</v>
      </c>
      <c r="Q50" t="n">
        <v>336603</v>
      </c>
      <c r="R50" t="n">
        <v>355610</v>
      </c>
      <c r="S50" t="n">
        <v>361978</v>
      </c>
      <c r="T50" t="n">
        <v>366421</v>
      </c>
      <c r="U50" t="n">
        <v>370864</v>
      </c>
      <c r="V50" t="n">
        <v>379503</v>
      </c>
      <c r="W50" t="n">
        <v>382919</v>
      </c>
      <c r="X50" t="n">
        <v>396576</v>
      </c>
      <c r="Y50" t="n">
        <v>402851</v>
      </c>
      <c r="Z50" t="n">
        <v>412013</v>
      </c>
      <c r="AA50" t="n">
        <v>419769</v>
      </c>
      <c r="AB50" t="n">
        <v>442568</v>
      </c>
      <c r="AC50" t="n">
        <v>456422</v>
      </c>
      <c r="AD50" t="n">
        <v>472605</v>
      </c>
      <c r="AE50" t="n">
        <v>444937</v>
      </c>
      <c r="AF50" t="n">
        <v>476097</v>
      </c>
    </row>
    <row r="51">
      <c r="A51" t="s">
        <v>22</v>
      </c>
      <c r="B51" t="s">
        <v>259</v>
      </c>
      <c r="C51" t="s">
        <v>131</v>
      </c>
      <c r="D51" t="s">
        <v>260</v>
      </c>
      <c r="E51" t="s">
        <v>132</v>
      </c>
      <c r="F51" t="n">
        <v>146240</v>
      </c>
      <c r="G51" t="n">
        <v>150491</v>
      </c>
      <c r="H51" t="n">
        <v>155484</v>
      </c>
      <c r="I51" t="n">
        <v>160764</v>
      </c>
      <c r="J51" t="n">
        <v>166999</v>
      </c>
      <c r="K51" t="n">
        <v>179977</v>
      </c>
      <c r="L51" t="n">
        <v>191129</v>
      </c>
      <c r="M51" t="n">
        <v>205107</v>
      </c>
      <c r="N51" t="n">
        <v>211734</v>
      </c>
      <c r="O51" t="n">
        <v>219080</v>
      </c>
      <c r="P51" t="n">
        <v>224476</v>
      </c>
      <c r="Q51" t="n">
        <v>229064</v>
      </c>
      <c r="R51" t="n">
        <v>243880</v>
      </c>
      <c r="S51" t="n">
        <v>249077</v>
      </c>
      <c r="T51" t="n">
        <v>247071</v>
      </c>
      <c r="U51" t="n">
        <v>260088</v>
      </c>
      <c r="V51" t="n">
        <v>263539</v>
      </c>
      <c r="W51" t="n">
        <v>262868</v>
      </c>
      <c r="X51" t="n">
        <v>265404</v>
      </c>
      <c r="Y51" t="n">
        <v>269227</v>
      </c>
      <c r="Z51" t="n">
        <v>265596</v>
      </c>
      <c r="AA51" t="n">
        <v>272592</v>
      </c>
      <c r="AB51" t="n">
        <v>275071</v>
      </c>
      <c r="AC51" t="n">
        <v>273443</v>
      </c>
      <c r="AD51" t="n">
        <v>275728</v>
      </c>
      <c r="AE51" t="n">
        <v>258753</v>
      </c>
      <c r="AF51" t="n">
        <v>280958</v>
      </c>
    </row>
    <row r="52">
      <c r="A52" t="s">
        <v>22</v>
      </c>
      <c r="B52" t="s">
        <v>261</v>
      </c>
      <c r="C52" t="s">
        <v>131</v>
      </c>
      <c r="D52" t="s">
        <v>262</v>
      </c>
      <c r="E52" t="s">
        <v>132</v>
      </c>
      <c r="F52" t="n">
        <v>24258</v>
      </c>
      <c r="G52" t="n">
        <v>31233</v>
      </c>
      <c r="H52" t="n">
        <v>38280</v>
      </c>
      <c r="I52" t="n">
        <v>44793</v>
      </c>
      <c r="J52" t="n">
        <v>48308</v>
      </c>
      <c r="K52" t="n">
        <v>54739</v>
      </c>
      <c r="L52" t="n">
        <v>62820</v>
      </c>
      <c r="M52" t="n">
        <v>73426</v>
      </c>
      <c r="N52" t="n">
        <v>77997</v>
      </c>
      <c r="O52" t="n">
        <v>81737</v>
      </c>
      <c r="P52" t="n">
        <v>91830</v>
      </c>
      <c r="Q52" t="n">
        <v>107539</v>
      </c>
      <c r="R52" t="n">
        <v>111730</v>
      </c>
      <c r="S52" t="n">
        <v>112901</v>
      </c>
      <c r="T52" t="n">
        <v>119350</v>
      </c>
      <c r="U52" t="n">
        <v>110776</v>
      </c>
      <c r="V52" t="n">
        <v>115964</v>
      </c>
      <c r="W52" t="n">
        <v>120051</v>
      </c>
      <c r="X52" t="n">
        <v>131172</v>
      </c>
      <c r="Y52" t="n">
        <v>133624</v>
      </c>
      <c r="Z52" t="n">
        <v>146417</v>
      </c>
      <c r="AA52" t="n">
        <v>147177</v>
      </c>
      <c r="AB52" t="n">
        <v>167497</v>
      </c>
      <c r="AC52" t="n">
        <v>182979</v>
      </c>
      <c r="AD52" t="n">
        <v>196877</v>
      </c>
      <c r="AE52" t="n">
        <v>186184</v>
      </c>
      <c r="AF52" t="n">
        <v>195139</v>
      </c>
    </row>
    <row r="53">
      <c r="A53" t="s">
        <v>22</v>
      </c>
      <c r="B53" t="s">
        <v>263</v>
      </c>
      <c r="C53" t="s">
        <v>131</v>
      </c>
      <c r="D53" t="s">
        <v>264</v>
      </c>
      <c r="E53" t="s">
        <v>132</v>
      </c>
      <c r="F53" t="n">
        <v>54075</v>
      </c>
      <c r="G53" t="n">
        <v>53863</v>
      </c>
      <c r="H53" t="n">
        <v>52237</v>
      </c>
      <c r="I53" t="n">
        <v>54076</v>
      </c>
      <c r="J53" t="n">
        <v>53869</v>
      </c>
      <c r="K53" t="n">
        <v>55461</v>
      </c>
      <c r="L53" t="n">
        <v>56443</v>
      </c>
      <c r="M53" t="n">
        <v>58512</v>
      </c>
      <c r="N53" t="n">
        <v>56319</v>
      </c>
      <c r="O53" t="n">
        <v>56614</v>
      </c>
      <c r="P53" t="n">
        <v>64678</v>
      </c>
      <c r="Q53" t="n">
        <v>72082</v>
      </c>
      <c r="R53" t="n">
        <v>72672</v>
      </c>
      <c r="S53" t="n">
        <v>80396</v>
      </c>
      <c r="T53" t="n">
        <v>69992</v>
      </c>
      <c r="U53" t="n">
        <v>68288</v>
      </c>
      <c r="V53" t="n">
        <v>69633</v>
      </c>
      <c r="W53" t="n">
        <v>67182</v>
      </c>
      <c r="X53" t="n">
        <v>70079</v>
      </c>
      <c r="Y53" t="n">
        <v>70866</v>
      </c>
      <c r="Z53" t="n">
        <v>74074</v>
      </c>
      <c r="AA53" t="n">
        <v>87233</v>
      </c>
      <c r="AB53" t="n">
        <v>81710</v>
      </c>
      <c r="AC53" t="n">
        <v>81761</v>
      </c>
      <c r="AD53" t="n">
        <v>79096</v>
      </c>
      <c r="AE53" t="n">
        <v>50206</v>
      </c>
      <c r="AF53" t="n">
        <v>59582</v>
      </c>
    </row>
    <row r="54">
      <c r="A54" t="s">
        <v>22</v>
      </c>
      <c r="B54" t="s">
        <v>265</v>
      </c>
      <c r="C54" t="s">
        <v>131</v>
      </c>
      <c r="D54" t="s">
        <v>266</v>
      </c>
      <c r="E54" t="s">
        <v>132</v>
      </c>
      <c r="F54" t="n">
        <v>125606</v>
      </c>
      <c r="G54" t="n">
        <v>124309</v>
      </c>
      <c r="H54" t="n">
        <v>121661</v>
      </c>
      <c r="I54" t="n">
        <v>123259</v>
      </c>
      <c r="J54" t="n">
        <v>124631</v>
      </c>
      <c r="K54" t="n">
        <v>124691</v>
      </c>
      <c r="L54" t="n">
        <v>128302</v>
      </c>
      <c r="M54" t="n">
        <v>133711</v>
      </c>
      <c r="N54" t="n">
        <v>136137</v>
      </c>
      <c r="O54" t="n">
        <v>152449</v>
      </c>
      <c r="P54" t="n">
        <v>151554</v>
      </c>
      <c r="Q54" t="n">
        <v>153008</v>
      </c>
      <c r="R54" t="n">
        <v>149857</v>
      </c>
      <c r="S54" t="n">
        <v>153982</v>
      </c>
      <c r="T54" t="n">
        <v>147164</v>
      </c>
      <c r="U54" t="n">
        <v>135026</v>
      </c>
      <c r="V54" t="n">
        <v>135797</v>
      </c>
      <c r="W54" t="n">
        <v>137973</v>
      </c>
      <c r="X54" t="n">
        <v>141871</v>
      </c>
      <c r="Y54" t="n">
        <v>142307</v>
      </c>
      <c r="Z54" t="n">
        <v>149103</v>
      </c>
      <c r="AA54" t="n">
        <v>164625</v>
      </c>
      <c r="AB54" t="n">
        <v>166204</v>
      </c>
      <c r="AC54" t="n">
        <v>167649</v>
      </c>
      <c r="AD54" t="n">
        <v>167047</v>
      </c>
      <c r="AE54" t="n">
        <v>116250</v>
      </c>
      <c r="AF54" t="n">
        <v>131928</v>
      </c>
    </row>
    <row r="55">
      <c r="A55" t="s">
        <v>22</v>
      </c>
      <c r="B55" t="s">
        <v>267</v>
      </c>
      <c r="C55" t="s">
        <v>131</v>
      </c>
      <c r="D55" t="s">
        <v>268</v>
      </c>
      <c r="E55" t="s">
        <v>132</v>
      </c>
      <c r="F55" t="n">
        <v>71531</v>
      </c>
      <c r="G55" t="n">
        <v>70446</v>
      </c>
      <c r="H55" t="n">
        <v>69424</v>
      </c>
      <c r="I55" t="n">
        <v>69183</v>
      </c>
      <c r="J55" t="n">
        <v>70762</v>
      </c>
      <c r="K55" t="n">
        <v>69230</v>
      </c>
      <c r="L55" t="n">
        <v>71859</v>
      </c>
      <c r="M55" t="n">
        <v>75199</v>
      </c>
      <c r="N55" t="n">
        <v>79818</v>
      </c>
      <c r="O55" t="n">
        <v>95835</v>
      </c>
      <c r="P55" t="n">
        <v>86876</v>
      </c>
      <c r="Q55" t="n">
        <v>80926</v>
      </c>
      <c r="R55" t="n">
        <v>77185</v>
      </c>
      <c r="S55" t="n">
        <v>73586</v>
      </c>
      <c r="T55" t="n">
        <v>77172</v>
      </c>
      <c r="U55" t="n">
        <v>66738</v>
      </c>
      <c r="V55" t="n">
        <v>66164</v>
      </c>
      <c r="W55" t="n">
        <v>70791</v>
      </c>
      <c r="X55" t="n">
        <v>71792</v>
      </c>
      <c r="Y55" t="n">
        <v>71441</v>
      </c>
      <c r="Z55" t="n">
        <v>75029</v>
      </c>
      <c r="AA55" t="n">
        <v>77392</v>
      </c>
      <c r="AB55" t="n">
        <v>84494</v>
      </c>
      <c r="AC55" t="n">
        <v>85888</v>
      </c>
      <c r="AD55" t="n">
        <v>87951</v>
      </c>
      <c r="AE55" t="n">
        <v>66044</v>
      </c>
      <c r="AF55" t="n">
        <v>72346</v>
      </c>
    </row>
    <row r="56">
      <c r="A56" t="s">
        <v>22</v>
      </c>
      <c r="B56" t="s">
        <v>269</v>
      </c>
      <c r="C56" t="s">
        <v>131</v>
      </c>
      <c r="D56" t="s">
        <v>270</v>
      </c>
      <c r="E56" t="s">
        <v>132</v>
      </c>
      <c r="F56" t="n">
        <v>11463</v>
      </c>
      <c r="G56" t="n">
        <v>11461</v>
      </c>
      <c r="H56" t="n">
        <v>11454</v>
      </c>
      <c r="I56" t="n">
        <v>11044</v>
      </c>
      <c r="J56" t="n">
        <v>11884</v>
      </c>
      <c r="K56" t="n">
        <v>12324</v>
      </c>
      <c r="L56" t="n">
        <v>10523</v>
      </c>
      <c r="M56" t="n">
        <v>11120</v>
      </c>
      <c r="N56" t="n">
        <v>11828</v>
      </c>
      <c r="O56" t="n">
        <v>8800</v>
      </c>
      <c r="P56" t="n">
        <v>10170</v>
      </c>
      <c r="Q56" t="n">
        <v>12119</v>
      </c>
      <c r="R56" t="n">
        <v>15314</v>
      </c>
      <c r="S56" t="n">
        <v>13860</v>
      </c>
      <c r="T56" t="n">
        <v>10811</v>
      </c>
      <c r="U56" t="n">
        <v>9736</v>
      </c>
      <c r="V56" t="n">
        <v>10797</v>
      </c>
      <c r="W56" t="n">
        <v>11447</v>
      </c>
      <c r="X56" t="n">
        <v>10505</v>
      </c>
      <c r="Y56" t="n">
        <v>8858</v>
      </c>
      <c r="Z56" t="n">
        <v>11180</v>
      </c>
      <c r="AA56" t="n">
        <v>10171</v>
      </c>
      <c r="AB56" t="n">
        <v>9090</v>
      </c>
      <c r="AC56" t="n">
        <v>11166</v>
      </c>
      <c r="AD56" t="n">
        <v>10030</v>
      </c>
      <c r="AE56" t="n">
        <v>6511</v>
      </c>
      <c r="AF56" t="n">
        <v>5366</v>
      </c>
    </row>
    <row r="57">
      <c r="A57" t="s">
        <v>22</v>
      </c>
      <c r="B57" t="s">
        <v>271</v>
      </c>
      <c r="C57" t="s">
        <v>131</v>
      </c>
      <c r="D57" t="s">
        <v>272</v>
      </c>
      <c r="E57" t="s">
        <v>132</v>
      </c>
      <c r="F57" t="n">
        <v>2938906</v>
      </c>
      <c r="G57" t="n">
        <v>2962347</v>
      </c>
      <c r="H57" t="n">
        <v>2983694</v>
      </c>
      <c r="I57" t="n">
        <v>3050289</v>
      </c>
      <c r="J57" t="n">
        <v>3209132</v>
      </c>
      <c r="K57" t="n">
        <v>3327033</v>
      </c>
      <c r="L57" t="n">
        <v>3379444</v>
      </c>
      <c r="M57" t="n">
        <v>3401973</v>
      </c>
      <c r="N57" t="n">
        <v>3409322</v>
      </c>
      <c r="O57" t="n">
        <v>3489830</v>
      </c>
      <c r="P57" t="n">
        <v>3653732</v>
      </c>
      <c r="Q57" t="n">
        <v>3772138</v>
      </c>
      <c r="R57" t="n">
        <v>3871937</v>
      </c>
      <c r="S57" t="n">
        <v>3757778</v>
      </c>
      <c r="T57" t="n">
        <v>3344235</v>
      </c>
      <c r="U57" t="n">
        <v>3203078</v>
      </c>
      <c r="V57" t="n">
        <v>3146289</v>
      </c>
      <c r="W57" t="n">
        <v>3122714</v>
      </c>
      <c r="X57" t="n">
        <v>3242657</v>
      </c>
      <c r="Y57" t="n">
        <v>3350270</v>
      </c>
      <c r="Z57" t="n">
        <v>3453924</v>
      </c>
      <c r="AA57" t="n">
        <v>3633601</v>
      </c>
      <c r="AB57" t="n">
        <v>3796539</v>
      </c>
      <c r="AC57" t="n">
        <v>3942787</v>
      </c>
      <c r="AD57" t="n">
        <v>4068301</v>
      </c>
      <c r="AE57" t="n">
        <v>3688565</v>
      </c>
      <c r="AF57" t="n">
        <v>3960295</v>
      </c>
    </row>
    <row r="58">
      <c r="A58" t="s">
        <v>22</v>
      </c>
      <c r="B58" t="s">
        <v>273</v>
      </c>
      <c r="C58" t="s">
        <v>131</v>
      </c>
      <c r="D58" t="s">
        <v>274</v>
      </c>
      <c r="E58" t="s">
        <v>132</v>
      </c>
      <c r="F58" t="n">
        <v>2927443</v>
      </c>
      <c r="G58" t="n">
        <v>2950886</v>
      </c>
      <c r="H58" t="n">
        <v>2972240</v>
      </c>
      <c r="I58" t="n">
        <v>3039245</v>
      </c>
      <c r="J58" t="n">
        <v>3197248</v>
      </c>
      <c r="K58" t="n">
        <v>3314711</v>
      </c>
      <c r="L58" t="n">
        <v>3368918</v>
      </c>
      <c r="M58" t="n">
        <v>3390856</v>
      </c>
      <c r="N58" t="n">
        <v>3397494</v>
      </c>
      <c r="O58" t="n">
        <v>3481030</v>
      </c>
      <c r="P58" t="n">
        <v>3643562</v>
      </c>
      <c r="Q58" t="n">
        <v>3760019</v>
      </c>
      <c r="R58" t="n">
        <v>3856623</v>
      </c>
      <c r="S58" t="n">
        <v>3743918</v>
      </c>
      <c r="T58" t="n">
        <v>3333427</v>
      </c>
      <c r="U58" t="n">
        <v>3193342</v>
      </c>
      <c r="V58" t="n">
        <v>3135494</v>
      </c>
      <c r="W58" t="n">
        <v>3111271</v>
      </c>
      <c r="X58" t="n">
        <v>3232152</v>
      </c>
      <c r="Y58" t="n">
        <v>3341407</v>
      </c>
      <c r="Z58" t="n">
        <v>3442744</v>
      </c>
      <c r="AA58" t="n">
        <v>3623430</v>
      </c>
      <c r="AB58" t="n">
        <v>3787454</v>
      </c>
      <c r="AC58" t="n">
        <v>3931618</v>
      </c>
      <c r="AD58" t="n">
        <v>4058271</v>
      </c>
      <c r="AE58" t="n">
        <v>3682052</v>
      </c>
      <c r="AF58" t="n">
        <v>3954929</v>
      </c>
    </row>
    <row r="59">
      <c r="A59" t="s">
        <v>22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24</v>
      </c>
      <c r="B2" t="s">
        <v>84</v>
      </c>
      <c r="C2" t="s">
        <v>131</v>
      </c>
      <c r="D2" t="s">
        <v>86</v>
      </c>
      <c r="E2" t="s">
        <v>132</v>
      </c>
      <c r="F2" t="n">
        <v>80555</v>
      </c>
      <c r="G2" t="n">
        <v>79912</v>
      </c>
      <c r="H2" t="n">
        <v>79964</v>
      </c>
      <c r="I2" t="n">
        <v>81877</v>
      </c>
      <c r="J2" t="n">
        <v>84432</v>
      </c>
      <c r="K2" t="n">
        <v>75507</v>
      </c>
      <c r="L2" t="n">
        <v>67766</v>
      </c>
      <c r="M2" t="n">
        <v>64942</v>
      </c>
      <c r="N2" t="n">
        <v>63907</v>
      </c>
      <c r="O2" t="n">
        <v>60106</v>
      </c>
      <c r="P2" t="n">
        <v>56115</v>
      </c>
      <c r="Q2" t="n">
        <v>59113</v>
      </c>
      <c r="R2" t="n">
        <v>56675</v>
      </c>
      <c r="S2" t="n">
        <v>59299</v>
      </c>
      <c r="T2" t="n">
        <v>52844</v>
      </c>
      <c r="U2" t="n">
        <v>60946</v>
      </c>
      <c r="V2" t="n">
        <v>61477</v>
      </c>
      <c r="W2" t="n">
        <v>60645</v>
      </c>
      <c r="X2" t="n">
        <v>63587</v>
      </c>
      <c r="Y2" t="n">
        <v>60276</v>
      </c>
      <c r="Z2" t="n">
        <v>60339</v>
      </c>
      <c r="AA2" t="n">
        <v>65024</v>
      </c>
      <c r="AB2" t="n">
        <v>60547</v>
      </c>
      <c r="AC2" t="n">
        <v>58277</v>
      </c>
      <c r="AD2" t="n">
        <v>57516</v>
      </c>
      <c r="AE2" t="n">
        <v>53616</v>
      </c>
      <c r="AF2" t="n">
        <v>60216</v>
      </c>
    </row>
    <row r="3">
      <c r="A3" t="s">
        <v>24</v>
      </c>
      <c r="B3" t="s">
        <v>163</v>
      </c>
      <c r="C3" t="s">
        <v>131</v>
      </c>
      <c r="D3" t="s">
        <v>164</v>
      </c>
      <c r="E3" t="s">
        <v>132</v>
      </c>
      <c r="F3" t="n">
        <v>9810</v>
      </c>
      <c r="G3" t="n">
        <v>9810</v>
      </c>
      <c r="H3" t="n">
        <v>9810</v>
      </c>
      <c r="I3" t="n">
        <v>10838</v>
      </c>
      <c r="J3" t="n">
        <v>12176</v>
      </c>
      <c r="K3" t="n">
        <v>12587</v>
      </c>
      <c r="L3" t="n">
        <v>15193</v>
      </c>
      <c r="M3" t="n">
        <v>15355</v>
      </c>
      <c r="N3" t="n">
        <v>13179</v>
      </c>
      <c r="O3" t="n">
        <v>13587</v>
      </c>
      <c r="P3" t="n">
        <v>18073</v>
      </c>
      <c r="Q3" t="n">
        <v>21447</v>
      </c>
      <c r="R3" t="n">
        <v>20577</v>
      </c>
      <c r="S3" t="n">
        <v>21821</v>
      </c>
      <c r="T3" t="n">
        <v>12432</v>
      </c>
      <c r="U3" t="n">
        <v>12202</v>
      </c>
      <c r="V3" t="n">
        <v>9258</v>
      </c>
      <c r="W3" t="n">
        <v>9347</v>
      </c>
      <c r="X3" t="n">
        <v>12174</v>
      </c>
      <c r="Y3" t="n">
        <v>11982</v>
      </c>
      <c r="Z3" t="n">
        <v>13174</v>
      </c>
      <c r="AA3" t="n">
        <v>10173</v>
      </c>
      <c r="AB3" t="n">
        <v>12954</v>
      </c>
      <c r="AC3" t="n">
        <v>11483</v>
      </c>
      <c r="AD3" t="n">
        <v>13800</v>
      </c>
      <c r="AE3" t="n">
        <v>9769</v>
      </c>
      <c r="AF3" t="n">
        <v>9288</v>
      </c>
    </row>
    <row r="4">
      <c r="A4" t="s">
        <v>24</v>
      </c>
      <c r="B4" t="s">
        <v>165</v>
      </c>
      <c r="C4" t="s">
        <v>131</v>
      </c>
      <c r="D4" t="s">
        <v>166</v>
      </c>
      <c r="E4" t="s">
        <v>132</v>
      </c>
      <c r="F4" t="n">
        <v>540198</v>
      </c>
      <c r="G4" t="n">
        <v>541182</v>
      </c>
      <c r="H4" t="n">
        <v>540557</v>
      </c>
      <c r="I4" t="n">
        <v>544926</v>
      </c>
      <c r="J4" t="n">
        <v>550501</v>
      </c>
      <c r="K4" t="n">
        <v>561439</v>
      </c>
      <c r="L4" t="n">
        <v>554107</v>
      </c>
      <c r="M4" t="n">
        <v>524728</v>
      </c>
      <c r="N4" t="n">
        <v>507476</v>
      </c>
      <c r="O4" t="n">
        <v>490484</v>
      </c>
      <c r="P4" t="n">
        <v>483504</v>
      </c>
      <c r="Q4" t="n">
        <v>477605</v>
      </c>
      <c r="R4" t="n">
        <v>469973</v>
      </c>
      <c r="S4" t="n">
        <v>441210</v>
      </c>
      <c r="T4" t="n">
        <v>374156</v>
      </c>
      <c r="U4" t="n">
        <v>359989</v>
      </c>
      <c r="V4" t="n">
        <v>360901</v>
      </c>
      <c r="W4" t="n">
        <v>353713</v>
      </c>
      <c r="X4" t="n">
        <v>364266</v>
      </c>
      <c r="Y4" t="n">
        <v>372638</v>
      </c>
      <c r="Z4" t="n">
        <v>391689</v>
      </c>
      <c r="AA4" t="n">
        <v>423342</v>
      </c>
      <c r="AB4" t="n">
        <v>440113</v>
      </c>
      <c r="AC4" t="n">
        <v>443081</v>
      </c>
      <c r="AD4" t="n">
        <v>457429</v>
      </c>
      <c r="AE4" t="n">
        <v>455997</v>
      </c>
      <c r="AF4" t="n">
        <v>487069</v>
      </c>
    </row>
    <row r="5">
      <c r="A5" t="s">
        <v>24</v>
      </c>
      <c r="B5" t="s">
        <v>167</v>
      </c>
      <c r="C5" t="s">
        <v>131</v>
      </c>
      <c r="D5" t="s">
        <v>168</v>
      </c>
      <c r="E5" t="s">
        <v>132</v>
      </c>
      <c r="F5" t="n">
        <v>107869</v>
      </c>
      <c r="G5" t="n">
        <v>107928</v>
      </c>
      <c r="H5" t="n">
        <v>108088</v>
      </c>
      <c r="I5" t="n">
        <v>108621</v>
      </c>
      <c r="J5" t="n">
        <v>107624</v>
      </c>
      <c r="K5" t="n">
        <v>108454</v>
      </c>
      <c r="L5" t="n">
        <v>106456</v>
      </c>
      <c r="M5" t="n">
        <v>105912</v>
      </c>
      <c r="N5" t="n">
        <v>105145</v>
      </c>
      <c r="O5" t="n">
        <v>105381</v>
      </c>
      <c r="P5" t="n">
        <v>104238</v>
      </c>
      <c r="Q5" t="n">
        <v>106112</v>
      </c>
      <c r="R5" t="n">
        <v>101297</v>
      </c>
      <c r="S5" t="n">
        <v>100094</v>
      </c>
      <c r="T5" t="n">
        <v>85348</v>
      </c>
      <c r="U5" t="n">
        <v>79908</v>
      </c>
      <c r="V5" t="n">
        <v>92685</v>
      </c>
      <c r="W5" t="n">
        <v>90441</v>
      </c>
      <c r="X5" t="n">
        <v>90743</v>
      </c>
      <c r="Y5" t="n">
        <v>99710</v>
      </c>
      <c r="Z5" t="n">
        <v>95445</v>
      </c>
      <c r="AA5" t="n">
        <v>100633</v>
      </c>
      <c r="AB5" t="n">
        <v>103817</v>
      </c>
      <c r="AC5" t="n">
        <v>105817</v>
      </c>
      <c r="AD5" t="n">
        <v>100399</v>
      </c>
      <c r="AE5" t="n">
        <v>97899</v>
      </c>
      <c r="AF5" t="n">
        <v>101594</v>
      </c>
    </row>
    <row r="6">
      <c r="A6" t="s">
        <v>24</v>
      </c>
      <c r="B6" t="s">
        <v>169</v>
      </c>
      <c r="C6" t="s">
        <v>131</v>
      </c>
      <c r="D6" t="s">
        <v>170</v>
      </c>
      <c r="E6" t="s">
        <v>132</v>
      </c>
      <c r="F6" t="n">
        <v>39062</v>
      </c>
      <c r="G6" t="n">
        <v>37811</v>
      </c>
      <c r="H6" t="n">
        <v>36588</v>
      </c>
      <c r="I6" t="n">
        <v>35377</v>
      </c>
      <c r="J6" t="n">
        <v>32069</v>
      </c>
      <c r="K6" t="n">
        <v>28113</v>
      </c>
      <c r="L6" t="n">
        <v>23242</v>
      </c>
      <c r="M6" t="n">
        <v>21686</v>
      </c>
      <c r="N6" t="n">
        <v>18224</v>
      </c>
      <c r="O6" t="n">
        <v>13150</v>
      </c>
      <c r="P6" t="n">
        <v>12820</v>
      </c>
      <c r="Q6" t="n">
        <v>13679</v>
      </c>
      <c r="R6" t="n">
        <v>13002</v>
      </c>
      <c r="S6" t="n">
        <v>13000</v>
      </c>
      <c r="T6" t="n">
        <v>8696</v>
      </c>
      <c r="U6" t="n">
        <v>7852</v>
      </c>
      <c r="V6" t="n">
        <v>5166</v>
      </c>
      <c r="W6" t="n">
        <v>6319</v>
      </c>
      <c r="X6" t="n">
        <v>9018</v>
      </c>
      <c r="Y6" t="n">
        <v>7932</v>
      </c>
      <c r="Z6" t="n">
        <v>6761</v>
      </c>
      <c r="AA6" t="n">
        <v>4476</v>
      </c>
      <c r="AB6" t="n">
        <v>5091</v>
      </c>
      <c r="AC6" t="n">
        <v>5361</v>
      </c>
      <c r="AD6" t="n">
        <v>4081</v>
      </c>
      <c r="AE6" t="n">
        <v>4310</v>
      </c>
      <c r="AF6" t="n">
        <v>4960</v>
      </c>
    </row>
    <row r="7">
      <c r="A7" t="s">
        <v>24</v>
      </c>
      <c r="B7" t="s">
        <v>171</v>
      </c>
      <c r="C7" t="s">
        <v>131</v>
      </c>
      <c r="D7" t="s">
        <v>172</v>
      </c>
      <c r="E7" t="s">
        <v>132</v>
      </c>
      <c r="F7" t="n">
        <v>42760</v>
      </c>
      <c r="G7" t="n">
        <v>42745</v>
      </c>
      <c r="H7" t="n">
        <v>42123</v>
      </c>
      <c r="I7" t="n">
        <v>42937</v>
      </c>
      <c r="J7" t="n">
        <v>46605</v>
      </c>
      <c r="K7" t="n">
        <v>46917</v>
      </c>
      <c r="L7" t="n">
        <v>47653</v>
      </c>
      <c r="M7" t="n">
        <v>46024</v>
      </c>
      <c r="N7" t="n">
        <v>40511</v>
      </c>
      <c r="O7" t="n">
        <v>39102</v>
      </c>
      <c r="P7" t="n">
        <v>37563</v>
      </c>
      <c r="Q7" t="n">
        <v>38093</v>
      </c>
      <c r="R7" t="n">
        <v>38435</v>
      </c>
      <c r="S7" t="n">
        <v>34496</v>
      </c>
      <c r="T7" t="n">
        <v>26419</v>
      </c>
      <c r="U7" t="n">
        <v>24557</v>
      </c>
      <c r="V7" t="n">
        <v>21792</v>
      </c>
      <c r="W7" t="n">
        <v>18581</v>
      </c>
      <c r="X7" t="n">
        <v>24507</v>
      </c>
      <c r="Y7" t="n">
        <v>22777</v>
      </c>
      <c r="Z7" t="n">
        <v>22111</v>
      </c>
      <c r="AA7" t="n">
        <v>22806</v>
      </c>
      <c r="AB7" t="n">
        <v>26109</v>
      </c>
      <c r="AC7" t="n">
        <v>21692</v>
      </c>
      <c r="AD7" t="n">
        <v>20753</v>
      </c>
      <c r="AE7" t="n">
        <v>19228</v>
      </c>
      <c r="AF7" t="n">
        <v>18123</v>
      </c>
    </row>
    <row r="8">
      <c r="A8" t="s">
        <v>24</v>
      </c>
      <c r="B8" t="s">
        <v>173</v>
      </c>
      <c r="C8" t="s">
        <v>131</v>
      </c>
      <c r="D8" t="s">
        <v>174</v>
      </c>
      <c r="E8" t="s">
        <v>132</v>
      </c>
      <c r="F8" t="n">
        <v>737</v>
      </c>
      <c r="G8" t="n">
        <v>735</v>
      </c>
      <c r="H8" t="n">
        <v>707</v>
      </c>
      <c r="I8" t="n">
        <v>814</v>
      </c>
      <c r="J8" t="n">
        <v>494</v>
      </c>
      <c r="K8" t="n">
        <v>564</v>
      </c>
      <c r="L8" t="n">
        <v>694</v>
      </c>
      <c r="M8" t="n">
        <v>867</v>
      </c>
      <c r="N8" t="n">
        <v>1170</v>
      </c>
      <c r="O8" t="n">
        <v>2583</v>
      </c>
      <c r="P8" t="n">
        <v>1605</v>
      </c>
      <c r="Q8" t="n">
        <v>948</v>
      </c>
      <c r="R8" t="n">
        <v>779</v>
      </c>
      <c r="S8" t="n">
        <v>841</v>
      </c>
      <c r="T8" t="n">
        <v>860</v>
      </c>
      <c r="U8" t="n">
        <v>848</v>
      </c>
      <c r="V8" t="n">
        <v>981</v>
      </c>
      <c r="W8" t="n">
        <v>643</v>
      </c>
      <c r="X8" t="n">
        <v>565</v>
      </c>
      <c r="Y8" t="n">
        <v>503</v>
      </c>
      <c r="Z8" t="n">
        <v>375</v>
      </c>
      <c r="AA8" t="n">
        <v>235</v>
      </c>
      <c r="AB8" t="n">
        <v>2298</v>
      </c>
      <c r="AC8" t="n">
        <v>4384</v>
      </c>
      <c r="AD8" t="n">
        <v>2566</v>
      </c>
      <c r="AE8" t="n">
        <v>3621</v>
      </c>
      <c r="AF8" t="n">
        <v>5427</v>
      </c>
    </row>
    <row r="9">
      <c r="A9" t="s">
        <v>24</v>
      </c>
      <c r="B9" t="s">
        <v>175</v>
      </c>
      <c r="C9" t="s">
        <v>131</v>
      </c>
      <c r="D9" t="s">
        <v>176</v>
      </c>
      <c r="E9" t="s">
        <v>132</v>
      </c>
      <c r="F9" t="n">
        <v>10701</v>
      </c>
      <c r="G9" t="n">
        <v>11063</v>
      </c>
      <c r="H9" t="n">
        <v>10524</v>
      </c>
      <c r="I9" t="n">
        <v>11764</v>
      </c>
      <c r="J9" t="n">
        <v>10454</v>
      </c>
      <c r="K9" t="n">
        <v>11305</v>
      </c>
      <c r="L9" t="n">
        <v>11041</v>
      </c>
      <c r="M9" t="n">
        <v>9133</v>
      </c>
      <c r="N9" t="n">
        <v>8889</v>
      </c>
      <c r="O9" t="n">
        <v>7237</v>
      </c>
      <c r="P9" t="n">
        <v>6967</v>
      </c>
      <c r="Q9" t="n">
        <v>5393</v>
      </c>
      <c r="R9" t="n">
        <v>5625</v>
      </c>
      <c r="S9" t="n">
        <v>6382</v>
      </c>
      <c r="T9" t="n">
        <v>5085</v>
      </c>
      <c r="U9" t="n">
        <v>4962</v>
      </c>
      <c r="V9" t="n">
        <v>4953</v>
      </c>
      <c r="W9" t="n">
        <v>5075</v>
      </c>
      <c r="X9" t="n">
        <v>4700</v>
      </c>
      <c r="Y9" t="n">
        <v>4420</v>
      </c>
      <c r="Z9" t="n">
        <v>5501</v>
      </c>
      <c r="AA9" t="n">
        <v>7107</v>
      </c>
      <c r="AB9" t="n">
        <v>5299</v>
      </c>
      <c r="AC9" t="n">
        <v>6002</v>
      </c>
      <c r="AD9" t="n">
        <v>4193</v>
      </c>
      <c r="AE9" t="n">
        <v>4944</v>
      </c>
      <c r="AF9" t="n">
        <v>3466</v>
      </c>
    </row>
    <row r="10">
      <c r="A10" t="s">
        <v>24</v>
      </c>
      <c r="B10" t="s">
        <v>177</v>
      </c>
      <c r="C10" t="s">
        <v>131</v>
      </c>
      <c r="D10" t="s">
        <v>178</v>
      </c>
      <c r="E10" t="s">
        <v>132</v>
      </c>
      <c r="F10" t="n">
        <v>38004</v>
      </c>
      <c r="G10" t="n">
        <v>41637</v>
      </c>
      <c r="H10" t="n">
        <v>44263</v>
      </c>
      <c r="I10" t="n">
        <v>48050</v>
      </c>
      <c r="J10" t="n">
        <v>47206</v>
      </c>
      <c r="K10" t="n">
        <v>53315</v>
      </c>
      <c r="L10" t="n">
        <v>58540</v>
      </c>
      <c r="M10" t="n">
        <v>62020</v>
      </c>
      <c r="N10" t="n">
        <v>59899</v>
      </c>
      <c r="O10" t="n">
        <v>62369</v>
      </c>
      <c r="P10" t="n">
        <v>62696</v>
      </c>
      <c r="Q10" t="n">
        <v>61997</v>
      </c>
      <c r="R10" t="n">
        <v>64576</v>
      </c>
      <c r="S10" t="n">
        <v>61908</v>
      </c>
      <c r="T10" t="n">
        <v>57516</v>
      </c>
      <c r="U10" t="n">
        <v>63432</v>
      </c>
      <c r="V10" t="n">
        <v>61606</v>
      </c>
      <c r="W10" t="n">
        <v>61715</v>
      </c>
      <c r="X10" t="n">
        <v>66412</v>
      </c>
      <c r="Y10" t="n">
        <v>65977</v>
      </c>
      <c r="Z10" t="n">
        <v>74037</v>
      </c>
      <c r="AA10" t="n">
        <v>85476</v>
      </c>
      <c r="AB10" t="n">
        <v>81363</v>
      </c>
      <c r="AC10" t="n">
        <v>84322</v>
      </c>
      <c r="AD10" t="n">
        <v>86709</v>
      </c>
      <c r="AE10" t="n">
        <v>102683</v>
      </c>
      <c r="AF10" t="n">
        <v>113638</v>
      </c>
    </row>
    <row r="11">
      <c r="A11" t="s">
        <v>24</v>
      </c>
      <c r="B11" t="s">
        <v>179</v>
      </c>
      <c r="C11" t="s">
        <v>131</v>
      </c>
      <c r="D11" t="s">
        <v>180</v>
      </c>
      <c r="E11" t="s">
        <v>132</v>
      </c>
      <c r="F11" t="n">
        <v>27303</v>
      </c>
      <c r="G11" t="n">
        <v>30574</v>
      </c>
      <c r="H11" t="n">
        <v>33739</v>
      </c>
      <c r="I11" t="n">
        <v>36286</v>
      </c>
      <c r="J11" t="n">
        <v>36752</v>
      </c>
      <c r="K11" t="n">
        <v>42010</v>
      </c>
      <c r="L11" t="n">
        <v>47499</v>
      </c>
      <c r="M11" t="n">
        <v>52887</v>
      </c>
      <c r="N11" t="n">
        <v>51010</v>
      </c>
      <c r="O11" t="n">
        <v>55132</v>
      </c>
      <c r="P11" t="n">
        <v>55729</v>
      </c>
      <c r="Q11" t="n">
        <v>56604</v>
      </c>
      <c r="R11" t="n">
        <v>58951</v>
      </c>
      <c r="S11" t="n">
        <v>55526</v>
      </c>
      <c r="T11" t="n">
        <v>52431</v>
      </c>
      <c r="U11" t="n">
        <v>58470</v>
      </c>
      <c r="V11" t="n">
        <v>56653</v>
      </c>
      <c r="W11" t="n">
        <v>56640</v>
      </c>
      <c r="X11" t="n">
        <v>61712</v>
      </c>
      <c r="Y11" t="n">
        <v>61557</v>
      </c>
      <c r="Z11" t="n">
        <v>68536</v>
      </c>
      <c r="AA11" t="n">
        <v>78369</v>
      </c>
      <c r="AB11" t="n">
        <v>76064</v>
      </c>
      <c r="AC11" t="n">
        <v>78320</v>
      </c>
      <c r="AD11" t="n">
        <v>82516</v>
      </c>
      <c r="AE11" t="n">
        <v>97739</v>
      </c>
      <c r="AF11" t="n">
        <v>110172</v>
      </c>
    </row>
    <row r="12">
      <c r="A12" t="s">
        <v>24</v>
      </c>
      <c r="B12" t="s">
        <v>181</v>
      </c>
      <c r="C12" t="s">
        <v>131</v>
      </c>
      <c r="D12" t="s">
        <v>182</v>
      </c>
      <c r="E12" t="s">
        <v>132</v>
      </c>
      <c r="F12" t="n">
        <v>50258</v>
      </c>
      <c r="G12" t="n">
        <v>49770</v>
      </c>
      <c r="H12" t="n">
        <v>49305</v>
      </c>
      <c r="I12" t="n">
        <v>50210</v>
      </c>
      <c r="J12" t="n">
        <v>46404</v>
      </c>
      <c r="K12" t="n">
        <v>50781</v>
      </c>
      <c r="L12" t="n">
        <v>45981</v>
      </c>
      <c r="M12" t="n">
        <v>46764</v>
      </c>
      <c r="N12" t="n">
        <v>44752</v>
      </c>
      <c r="O12" t="n">
        <v>40853</v>
      </c>
      <c r="P12" t="n">
        <v>42383</v>
      </c>
      <c r="Q12" t="n">
        <v>39828</v>
      </c>
      <c r="R12" t="n">
        <v>39040</v>
      </c>
      <c r="S12" t="n">
        <v>31293</v>
      </c>
      <c r="T12" t="n">
        <v>20848</v>
      </c>
      <c r="U12" t="n">
        <v>17105</v>
      </c>
      <c r="V12" t="n">
        <v>17650</v>
      </c>
      <c r="W12" t="n">
        <v>19099</v>
      </c>
      <c r="X12" t="n">
        <v>15623</v>
      </c>
      <c r="Y12" t="n">
        <v>14897</v>
      </c>
      <c r="Z12" t="n">
        <v>16557</v>
      </c>
      <c r="AA12" t="n">
        <v>21728</v>
      </c>
      <c r="AB12" t="n">
        <v>23084</v>
      </c>
      <c r="AC12" t="n">
        <v>23597</v>
      </c>
      <c r="AD12" t="n">
        <v>25649</v>
      </c>
      <c r="AE12" t="n">
        <v>20565</v>
      </c>
      <c r="AF12" t="n">
        <v>20381</v>
      </c>
    </row>
    <row r="13">
      <c r="A13" t="s">
        <v>24</v>
      </c>
      <c r="B13" t="s">
        <v>183</v>
      </c>
      <c r="C13" t="s">
        <v>131</v>
      </c>
      <c r="D13" t="s">
        <v>184</v>
      </c>
      <c r="E13" t="s">
        <v>132</v>
      </c>
      <c r="F13" t="n">
        <v>51179</v>
      </c>
      <c r="G13" t="n">
        <v>51239</v>
      </c>
      <c r="H13" t="n">
        <v>51881</v>
      </c>
      <c r="I13" t="n">
        <v>50936</v>
      </c>
      <c r="J13" t="n">
        <v>53697</v>
      </c>
      <c r="K13" t="n">
        <v>56062</v>
      </c>
      <c r="L13" t="n">
        <v>54102</v>
      </c>
      <c r="M13" t="n">
        <v>48171</v>
      </c>
      <c r="N13" t="n">
        <v>51204</v>
      </c>
      <c r="O13" t="n">
        <v>46720</v>
      </c>
      <c r="P13" t="n">
        <v>46539</v>
      </c>
      <c r="Q13" t="n">
        <v>47917</v>
      </c>
      <c r="R13" t="n">
        <v>50453</v>
      </c>
      <c r="S13" t="n">
        <v>45787</v>
      </c>
      <c r="T13" t="n">
        <v>28992</v>
      </c>
      <c r="U13" t="n">
        <v>27419</v>
      </c>
      <c r="V13" t="n">
        <v>24789</v>
      </c>
      <c r="W13" t="n">
        <v>24682</v>
      </c>
      <c r="X13" t="n">
        <v>23050</v>
      </c>
      <c r="Y13" t="n">
        <v>23841</v>
      </c>
      <c r="Z13" t="n">
        <v>28049</v>
      </c>
      <c r="AA13" t="n">
        <v>29510</v>
      </c>
      <c r="AB13" t="n">
        <v>32337</v>
      </c>
      <c r="AC13" t="n">
        <v>28040</v>
      </c>
      <c r="AD13" t="n">
        <v>33214</v>
      </c>
      <c r="AE13" t="n">
        <v>29873</v>
      </c>
      <c r="AF13" t="n">
        <v>26648</v>
      </c>
    </row>
    <row r="14">
      <c r="A14" t="s">
        <v>24</v>
      </c>
      <c r="B14" t="s">
        <v>185</v>
      </c>
      <c r="C14" t="s">
        <v>131</v>
      </c>
      <c r="D14" t="s">
        <v>186</v>
      </c>
      <c r="E14" t="s">
        <v>132</v>
      </c>
      <c r="F14" t="n">
        <v>91299</v>
      </c>
      <c r="G14" t="n">
        <v>90170</v>
      </c>
      <c r="H14" t="n">
        <v>88902</v>
      </c>
      <c r="I14" t="n">
        <v>86335</v>
      </c>
      <c r="J14" t="n">
        <v>82994</v>
      </c>
      <c r="K14" t="n">
        <v>91145</v>
      </c>
      <c r="L14" t="n">
        <v>91742</v>
      </c>
      <c r="M14" t="n">
        <v>72945</v>
      </c>
      <c r="N14" t="n">
        <v>62454</v>
      </c>
      <c r="O14" t="n">
        <v>64543</v>
      </c>
      <c r="P14" t="n">
        <v>66311</v>
      </c>
      <c r="Q14" t="n">
        <v>62589</v>
      </c>
      <c r="R14" t="n">
        <v>58454</v>
      </c>
      <c r="S14" t="n">
        <v>58914</v>
      </c>
      <c r="T14" t="n">
        <v>53104</v>
      </c>
      <c r="U14" t="n">
        <v>47955</v>
      </c>
      <c r="V14" t="n">
        <v>43434</v>
      </c>
      <c r="W14" t="n">
        <v>47115</v>
      </c>
      <c r="X14" t="n">
        <v>44376</v>
      </c>
      <c r="Y14" t="n">
        <v>49633</v>
      </c>
      <c r="Z14" t="n">
        <v>50271</v>
      </c>
      <c r="AA14" t="n">
        <v>48663</v>
      </c>
      <c r="AB14" t="n">
        <v>45742</v>
      </c>
      <c r="AC14" t="n">
        <v>41714</v>
      </c>
      <c r="AD14" t="n">
        <v>40708</v>
      </c>
      <c r="AE14" t="n">
        <v>45335</v>
      </c>
      <c r="AF14" t="n">
        <v>51365</v>
      </c>
    </row>
    <row r="15">
      <c r="A15" t="s">
        <v>24</v>
      </c>
      <c r="B15" t="s">
        <v>187</v>
      </c>
      <c r="C15" t="s">
        <v>131</v>
      </c>
      <c r="D15" t="s">
        <v>188</v>
      </c>
      <c r="E15" t="s">
        <v>132</v>
      </c>
      <c r="F15" t="n">
        <v>104407</v>
      </c>
      <c r="G15" t="n">
        <v>103278</v>
      </c>
      <c r="H15" t="n">
        <v>102010</v>
      </c>
      <c r="I15" t="n">
        <v>100063</v>
      </c>
      <c r="J15" t="n">
        <v>95349</v>
      </c>
      <c r="K15" t="n">
        <v>104245</v>
      </c>
      <c r="L15" t="n">
        <v>104934</v>
      </c>
      <c r="M15" t="n">
        <v>82800</v>
      </c>
      <c r="N15" t="n">
        <v>72931</v>
      </c>
      <c r="O15" t="n">
        <v>71388</v>
      </c>
      <c r="P15" t="n">
        <v>73689</v>
      </c>
      <c r="Q15" t="n">
        <v>68373</v>
      </c>
      <c r="R15" t="n">
        <v>62411</v>
      </c>
      <c r="S15" t="n">
        <v>62915</v>
      </c>
      <c r="T15" t="n">
        <v>56406</v>
      </c>
      <c r="U15" t="n">
        <v>50844</v>
      </c>
      <c r="V15" t="n">
        <v>48182</v>
      </c>
      <c r="W15" t="n">
        <v>49857</v>
      </c>
      <c r="X15" t="n">
        <v>47884</v>
      </c>
      <c r="Y15" t="n">
        <v>53323</v>
      </c>
      <c r="Z15" t="n">
        <v>53381</v>
      </c>
      <c r="AA15" t="n">
        <v>52064</v>
      </c>
      <c r="AB15" t="n">
        <v>51416</v>
      </c>
      <c r="AC15" t="n">
        <v>49298</v>
      </c>
      <c r="AD15" t="n">
        <v>46666</v>
      </c>
      <c r="AE15" t="n">
        <v>50086</v>
      </c>
      <c r="AF15" t="n">
        <v>56068</v>
      </c>
    </row>
    <row r="16">
      <c r="A16" t="s">
        <v>24</v>
      </c>
      <c r="B16" t="s">
        <v>189</v>
      </c>
      <c r="C16" t="s">
        <v>131</v>
      </c>
      <c r="D16" t="s">
        <v>190</v>
      </c>
      <c r="E16" t="s">
        <v>132</v>
      </c>
      <c r="F16" t="n">
        <v>13108</v>
      </c>
      <c r="G16" t="n">
        <v>13108</v>
      </c>
      <c r="H16" t="n">
        <v>13108</v>
      </c>
      <c r="I16" t="n">
        <v>13728</v>
      </c>
      <c r="J16" t="n">
        <v>12355</v>
      </c>
      <c r="K16" t="n">
        <v>13100</v>
      </c>
      <c r="L16" t="n">
        <v>13192</v>
      </c>
      <c r="M16" t="n">
        <v>9855</v>
      </c>
      <c r="N16" t="n">
        <v>10477</v>
      </c>
      <c r="O16" t="n">
        <v>6845</v>
      </c>
      <c r="P16" t="n">
        <v>7378</v>
      </c>
      <c r="Q16" t="n">
        <v>5784</v>
      </c>
      <c r="R16" t="n">
        <v>3957</v>
      </c>
      <c r="S16" t="n">
        <v>4001</v>
      </c>
      <c r="T16" t="n">
        <v>3302</v>
      </c>
      <c r="U16" t="n">
        <v>2889</v>
      </c>
      <c r="V16" t="n">
        <v>4748</v>
      </c>
      <c r="W16" t="n">
        <v>2742</v>
      </c>
      <c r="X16" t="n">
        <v>3508</v>
      </c>
      <c r="Y16" t="n">
        <v>3690</v>
      </c>
      <c r="Z16" t="n">
        <v>3110</v>
      </c>
      <c r="AA16" t="n">
        <v>3401</v>
      </c>
      <c r="AB16" t="n">
        <v>5674</v>
      </c>
      <c r="AC16" t="n">
        <v>7584</v>
      </c>
      <c r="AD16" t="n">
        <v>5958</v>
      </c>
      <c r="AE16" t="n">
        <v>4751</v>
      </c>
      <c r="AF16" t="n">
        <v>4703</v>
      </c>
    </row>
    <row r="17">
      <c r="A17" t="s">
        <v>24</v>
      </c>
      <c r="B17" t="s">
        <v>191</v>
      </c>
      <c r="C17" t="s">
        <v>131</v>
      </c>
      <c r="D17" t="s">
        <v>192</v>
      </c>
      <c r="E17" t="s">
        <v>132</v>
      </c>
      <c r="F17" t="n">
        <v>38872</v>
      </c>
      <c r="G17" t="n">
        <v>38872</v>
      </c>
      <c r="H17" t="n">
        <v>38872</v>
      </c>
      <c r="I17" t="n">
        <v>40975</v>
      </c>
      <c r="J17" t="n">
        <v>53167</v>
      </c>
      <c r="K17" t="n">
        <v>50134</v>
      </c>
      <c r="L17" t="n">
        <v>52026</v>
      </c>
      <c r="M17" t="n">
        <v>51432</v>
      </c>
      <c r="N17" t="n">
        <v>50785</v>
      </c>
      <c r="O17" t="n">
        <v>49275</v>
      </c>
      <c r="P17" t="n">
        <v>48792</v>
      </c>
      <c r="Q17" t="n">
        <v>48255</v>
      </c>
      <c r="R17" t="n">
        <v>51402</v>
      </c>
      <c r="S17" t="n">
        <v>48164</v>
      </c>
      <c r="T17" t="n">
        <v>51957</v>
      </c>
      <c r="U17" t="n">
        <v>51131</v>
      </c>
      <c r="V17" t="n">
        <v>52454</v>
      </c>
      <c r="W17" t="n">
        <v>51808</v>
      </c>
      <c r="X17" t="n">
        <v>58033</v>
      </c>
      <c r="Y17" t="n">
        <v>54773</v>
      </c>
      <c r="Z17" t="n">
        <v>59211</v>
      </c>
      <c r="AA17" t="n">
        <v>67542</v>
      </c>
      <c r="AB17" t="n">
        <v>40573</v>
      </c>
      <c r="AC17" t="n">
        <v>12964</v>
      </c>
      <c r="AD17" t="n">
        <v>15172</v>
      </c>
      <c r="AE17" t="n">
        <v>17488</v>
      </c>
      <c r="AF17" t="n">
        <v>16358</v>
      </c>
    </row>
    <row r="18">
      <c r="A18" t="s">
        <v>24</v>
      </c>
      <c r="B18" t="s">
        <v>193</v>
      </c>
      <c r="C18" t="s">
        <v>131</v>
      </c>
      <c r="D18" t="s">
        <v>194</v>
      </c>
      <c r="E18" t="s">
        <v>132</v>
      </c>
      <c r="F18" t="n">
        <v>16638</v>
      </c>
      <c r="G18" t="n">
        <v>16652</v>
      </c>
      <c r="H18" t="n">
        <v>16598</v>
      </c>
      <c r="I18" t="n">
        <v>16965</v>
      </c>
      <c r="J18" t="n">
        <v>15663</v>
      </c>
      <c r="K18" t="n">
        <v>14717</v>
      </c>
      <c r="L18" t="n">
        <v>12206</v>
      </c>
      <c r="M18" t="n">
        <v>11680</v>
      </c>
      <c r="N18" t="n">
        <v>11988</v>
      </c>
      <c r="O18" t="n">
        <v>12266</v>
      </c>
      <c r="P18" t="n">
        <v>12859</v>
      </c>
      <c r="Q18" t="n">
        <v>10364</v>
      </c>
      <c r="R18" t="n">
        <v>9506</v>
      </c>
      <c r="S18" t="n">
        <v>7518</v>
      </c>
      <c r="T18" t="n">
        <v>6339</v>
      </c>
      <c r="U18" t="n">
        <v>6677</v>
      </c>
      <c r="V18" t="n">
        <v>7975</v>
      </c>
      <c r="W18" t="n">
        <v>5957</v>
      </c>
      <c r="X18" t="n">
        <v>7162</v>
      </c>
      <c r="Y18" t="n">
        <v>5772</v>
      </c>
      <c r="Z18" t="n">
        <v>7224</v>
      </c>
      <c r="AA18" t="n">
        <v>7378</v>
      </c>
      <c r="AB18" t="n">
        <v>8360</v>
      </c>
      <c r="AC18" t="n">
        <v>11476</v>
      </c>
      <c r="AD18" t="n">
        <v>12271</v>
      </c>
      <c r="AE18" t="n">
        <v>10596</v>
      </c>
      <c r="AF18" t="n">
        <v>14010</v>
      </c>
    </row>
    <row r="19">
      <c r="A19" t="s">
        <v>24</v>
      </c>
      <c r="B19" t="s">
        <v>195</v>
      </c>
      <c r="C19" t="s">
        <v>131</v>
      </c>
      <c r="D19" t="s">
        <v>196</v>
      </c>
      <c r="E19" t="s">
        <v>132</v>
      </c>
      <c r="F19" t="n">
        <v>50412</v>
      </c>
      <c r="G19" t="n">
        <v>50515</v>
      </c>
      <c r="H19" t="n">
        <v>50122</v>
      </c>
      <c r="I19" t="n">
        <v>49978</v>
      </c>
      <c r="J19" t="n">
        <v>52221</v>
      </c>
      <c r="K19" t="n">
        <v>48137</v>
      </c>
      <c r="L19" t="n">
        <v>48273</v>
      </c>
      <c r="M19" t="n">
        <v>47372</v>
      </c>
      <c r="N19" t="n">
        <v>50867</v>
      </c>
      <c r="O19" t="n">
        <v>47397</v>
      </c>
      <c r="P19" t="n">
        <v>40318</v>
      </c>
      <c r="Q19" t="n">
        <v>42039</v>
      </c>
      <c r="R19" t="n">
        <v>39072</v>
      </c>
      <c r="S19" t="n">
        <v>35194</v>
      </c>
      <c r="T19" t="n">
        <v>30775</v>
      </c>
      <c r="U19" t="n">
        <v>30216</v>
      </c>
      <c r="V19" t="n">
        <v>27621</v>
      </c>
      <c r="W19" t="n">
        <v>24609</v>
      </c>
      <c r="X19" t="n">
        <v>21269</v>
      </c>
      <c r="Y19" t="n">
        <v>23131</v>
      </c>
      <c r="Z19" t="n">
        <v>28538</v>
      </c>
      <c r="AA19" t="n">
        <v>31494</v>
      </c>
      <c r="AB19" t="n">
        <v>65665</v>
      </c>
      <c r="AC19" t="n">
        <v>96130</v>
      </c>
      <c r="AD19" t="n">
        <v>109949</v>
      </c>
      <c r="AE19" t="n">
        <v>99650</v>
      </c>
      <c r="AF19" t="n">
        <v>109862</v>
      </c>
    </row>
    <row r="20">
      <c r="A20" t="s">
        <v>24</v>
      </c>
      <c r="B20" t="s">
        <v>197</v>
      </c>
      <c r="C20" t="s">
        <v>131</v>
      </c>
      <c r="D20" t="s">
        <v>198</v>
      </c>
      <c r="E20" t="s">
        <v>132</v>
      </c>
      <c r="F20" t="n">
        <v>20745</v>
      </c>
      <c r="G20" t="n">
        <v>20847</v>
      </c>
      <c r="H20" t="n">
        <v>21015</v>
      </c>
      <c r="I20" t="n">
        <v>20297</v>
      </c>
      <c r="J20" t="n">
        <v>20392</v>
      </c>
      <c r="K20" t="n">
        <v>18142</v>
      </c>
      <c r="L20" t="n">
        <v>20472</v>
      </c>
      <c r="M20" t="n">
        <v>21009</v>
      </c>
      <c r="N20" t="n">
        <v>22849</v>
      </c>
      <c r="O20" t="n">
        <v>23945</v>
      </c>
      <c r="P20" t="n">
        <v>21609</v>
      </c>
      <c r="Q20" t="n">
        <v>19891</v>
      </c>
      <c r="R20" t="n">
        <v>19978</v>
      </c>
      <c r="S20" t="n">
        <v>20690</v>
      </c>
      <c r="T20" t="n">
        <v>21695</v>
      </c>
      <c r="U20" t="n">
        <v>21301</v>
      </c>
      <c r="V20" t="n">
        <v>17626</v>
      </c>
      <c r="W20" t="n">
        <v>16865</v>
      </c>
      <c r="X20" t="n">
        <v>17117</v>
      </c>
      <c r="Y20" t="n">
        <v>17554</v>
      </c>
      <c r="Z20" t="n">
        <v>16639</v>
      </c>
      <c r="AA20" t="n">
        <v>21985</v>
      </c>
      <c r="AB20" t="n">
        <v>25672</v>
      </c>
      <c r="AC20" t="n">
        <v>24057</v>
      </c>
      <c r="AD20" t="n">
        <v>25695</v>
      </c>
      <c r="AE20" t="n">
        <v>22555</v>
      </c>
      <c r="AF20" t="n">
        <v>24180</v>
      </c>
    </row>
    <row r="21">
      <c r="A21" t="s">
        <v>24</v>
      </c>
      <c r="B21" t="s">
        <v>199</v>
      </c>
      <c r="C21" t="s">
        <v>131</v>
      </c>
      <c r="D21" t="s">
        <v>200</v>
      </c>
      <c r="E21" t="s">
        <v>132</v>
      </c>
      <c r="F21" t="n">
        <v>27322</v>
      </c>
      <c r="G21" t="n">
        <v>27752</v>
      </c>
      <c r="H21" t="n">
        <v>28317</v>
      </c>
      <c r="I21" t="n">
        <v>27916</v>
      </c>
      <c r="J21" t="n">
        <v>29227</v>
      </c>
      <c r="K21" t="n">
        <v>29099</v>
      </c>
      <c r="L21" t="n">
        <v>31603</v>
      </c>
      <c r="M21" t="n">
        <v>32999</v>
      </c>
      <c r="N21" t="n">
        <v>34442</v>
      </c>
      <c r="O21" t="n">
        <v>38334</v>
      </c>
      <c r="P21" t="n">
        <v>39988</v>
      </c>
      <c r="Q21" t="n">
        <v>44625</v>
      </c>
      <c r="R21" t="n">
        <v>46686</v>
      </c>
      <c r="S21" t="n">
        <v>44549</v>
      </c>
      <c r="T21" t="n">
        <v>41930</v>
      </c>
      <c r="U21" t="n">
        <v>42198</v>
      </c>
      <c r="V21" t="n">
        <v>37857</v>
      </c>
      <c r="W21" t="n">
        <v>31315</v>
      </c>
      <c r="X21" t="n">
        <v>36125</v>
      </c>
      <c r="Y21" t="n">
        <v>38775</v>
      </c>
      <c r="Z21" t="n">
        <v>36146</v>
      </c>
      <c r="AA21" t="n">
        <v>38629</v>
      </c>
      <c r="AB21" t="n">
        <v>45625</v>
      </c>
      <c r="AC21" t="n">
        <v>45824</v>
      </c>
      <c r="AD21" t="n">
        <v>48705</v>
      </c>
      <c r="AE21" t="n">
        <v>45002</v>
      </c>
      <c r="AF21" t="n">
        <v>45838</v>
      </c>
    </row>
    <row r="22">
      <c r="A22" t="s">
        <v>24</v>
      </c>
      <c r="B22" t="s">
        <v>201</v>
      </c>
      <c r="C22" t="s">
        <v>131</v>
      </c>
      <c r="D22" t="s">
        <v>202</v>
      </c>
      <c r="E22" t="s">
        <v>132</v>
      </c>
      <c r="F22" t="n">
        <v>6577</v>
      </c>
      <c r="G22" t="n">
        <v>6905</v>
      </c>
      <c r="H22" t="n">
        <v>7302</v>
      </c>
      <c r="I22" t="n">
        <v>7619</v>
      </c>
      <c r="J22" t="n">
        <v>8835</v>
      </c>
      <c r="K22" t="n">
        <v>10957</v>
      </c>
      <c r="L22" t="n">
        <v>11131</v>
      </c>
      <c r="M22" t="n">
        <v>11990</v>
      </c>
      <c r="N22" t="n">
        <v>11593</v>
      </c>
      <c r="O22" t="n">
        <v>14389</v>
      </c>
      <c r="P22" t="n">
        <v>18379</v>
      </c>
      <c r="Q22" t="n">
        <v>24734</v>
      </c>
      <c r="R22" t="n">
        <v>26708</v>
      </c>
      <c r="S22" t="n">
        <v>23859</v>
      </c>
      <c r="T22" t="n">
        <v>20235</v>
      </c>
      <c r="U22" t="n">
        <v>20897</v>
      </c>
      <c r="V22" t="n">
        <v>20231</v>
      </c>
      <c r="W22" t="n">
        <v>14450</v>
      </c>
      <c r="X22" t="n">
        <v>19008</v>
      </c>
      <c r="Y22" t="n">
        <v>21221</v>
      </c>
      <c r="Z22" t="n">
        <v>19507</v>
      </c>
      <c r="AA22" t="n">
        <v>16644</v>
      </c>
      <c r="AB22" t="n">
        <v>19953</v>
      </c>
      <c r="AC22" t="n">
        <v>21767</v>
      </c>
      <c r="AD22" t="n">
        <v>23010</v>
      </c>
      <c r="AE22" t="n">
        <v>22447</v>
      </c>
      <c r="AF22" t="n">
        <v>21658</v>
      </c>
    </row>
    <row r="23">
      <c r="A23" t="s">
        <v>24</v>
      </c>
      <c r="B23" t="s">
        <v>203</v>
      </c>
      <c r="C23" t="s">
        <v>131</v>
      </c>
      <c r="D23" t="s">
        <v>204</v>
      </c>
      <c r="E23" t="s">
        <v>132</v>
      </c>
      <c r="F23" t="n">
        <v>121531</v>
      </c>
      <c r="G23" t="n">
        <v>130222</v>
      </c>
      <c r="H23" t="n">
        <v>145875</v>
      </c>
      <c r="I23" t="n">
        <v>161777</v>
      </c>
      <c r="J23" t="n">
        <v>184343</v>
      </c>
      <c r="K23" t="n">
        <v>212724</v>
      </c>
      <c r="L23" t="n">
        <v>224561</v>
      </c>
      <c r="M23" t="n">
        <v>222985</v>
      </c>
      <c r="N23" t="n">
        <v>229986</v>
      </c>
      <c r="O23" t="n">
        <v>258222</v>
      </c>
      <c r="P23" t="n">
        <v>303621</v>
      </c>
      <c r="Q23" t="n">
        <v>336090</v>
      </c>
      <c r="R23" t="n">
        <v>338732</v>
      </c>
      <c r="S23" t="n">
        <v>270838</v>
      </c>
      <c r="T23" t="n">
        <v>152661</v>
      </c>
      <c r="U23" t="n">
        <v>106269</v>
      </c>
      <c r="V23" t="n">
        <v>98842</v>
      </c>
      <c r="W23" t="n">
        <v>89297</v>
      </c>
      <c r="X23" t="n">
        <v>91431</v>
      </c>
      <c r="Y23" t="n">
        <v>103064</v>
      </c>
      <c r="Z23" t="n">
        <v>122086</v>
      </c>
      <c r="AA23" t="n">
        <v>144104</v>
      </c>
      <c r="AB23" t="n">
        <v>162382</v>
      </c>
      <c r="AC23" t="n">
        <v>184832</v>
      </c>
      <c r="AD23" t="n">
        <v>192607</v>
      </c>
      <c r="AE23" t="n">
        <v>162700</v>
      </c>
      <c r="AF23" t="n">
        <v>176615</v>
      </c>
    </row>
    <row r="24">
      <c r="A24" t="s">
        <v>24</v>
      </c>
      <c r="B24" t="s">
        <v>205</v>
      </c>
      <c r="C24" t="s">
        <v>131</v>
      </c>
      <c r="D24" t="s">
        <v>206</v>
      </c>
      <c r="E24" t="s">
        <v>132</v>
      </c>
      <c r="F24" t="n">
        <v>321859</v>
      </c>
      <c r="G24" t="n">
        <v>318822</v>
      </c>
      <c r="H24" t="n">
        <v>313875</v>
      </c>
      <c r="I24" t="n">
        <v>316921</v>
      </c>
      <c r="J24" t="n">
        <v>336999</v>
      </c>
      <c r="K24" t="n">
        <v>355750</v>
      </c>
      <c r="L24" t="n">
        <v>362431</v>
      </c>
      <c r="M24" t="n">
        <v>369161</v>
      </c>
      <c r="N24" t="n">
        <v>371155</v>
      </c>
      <c r="O24" t="n">
        <v>379325</v>
      </c>
      <c r="P24" t="n">
        <v>408184</v>
      </c>
      <c r="Q24" t="n">
        <v>427677</v>
      </c>
      <c r="R24" t="n">
        <v>445620</v>
      </c>
      <c r="S24" t="n">
        <v>451667</v>
      </c>
      <c r="T24" t="n">
        <v>377944</v>
      </c>
      <c r="U24" t="n">
        <v>366105</v>
      </c>
      <c r="V24" t="n">
        <v>361682</v>
      </c>
      <c r="W24" t="n">
        <v>361963</v>
      </c>
      <c r="X24" t="n">
        <v>372829</v>
      </c>
      <c r="Y24" t="n">
        <v>378084</v>
      </c>
      <c r="Z24" t="n">
        <v>385724</v>
      </c>
      <c r="AA24" t="n">
        <v>405428</v>
      </c>
      <c r="AB24" t="n">
        <v>425334</v>
      </c>
      <c r="AC24" t="n">
        <v>424647</v>
      </c>
      <c r="AD24" t="n">
        <v>424192</v>
      </c>
      <c r="AE24" t="n">
        <v>403409</v>
      </c>
      <c r="AF24" t="n">
        <v>403554</v>
      </c>
    </row>
    <row r="25">
      <c r="A25" t="s">
        <v>24</v>
      </c>
      <c r="B25" t="s">
        <v>207</v>
      </c>
      <c r="C25" t="s">
        <v>131</v>
      </c>
      <c r="D25" t="s">
        <v>208</v>
      </c>
      <c r="E25" t="s">
        <v>132</v>
      </c>
      <c r="F25" t="n">
        <v>46432</v>
      </c>
      <c r="G25" t="n">
        <v>45131</v>
      </c>
      <c r="H25" t="n">
        <v>42743</v>
      </c>
      <c r="I25" t="n">
        <v>40863</v>
      </c>
      <c r="J25" t="n">
        <v>45330</v>
      </c>
      <c r="K25" t="n">
        <v>50116</v>
      </c>
      <c r="L25" t="n">
        <v>48493</v>
      </c>
      <c r="M25" t="n">
        <v>47445</v>
      </c>
      <c r="N25" t="n">
        <v>48424</v>
      </c>
      <c r="O25" t="n">
        <v>51164</v>
      </c>
      <c r="P25" t="n">
        <v>55720</v>
      </c>
      <c r="Q25" t="n">
        <v>60176</v>
      </c>
      <c r="R25" t="n">
        <v>61280</v>
      </c>
      <c r="S25" t="n">
        <v>61771</v>
      </c>
      <c r="T25" t="n">
        <v>45018</v>
      </c>
      <c r="U25" t="n">
        <v>43819</v>
      </c>
      <c r="V25" t="n">
        <v>44218</v>
      </c>
      <c r="W25" t="n">
        <v>42650</v>
      </c>
      <c r="X25" t="n">
        <v>41734</v>
      </c>
      <c r="Y25" t="n">
        <v>48457</v>
      </c>
      <c r="Z25" t="n">
        <v>54726</v>
      </c>
      <c r="AA25" t="n">
        <v>56715</v>
      </c>
      <c r="AB25" t="n">
        <v>48999</v>
      </c>
      <c r="AC25" t="n">
        <v>46863</v>
      </c>
      <c r="AD25" t="n">
        <v>54086</v>
      </c>
      <c r="AE25" t="n">
        <v>38456</v>
      </c>
      <c r="AF25" t="n">
        <v>38982</v>
      </c>
    </row>
    <row r="26">
      <c r="A26" t="s">
        <v>24</v>
      </c>
      <c r="B26" t="s">
        <v>209</v>
      </c>
      <c r="C26" t="s">
        <v>131</v>
      </c>
      <c r="D26" t="s">
        <v>210</v>
      </c>
      <c r="E26" t="s">
        <v>132</v>
      </c>
      <c r="F26" t="n">
        <v>84173</v>
      </c>
      <c r="G26" t="n">
        <v>82300</v>
      </c>
      <c r="H26" t="n">
        <v>79495</v>
      </c>
      <c r="I26" t="n">
        <v>79318</v>
      </c>
      <c r="J26" t="n">
        <v>77156</v>
      </c>
      <c r="K26" t="n">
        <v>82746</v>
      </c>
      <c r="L26" t="n">
        <v>83274</v>
      </c>
      <c r="M26" t="n">
        <v>80229</v>
      </c>
      <c r="N26" t="n">
        <v>72708</v>
      </c>
      <c r="O26" t="n">
        <v>73485</v>
      </c>
      <c r="P26" t="n">
        <v>88365</v>
      </c>
      <c r="Q26" t="n">
        <v>95557</v>
      </c>
      <c r="R26" t="n">
        <v>99797</v>
      </c>
      <c r="S26" t="n">
        <v>103226</v>
      </c>
      <c r="T26" t="n">
        <v>79904</v>
      </c>
      <c r="U26" t="n">
        <v>79401</v>
      </c>
      <c r="V26" t="n">
        <v>75631</v>
      </c>
      <c r="W26" t="n">
        <v>79241</v>
      </c>
      <c r="X26" t="n">
        <v>91111</v>
      </c>
      <c r="Y26" t="n">
        <v>81815</v>
      </c>
      <c r="Z26" t="n">
        <v>76249</v>
      </c>
      <c r="AA26" t="n">
        <v>80984</v>
      </c>
      <c r="AB26" t="n">
        <v>91221</v>
      </c>
      <c r="AC26" t="n">
        <v>80778</v>
      </c>
      <c r="AD26" t="n">
        <v>80557</v>
      </c>
      <c r="AE26" t="n">
        <v>89098</v>
      </c>
      <c r="AF26" t="n">
        <v>91148</v>
      </c>
    </row>
    <row r="27">
      <c r="A27" t="s">
        <v>24</v>
      </c>
      <c r="B27" t="s">
        <v>211</v>
      </c>
      <c r="C27" t="s">
        <v>131</v>
      </c>
      <c r="D27" t="s">
        <v>212</v>
      </c>
      <c r="E27" t="s">
        <v>132</v>
      </c>
      <c r="F27" t="n">
        <v>191254</v>
      </c>
      <c r="G27" t="n">
        <v>191391</v>
      </c>
      <c r="H27" t="n">
        <v>191637</v>
      </c>
      <c r="I27" t="n">
        <v>196740</v>
      </c>
      <c r="J27" t="n">
        <v>214513</v>
      </c>
      <c r="K27" t="n">
        <v>222888</v>
      </c>
      <c r="L27" t="n">
        <v>230664</v>
      </c>
      <c r="M27" t="n">
        <v>241487</v>
      </c>
      <c r="N27" t="n">
        <v>250023</v>
      </c>
      <c r="O27" t="n">
        <v>254676</v>
      </c>
      <c r="P27" t="n">
        <v>264099</v>
      </c>
      <c r="Q27" t="n">
        <v>271944</v>
      </c>
      <c r="R27" t="n">
        <v>284543</v>
      </c>
      <c r="S27" t="n">
        <v>286670</v>
      </c>
      <c r="T27" t="n">
        <v>253022</v>
      </c>
      <c r="U27" t="n">
        <v>242885</v>
      </c>
      <c r="V27" t="n">
        <v>241833</v>
      </c>
      <c r="W27" t="n">
        <v>240072</v>
      </c>
      <c r="X27" t="n">
        <v>239984</v>
      </c>
      <c r="Y27" t="n">
        <v>247812</v>
      </c>
      <c r="Z27" t="n">
        <v>254749</v>
      </c>
      <c r="AA27" t="n">
        <v>267729</v>
      </c>
      <c r="AB27" t="n">
        <v>285114</v>
      </c>
      <c r="AC27" t="n">
        <v>297006</v>
      </c>
      <c r="AD27" t="n">
        <v>289549</v>
      </c>
      <c r="AE27" t="n">
        <v>275855</v>
      </c>
      <c r="AF27" t="n">
        <v>273424</v>
      </c>
    </row>
    <row r="28">
      <c r="A28" t="s">
        <v>24</v>
      </c>
      <c r="B28" t="s">
        <v>213</v>
      </c>
      <c r="C28" t="s">
        <v>131</v>
      </c>
      <c r="D28" t="s">
        <v>214</v>
      </c>
      <c r="E28" t="s">
        <v>132</v>
      </c>
      <c r="F28" t="n">
        <v>111995</v>
      </c>
      <c r="G28" t="n">
        <v>109663</v>
      </c>
      <c r="H28" t="n">
        <v>105803</v>
      </c>
      <c r="I28" t="n">
        <v>103492</v>
      </c>
      <c r="J28" t="n">
        <v>117461</v>
      </c>
      <c r="K28" t="n">
        <v>124146</v>
      </c>
      <c r="L28" t="n">
        <v>130207</v>
      </c>
      <c r="M28" t="n">
        <v>131806</v>
      </c>
      <c r="N28" t="n">
        <v>131712</v>
      </c>
      <c r="O28" t="n">
        <v>131357</v>
      </c>
      <c r="P28" t="n">
        <v>131056</v>
      </c>
      <c r="Q28" t="n">
        <v>129800</v>
      </c>
      <c r="R28" t="n">
        <v>129691</v>
      </c>
      <c r="S28" t="n">
        <v>125424</v>
      </c>
      <c r="T28" t="n">
        <v>120055</v>
      </c>
      <c r="U28" t="n">
        <v>116963</v>
      </c>
      <c r="V28" t="n">
        <v>117105</v>
      </c>
      <c r="W28" t="n">
        <v>110420</v>
      </c>
      <c r="X28" t="n">
        <v>111910</v>
      </c>
      <c r="Y28" t="n">
        <v>115067</v>
      </c>
      <c r="Z28" t="n">
        <v>120863</v>
      </c>
      <c r="AA28" t="n">
        <v>131745</v>
      </c>
      <c r="AB28" t="n">
        <v>135253</v>
      </c>
      <c r="AC28" t="n">
        <v>147873</v>
      </c>
      <c r="AD28" t="n">
        <v>161644</v>
      </c>
      <c r="AE28" t="n">
        <v>140401</v>
      </c>
      <c r="AF28" t="n">
        <v>143327</v>
      </c>
    </row>
    <row r="29">
      <c r="A29" t="s">
        <v>24</v>
      </c>
      <c r="B29" t="s">
        <v>215</v>
      </c>
      <c r="C29" t="s">
        <v>131</v>
      </c>
      <c r="D29" t="s">
        <v>216</v>
      </c>
      <c r="E29" t="s">
        <v>132</v>
      </c>
      <c r="F29" t="n">
        <v>51106</v>
      </c>
      <c r="G29" t="n">
        <v>49129</v>
      </c>
      <c r="H29" t="n">
        <v>46556</v>
      </c>
      <c r="I29" t="n">
        <v>45490</v>
      </c>
      <c r="J29" t="n">
        <v>54365</v>
      </c>
      <c r="K29" t="n">
        <v>54943</v>
      </c>
      <c r="L29" t="n">
        <v>60763</v>
      </c>
      <c r="M29" t="n">
        <v>63375</v>
      </c>
      <c r="N29" t="n">
        <v>58837</v>
      </c>
      <c r="O29" t="n">
        <v>67608</v>
      </c>
      <c r="P29" t="n">
        <v>66642</v>
      </c>
      <c r="Q29" t="n">
        <v>59511</v>
      </c>
      <c r="R29" t="n">
        <v>60484</v>
      </c>
      <c r="S29" t="n">
        <v>60558</v>
      </c>
      <c r="T29" t="n">
        <v>53423</v>
      </c>
      <c r="U29" t="n">
        <v>50794</v>
      </c>
      <c r="V29" t="n">
        <v>51580</v>
      </c>
      <c r="W29" t="n">
        <v>45665</v>
      </c>
      <c r="X29" t="n">
        <v>46275</v>
      </c>
      <c r="Y29" t="n">
        <v>49086</v>
      </c>
      <c r="Z29" t="n">
        <v>52325</v>
      </c>
      <c r="AA29" t="n">
        <v>60963</v>
      </c>
      <c r="AB29" t="n">
        <v>62595</v>
      </c>
      <c r="AC29" t="n">
        <v>65914</v>
      </c>
      <c r="AD29" t="n">
        <v>64245</v>
      </c>
      <c r="AE29" t="n">
        <v>58794</v>
      </c>
      <c r="AF29" t="n">
        <v>57057</v>
      </c>
    </row>
    <row r="30">
      <c r="A30" t="s">
        <v>24</v>
      </c>
      <c r="B30" t="s">
        <v>217</v>
      </c>
      <c r="C30" t="s">
        <v>131</v>
      </c>
      <c r="D30" t="s">
        <v>218</v>
      </c>
      <c r="E30" t="s">
        <v>132</v>
      </c>
      <c r="F30" t="n">
        <v>5993</v>
      </c>
      <c r="G30" t="n">
        <v>5993</v>
      </c>
      <c r="H30" t="n">
        <v>5993</v>
      </c>
      <c r="I30" t="n">
        <v>5523</v>
      </c>
      <c r="J30" t="n">
        <v>5930</v>
      </c>
      <c r="K30" t="n">
        <v>5966</v>
      </c>
      <c r="L30" t="n">
        <v>6115</v>
      </c>
      <c r="M30" t="n">
        <v>6275</v>
      </c>
      <c r="N30" t="n">
        <v>6099</v>
      </c>
      <c r="O30" t="n">
        <v>7946</v>
      </c>
      <c r="P30" t="n">
        <v>6106</v>
      </c>
      <c r="Q30" t="n">
        <v>4397</v>
      </c>
      <c r="R30" t="n">
        <v>4220</v>
      </c>
      <c r="S30" t="n">
        <v>3188</v>
      </c>
      <c r="T30" t="n">
        <v>3637</v>
      </c>
      <c r="U30" t="n">
        <v>4102</v>
      </c>
      <c r="V30" t="n">
        <v>2957</v>
      </c>
      <c r="W30" t="n">
        <v>1906</v>
      </c>
      <c r="X30" t="n">
        <v>2691</v>
      </c>
      <c r="Y30" t="n">
        <v>3443</v>
      </c>
      <c r="Z30" t="n">
        <v>2978</v>
      </c>
      <c r="AA30" t="n">
        <v>3106</v>
      </c>
      <c r="AB30" t="n">
        <v>4286</v>
      </c>
      <c r="AC30" t="n">
        <v>4249</v>
      </c>
      <c r="AD30" t="n">
        <v>3126</v>
      </c>
      <c r="AE30" t="n">
        <v>3723</v>
      </c>
      <c r="AF30" t="n">
        <v>3809</v>
      </c>
    </row>
    <row r="31">
      <c r="A31" t="s">
        <v>24</v>
      </c>
      <c r="B31" t="s">
        <v>219</v>
      </c>
      <c r="C31" t="s">
        <v>131</v>
      </c>
      <c r="D31" t="s">
        <v>220</v>
      </c>
      <c r="E31" t="s">
        <v>132</v>
      </c>
      <c r="F31" t="n">
        <v>14146</v>
      </c>
      <c r="G31" t="n">
        <v>13958</v>
      </c>
      <c r="H31" t="n">
        <v>13160</v>
      </c>
      <c r="I31" t="n">
        <v>13462</v>
      </c>
      <c r="J31" t="n">
        <v>15080</v>
      </c>
      <c r="K31" t="n">
        <v>15980</v>
      </c>
      <c r="L31" t="n">
        <v>14415</v>
      </c>
      <c r="M31" t="n">
        <v>14590</v>
      </c>
      <c r="N31" t="n">
        <v>14234</v>
      </c>
      <c r="O31" t="n">
        <v>12662</v>
      </c>
      <c r="P31" t="n">
        <v>10668</v>
      </c>
      <c r="Q31" t="n">
        <v>14939</v>
      </c>
      <c r="R31" t="n">
        <v>12926</v>
      </c>
      <c r="S31" t="n">
        <v>12371</v>
      </c>
      <c r="T31" t="n">
        <v>14674</v>
      </c>
      <c r="U31" t="n">
        <v>15705</v>
      </c>
      <c r="V31" t="n">
        <v>13606</v>
      </c>
      <c r="W31" t="n">
        <v>14597</v>
      </c>
      <c r="X31" t="n">
        <v>15632</v>
      </c>
      <c r="Y31" t="n">
        <v>18615</v>
      </c>
      <c r="Z31" t="n">
        <v>17918</v>
      </c>
      <c r="AA31" t="n">
        <v>14359</v>
      </c>
      <c r="AB31" t="n">
        <v>12528</v>
      </c>
      <c r="AC31" t="n">
        <v>11909</v>
      </c>
      <c r="AD31" t="n">
        <v>14109</v>
      </c>
      <c r="AE31" t="n">
        <v>11637</v>
      </c>
      <c r="AF31" t="n">
        <v>10356</v>
      </c>
    </row>
    <row r="32">
      <c r="A32" t="s">
        <v>24</v>
      </c>
      <c r="B32" t="s">
        <v>221</v>
      </c>
      <c r="C32" t="s">
        <v>131</v>
      </c>
      <c r="D32" t="s">
        <v>222</v>
      </c>
      <c r="E32" t="s">
        <v>132</v>
      </c>
      <c r="F32" t="n">
        <v>15387</v>
      </c>
      <c r="G32" t="n">
        <v>15387</v>
      </c>
      <c r="H32" t="n">
        <v>15387</v>
      </c>
      <c r="I32" t="n">
        <v>15236</v>
      </c>
      <c r="J32" t="n">
        <v>17774</v>
      </c>
      <c r="K32" t="n">
        <v>21202</v>
      </c>
      <c r="L32" t="n">
        <v>21674</v>
      </c>
      <c r="M32" t="n">
        <v>18402</v>
      </c>
      <c r="N32" t="n">
        <v>25519</v>
      </c>
      <c r="O32" t="n">
        <v>21449</v>
      </c>
      <c r="P32" t="n">
        <v>24586</v>
      </c>
      <c r="Q32" t="n">
        <v>23696</v>
      </c>
      <c r="R32" t="n">
        <v>25756</v>
      </c>
      <c r="S32" t="n">
        <v>23546</v>
      </c>
      <c r="T32" t="n">
        <v>23005</v>
      </c>
      <c r="U32" t="n">
        <v>22924</v>
      </c>
      <c r="V32" t="n">
        <v>23104</v>
      </c>
      <c r="W32" t="n">
        <v>23674</v>
      </c>
      <c r="X32" t="n">
        <v>23298</v>
      </c>
      <c r="Y32" t="n">
        <v>22053</v>
      </c>
      <c r="Z32" t="n">
        <v>25262</v>
      </c>
      <c r="AA32" t="n">
        <v>31057</v>
      </c>
      <c r="AB32" t="n">
        <v>33595</v>
      </c>
      <c r="AC32" t="n">
        <v>38188</v>
      </c>
      <c r="AD32" t="n">
        <v>52071</v>
      </c>
      <c r="AE32" t="n">
        <v>37853</v>
      </c>
      <c r="AF32" t="n">
        <v>40614</v>
      </c>
    </row>
    <row r="33">
      <c r="A33" t="s">
        <v>24</v>
      </c>
      <c r="B33" t="s">
        <v>223</v>
      </c>
      <c r="C33" t="s">
        <v>131</v>
      </c>
      <c r="D33" t="s">
        <v>224</v>
      </c>
      <c r="E33" t="s">
        <v>132</v>
      </c>
      <c r="F33" t="n">
        <v>25363</v>
      </c>
      <c r="G33" t="n">
        <v>25196</v>
      </c>
      <c r="H33" t="n">
        <v>24707</v>
      </c>
      <c r="I33" t="n">
        <v>23781</v>
      </c>
      <c r="J33" t="n">
        <v>24312</v>
      </c>
      <c r="K33" t="n">
        <v>26055</v>
      </c>
      <c r="L33" t="n">
        <v>27240</v>
      </c>
      <c r="M33" t="n">
        <v>29164</v>
      </c>
      <c r="N33" t="n">
        <v>27023</v>
      </c>
      <c r="O33" t="n">
        <v>21692</v>
      </c>
      <c r="P33" t="n">
        <v>23054</v>
      </c>
      <c r="Q33" t="n">
        <v>27257</v>
      </c>
      <c r="R33" t="n">
        <v>26305</v>
      </c>
      <c r="S33" t="n">
        <v>25761</v>
      </c>
      <c r="T33" t="n">
        <v>25316</v>
      </c>
      <c r="U33" t="n">
        <v>23438</v>
      </c>
      <c r="V33" t="n">
        <v>25858</v>
      </c>
      <c r="W33" t="n">
        <v>24578</v>
      </c>
      <c r="X33" t="n">
        <v>24014</v>
      </c>
      <c r="Y33" t="n">
        <v>21870</v>
      </c>
      <c r="Z33" t="n">
        <v>22380</v>
      </c>
      <c r="AA33" t="n">
        <v>22260</v>
      </c>
      <c r="AB33" t="n">
        <v>22249</v>
      </c>
      <c r="AC33" t="n">
        <v>27613</v>
      </c>
      <c r="AD33" t="n">
        <v>28093</v>
      </c>
      <c r="AE33" t="n">
        <v>28394</v>
      </c>
      <c r="AF33" t="n">
        <v>31491</v>
      </c>
    </row>
    <row r="34">
      <c r="A34" t="s">
        <v>24</v>
      </c>
      <c r="B34" t="s">
        <v>225</v>
      </c>
      <c r="C34" t="s">
        <v>131</v>
      </c>
      <c r="D34" t="s">
        <v>226</v>
      </c>
      <c r="E34" t="s">
        <v>132</v>
      </c>
      <c r="F34" t="n">
        <v>139431</v>
      </c>
      <c r="G34" t="n">
        <v>139639</v>
      </c>
      <c r="H34" t="n">
        <v>139977</v>
      </c>
      <c r="I34" t="n">
        <v>143160</v>
      </c>
      <c r="J34" t="n">
        <v>149069</v>
      </c>
      <c r="K34" t="n">
        <v>157476</v>
      </c>
      <c r="L34" t="n">
        <v>157557</v>
      </c>
      <c r="M34" t="n">
        <v>158870</v>
      </c>
      <c r="N34" t="n">
        <v>165149</v>
      </c>
      <c r="O34" t="n">
        <v>156730</v>
      </c>
      <c r="P34" t="n">
        <v>161441</v>
      </c>
      <c r="Q34" t="n">
        <v>177934</v>
      </c>
      <c r="R34" t="n">
        <v>197083</v>
      </c>
      <c r="S34" t="n">
        <v>182073</v>
      </c>
      <c r="T34" t="n">
        <v>170753</v>
      </c>
      <c r="U34" t="n">
        <v>161287</v>
      </c>
      <c r="V34" t="n">
        <v>147135</v>
      </c>
      <c r="W34" t="n">
        <v>155346</v>
      </c>
      <c r="X34" t="n">
        <v>175174</v>
      </c>
      <c r="Y34" t="n">
        <v>188819</v>
      </c>
      <c r="Z34" t="n">
        <v>195556</v>
      </c>
      <c r="AA34" t="n">
        <v>206679</v>
      </c>
      <c r="AB34" t="n">
        <v>223387</v>
      </c>
      <c r="AC34" t="n">
        <v>240000</v>
      </c>
      <c r="AD34" t="n">
        <v>236869</v>
      </c>
      <c r="AE34" t="n">
        <v>133860</v>
      </c>
      <c r="AF34" t="n">
        <v>157877</v>
      </c>
    </row>
    <row r="35">
      <c r="A35" t="s">
        <v>24</v>
      </c>
      <c r="B35" t="s">
        <v>227</v>
      </c>
      <c r="C35" t="s">
        <v>131</v>
      </c>
      <c r="D35" t="s">
        <v>228</v>
      </c>
      <c r="E35" t="s">
        <v>132</v>
      </c>
      <c r="F35" t="n">
        <v>92691</v>
      </c>
      <c r="G35" t="n">
        <v>98564</v>
      </c>
      <c r="H35" t="n">
        <v>107627</v>
      </c>
      <c r="I35" t="n">
        <v>115932</v>
      </c>
      <c r="J35" t="n">
        <v>132629</v>
      </c>
      <c r="K35" t="n">
        <v>134133</v>
      </c>
      <c r="L35" t="n">
        <v>135525</v>
      </c>
      <c r="M35" t="n">
        <v>136471</v>
      </c>
      <c r="N35" t="n">
        <v>128760</v>
      </c>
      <c r="O35" t="n">
        <v>123919</v>
      </c>
      <c r="P35" t="n">
        <v>136856</v>
      </c>
      <c r="Q35" t="n">
        <v>139195</v>
      </c>
      <c r="R35" t="n">
        <v>132508</v>
      </c>
      <c r="S35" t="n">
        <v>138879</v>
      </c>
      <c r="T35" t="n">
        <v>140714</v>
      </c>
      <c r="U35" t="n">
        <v>141403</v>
      </c>
      <c r="V35" t="n">
        <v>139280</v>
      </c>
      <c r="W35" t="n">
        <v>149862</v>
      </c>
      <c r="X35" t="n">
        <v>151563</v>
      </c>
      <c r="Y35" t="n">
        <v>158635</v>
      </c>
      <c r="Z35" t="n">
        <v>167143</v>
      </c>
      <c r="AA35" t="n">
        <v>174072</v>
      </c>
      <c r="AB35" t="n">
        <v>188250</v>
      </c>
      <c r="AC35" t="n">
        <v>200451</v>
      </c>
      <c r="AD35" t="n">
        <v>213328</v>
      </c>
      <c r="AE35" t="n">
        <v>225652</v>
      </c>
      <c r="AF35" t="n">
        <v>256076</v>
      </c>
    </row>
    <row r="36">
      <c r="A36" t="s">
        <v>24</v>
      </c>
      <c r="B36" t="s">
        <v>229</v>
      </c>
      <c r="C36" t="s">
        <v>131</v>
      </c>
      <c r="D36" t="s">
        <v>230</v>
      </c>
      <c r="E36" t="s">
        <v>132</v>
      </c>
      <c r="F36" t="n">
        <v>22760</v>
      </c>
      <c r="G36" t="n">
        <v>22749</v>
      </c>
      <c r="H36" t="n">
        <v>22688</v>
      </c>
      <c r="I36" t="n">
        <v>23384</v>
      </c>
      <c r="J36" t="n">
        <v>23374</v>
      </c>
      <c r="K36" t="n">
        <v>21404</v>
      </c>
      <c r="L36" t="n">
        <v>19821</v>
      </c>
      <c r="M36" t="n">
        <v>20402</v>
      </c>
      <c r="N36" t="n">
        <v>21237</v>
      </c>
      <c r="O36" t="n">
        <v>23351</v>
      </c>
      <c r="P36" t="n">
        <v>22526</v>
      </c>
      <c r="Q36" t="n">
        <v>21193</v>
      </c>
      <c r="R36" t="n">
        <v>20289</v>
      </c>
      <c r="S36" t="n">
        <v>21663</v>
      </c>
      <c r="T36" t="n">
        <v>20730</v>
      </c>
      <c r="U36" t="n">
        <v>19934</v>
      </c>
      <c r="V36" t="n">
        <v>19865</v>
      </c>
      <c r="W36" t="n">
        <v>17496</v>
      </c>
      <c r="X36" t="n">
        <v>19520</v>
      </c>
      <c r="Y36" t="n">
        <v>22292</v>
      </c>
      <c r="Z36" t="n">
        <v>18880</v>
      </c>
      <c r="AA36" t="n">
        <v>19356</v>
      </c>
      <c r="AB36" t="n">
        <v>19432</v>
      </c>
      <c r="AC36" t="n">
        <v>21975</v>
      </c>
      <c r="AD36" t="n">
        <v>23924</v>
      </c>
      <c r="AE36" t="n">
        <v>19057</v>
      </c>
      <c r="AF36" t="n">
        <v>23555</v>
      </c>
    </row>
    <row r="37">
      <c r="A37" t="s">
        <v>24</v>
      </c>
      <c r="B37" t="s">
        <v>231</v>
      </c>
      <c r="C37" t="s">
        <v>131</v>
      </c>
      <c r="D37" t="s">
        <v>232</v>
      </c>
      <c r="E37" t="s">
        <v>132</v>
      </c>
      <c r="F37" t="n">
        <v>33967</v>
      </c>
      <c r="G37" t="n">
        <v>33967</v>
      </c>
      <c r="H37" t="n">
        <v>33967</v>
      </c>
      <c r="I37" t="n">
        <v>34945</v>
      </c>
      <c r="J37" t="n">
        <v>40268</v>
      </c>
      <c r="K37" t="n">
        <v>43683</v>
      </c>
      <c r="L37" t="n">
        <v>44335</v>
      </c>
      <c r="M37" t="n">
        <v>41090</v>
      </c>
      <c r="N37" t="n">
        <v>39348</v>
      </c>
      <c r="O37" t="n">
        <v>38392</v>
      </c>
      <c r="P37" t="n">
        <v>42950</v>
      </c>
      <c r="Q37" t="n">
        <v>44404</v>
      </c>
      <c r="R37" t="n">
        <v>41373</v>
      </c>
      <c r="S37" t="n">
        <v>42797</v>
      </c>
      <c r="T37" t="n">
        <v>41843</v>
      </c>
      <c r="U37" t="n">
        <v>39394</v>
      </c>
      <c r="V37" t="n">
        <v>40231</v>
      </c>
      <c r="W37" t="n">
        <v>35583</v>
      </c>
      <c r="X37" t="n">
        <v>34589</v>
      </c>
      <c r="Y37" t="n">
        <v>33763</v>
      </c>
      <c r="Z37" t="n">
        <v>34497</v>
      </c>
      <c r="AA37" t="n">
        <v>29114</v>
      </c>
      <c r="AB37" t="n">
        <v>28036</v>
      </c>
      <c r="AC37" t="n">
        <v>31382</v>
      </c>
      <c r="AD37" t="n">
        <v>33057</v>
      </c>
      <c r="AE37" t="n">
        <v>40187</v>
      </c>
      <c r="AF37" t="n">
        <v>41124</v>
      </c>
    </row>
    <row r="38">
      <c r="A38" t="s">
        <v>24</v>
      </c>
      <c r="B38" t="s">
        <v>233</v>
      </c>
      <c r="C38" t="s">
        <v>131</v>
      </c>
      <c r="D38" t="s">
        <v>234</v>
      </c>
      <c r="E38" t="s">
        <v>132</v>
      </c>
      <c r="F38" t="n">
        <v>35964</v>
      </c>
      <c r="G38" t="n">
        <v>41848</v>
      </c>
      <c r="H38" t="n">
        <v>50972</v>
      </c>
      <c r="I38" t="n">
        <v>57603</v>
      </c>
      <c r="J38" t="n">
        <v>68987</v>
      </c>
      <c r="K38" t="n">
        <v>69046</v>
      </c>
      <c r="L38" t="n">
        <v>71369</v>
      </c>
      <c r="M38" t="n">
        <v>74979</v>
      </c>
      <c r="N38" t="n">
        <v>68175</v>
      </c>
      <c r="O38" t="n">
        <v>62176</v>
      </c>
      <c r="P38" t="n">
        <v>71380</v>
      </c>
      <c r="Q38" t="n">
        <v>73598</v>
      </c>
      <c r="R38" t="n">
        <v>70846</v>
      </c>
      <c r="S38" t="n">
        <v>74419</v>
      </c>
      <c r="T38" t="n">
        <v>78141</v>
      </c>
      <c r="U38" t="n">
        <v>82075</v>
      </c>
      <c r="V38" t="n">
        <v>79184</v>
      </c>
      <c r="W38" t="n">
        <v>96783</v>
      </c>
      <c r="X38" t="n">
        <v>97454</v>
      </c>
      <c r="Y38" t="n">
        <v>102580</v>
      </c>
      <c r="Z38" t="n">
        <v>113766</v>
      </c>
      <c r="AA38" t="n">
        <v>125602</v>
      </c>
      <c r="AB38" t="n">
        <v>140782</v>
      </c>
      <c r="AC38" t="n">
        <v>147094</v>
      </c>
      <c r="AD38" t="n">
        <v>156347</v>
      </c>
      <c r="AE38" t="n">
        <v>166408</v>
      </c>
      <c r="AF38" t="n">
        <v>191397</v>
      </c>
    </row>
    <row r="39">
      <c r="A39" t="s">
        <v>24</v>
      </c>
      <c r="B39" t="s">
        <v>235</v>
      </c>
      <c r="C39" t="s">
        <v>131</v>
      </c>
      <c r="D39" t="s">
        <v>236</v>
      </c>
      <c r="E39" t="s">
        <v>132</v>
      </c>
      <c r="F39" t="n">
        <v>97626</v>
      </c>
      <c r="G39" t="n">
        <v>98456</v>
      </c>
      <c r="H39" t="n">
        <v>99700</v>
      </c>
      <c r="I39" t="n">
        <v>104099</v>
      </c>
      <c r="J39" t="n">
        <v>116502</v>
      </c>
      <c r="K39" t="n">
        <v>126977</v>
      </c>
      <c r="L39" t="n">
        <v>128471</v>
      </c>
      <c r="M39" t="n">
        <v>128560</v>
      </c>
      <c r="N39" t="n">
        <v>137370</v>
      </c>
      <c r="O39" t="n">
        <v>148099</v>
      </c>
      <c r="P39" t="n">
        <v>152922</v>
      </c>
      <c r="Q39" t="n">
        <v>156611</v>
      </c>
      <c r="R39" t="n">
        <v>161872</v>
      </c>
      <c r="S39" t="n">
        <v>167212</v>
      </c>
      <c r="T39" t="n">
        <v>167533</v>
      </c>
      <c r="U39" t="n">
        <v>159929</v>
      </c>
      <c r="V39" t="n">
        <v>156488</v>
      </c>
      <c r="W39" t="n">
        <v>153372</v>
      </c>
      <c r="X39" t="n">
        <v>156736</v>
      </c>
      <c r="Y39" t="n">
        <v>157175</v>
      </c>
      <c r="Z39" t="n">
        <v>157822</v>
      </c>
      <c r="AA39" t="n">
        <v>167942</v>
      </c>
      <c r="AB39" t="n">
        <v>169596</v>
      </c>
      <c r="AC39" t="n">
        <v>164675</v>
      </c>
      <c r="AD39" t="n">
        <v>182247</v>
      </c>
      <c r="AE39" t="n">
        <v>193440</v>
      </c>
      <c r="AF39" t="n">
        <v>200196</v>
      </c>
    </row>
    <row r="40">
      <c r="A40" t="s">
        <v>24</v>
      </c>
      <c r="B40" t="s">
        <v>237</v>
      </c>
      <c r="C40" t="s">
        <v>131</v>
      </c>
      <c r="D40" t="s">
        <v>238</v>
      </c>
      <c r="E40" t="s">
        <v>132</v>
      </c>
      <c r="F40" t="n">
        <v>6562</v>
      </c>
      <c r="G40" t="n">
        <v>6562</v>
      </c>
      <c r="H40" t="n">
        <v>6562</v>
      </c>
      <c r="I40" t="n">
        <v>6892</v>
      </c>
      <c r="J40" t="n">
        <v>7528</v>
      </c>
      <c r="K40" t="n">
        <v>8524</v>
      </c>
      <c r="L40" t="n">
        <v>8733</v>
      </c>
      <c r="M40" t="n">
        <v>9956</v>
      </c>
      <c r="N40" t="n">
        <v>9437</v>
      </c>
      <c r="O40" t="n">
        <v>7298</v>
      </c>
      <c r="P40" t="n">
        <v>9643</v>
      </c>
      <c r="Q40" t="n">
        <v>12855</v>
      </c>
      <c r="R40" t="n">
        <v>14008</v>
      </c>
      <c r="S40" t="n">
        <v>13377</v>
      </c>
      <c r="T40" t="n">
        <v>9955</v>
      </c>
      <c r="U40" t="n">
        <v>10891</v>
      </c>
      <c r="V40" t="n">
        <v>9522</v>
      </c>
      <c r="W40" t="n">
        <v>11263</v>
      </c>
      <c r="X40" t="n">
        <v>9416</v>
      </c>
      <c r="Y40" t="n">
        <v>11879</v>
      </c>
      <c r="Z40" t="n">
        <v>12812</v>
      </c>
      <c r="AA40" t="n">
        <v>12844</v>
      </c>
      <c r="AB40" t="n">
        <v>12802</v>
      </c>
      <c r="AC40" t="n">
        <v>12303</v>
      </c>
      <c r="AD40" t="n">
        <v>12650</v>
      </c>
      <c r="AE40" t="n">
        <v>12801</v>
      </c>
      <c r="AF40" t="n">
        <v>14609</v>
      </c>
    </row>
    <row r="41">
      <c r="A41" t="s">
        <v>24</v>
      </c>
      <c r="B41" t="s">
        <v>239</v>
      </c>
      <c r="C41" t="s">
        <v>131</v>
      </c>
      <c r="D41" t="s">
        <v>240</v>
      </c>
      <c r="E41" t="s">
        <v>132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24</v>
      </c>
      <c r="B42" t="s">
        <v>241</v>
      </c>
      <c r="C42" t="s">
        <v>131</v>
      </c>
      <c r="D42" t="s">
        <v>242</v>
      </c>
      <c r="E42" t="s">
        <v>132</v>
      </c>
      <c r="F42" t="n">
        <v>86345</v>
      </c>
      <c r="G42" t="n">
        <v>89166</v>
      </c>
      <c r="H42" t="n">
        <v>92449</v>
      </c>
      <c r="I42" t="n">
        <v>99206</v>
      </c>
      <c r="J42" t="n">
        <v>111181</v>
      </c>
      <c r="K42" t="n">
        <v>121712</v>
      </c>
      <c r="L42" t="n">
        <v>128136</v>
      </c>
      <c r="M42" t="n">
        <v>130158</v>
      </c>
      <c r="N42" t="n">
        <v>133237</v>
      </c>
      <c r="O42" t="n">
        <v>146280</v>
      </c>
      <c r="P42" t="n">
        <v>155122</v>
      </c>
      <c r="Q42" t="n">
        <v>161494</v>
      </c>
      <c r="R42" t="n">
        <v>169380</v>
      </c>
      <c r="S42" t="n">
        <v>166019</v>
      </c>
      <c r="T42" t="n">
        <v>139714</v>
      </c>
      <c r="U42" t="n">
        <v>134058</v>
      </c>
      <c r="V42" t="n">
        <v>131010</v>
      </c>
      <c r="W42" t="n">
        <v>135141</v>
      </c>
      <c r="X42" t="n">
        <v>150196</v>
      </c>
      <c r="Y42" t="n">
        <v>161808</v>
      </c>
      <c r="Z42" t="n">
        <v>168880</v>
      </c>
      <c r="AA42" t="n">
        <v>180783</v>
      </c>
      <c r="AB42" t="n">
        <v>180433</v>
      </c>
      <c r="AC42" t="n">
        <v>188213</v>
      </c>
      <c r="AD42" t="n">
        <v>195494</v>
      </c>
      <c r="AE42" t="n">
        <v>197598</v>
      </c>
      <c r="AF42" t="n">
        <v>223092</v>
      </c>
    </row>
    <row r="43">
      <c r="A43" t="s">
        <v>24</v>
      </c>
      <c r="B43" t="s">
        <v>243</v>
      </c>
      <c r="C43" t="s">
        <v>131</v>
      </c>
      <c r="D43" t="s">
        <v>244</v>
      </c>
      <c r="E43" t="s">
        <v>132</v>
      </c>
      <c r="F43" t="n">
        <v>160426</v>
      </c>
      <c r="G43" t="n">
        <v>163220</v>
      </c>
      <c r="H43" t="n">
        <v>166046</v>
      </c>
      <c r="I43" t="n">
        <v>174807</v>
      </c>
      <c r="J43" t="n">
        <v>195528</v>
      </c>
      <c r="K43" t="n">
        <v>216024</v>
      </c>
      <c r="L43" t="n">
        <v>227231</v>
      </c>
      <c r="M43" t="n">
        <v>229725</v>
      </c>
      <c r="N43" t="n">
        <v>233611</v>
      </c>
      <c r="O43" t="n">
        <v>254709</v>
      </c>
      <c r="P43" t="n">
        <v>276243</v>
      </c>
      <c r="Q43" t="n">
        <v>289993</v>
      </c>
      <c r="R43" t="n">
        <v>311412</v>
      </c>
      <c r="S43" t="n">
        <v>298092</v>
      </c>
      <c r="T43" t="n">
        <v>247828</v>
      </c>
      <c r="U43" t="n">
        <v>233851</v>
      </c>
      <c r="V43" t="n">
        <v>235963</v>
      </c>
      <c r="W43" t="n">
        <v>235847</v>
      </c>
      <c r="X43" t="n">
        <v>248283</v>
      </c>
      <c r="Y43" t="n">
        <v>269553</v>
      </c>
      <c r="Z43" t="n">
        <v>281133</v>
      </c>
      <c r="AA43" t="n">
        <v>296505</v>
      </c>
      <c r="AB43" t="n">
        <v>309929</v>
      </c>
      <c r="AC43" t="n">
        <v>335206</v>
      </c>
      <c r="AD43" t="n">
        <v>353203</v>
      </c>
      <c r="AE43" t="n">
        <v>318248</v>
      </c>
      <c r="AF43" t="n">
        <v>346919</v>
      </c>
    </row>
    <row r="44">
      <c r="A44" t="s">
        <v>24</v>
      </c>
      <c r="B44" t="s">
        <v>245</v>
      </c>
      <c r="C44" t="s">
        <v>131</v>
      </c>
      <c r="D44" t="s">
        <v>246</v>
      </c>
      <c r="E44" t="s">
        <v>132</v>
      </c>
      <c r="F44" t="n">
        <v>1796825</v>
      </c>
      <c r="G44" t="n">
        <v>1809609</v>
      </c>
      <c r="H44" t="n">
        <v>1827770</v>
      </c>
      <c r="I44" t="n">
        <v>1877748</v>
      </c>
      <c r="J44" t="n">
        <v>2000697</v>
      </c>
      <c r="K44" t="n">
        <v>2096541</v>
      </c>
      <c r="L44" t="n">
        <v>2129980</v>
      </c>
      <c r="M44" t="n">
        <v>2116377</v>
      </c>
      <c r="N44" t="n">
        <v>2118598</v>
      </c>
      <c r="O44" t="n">
        <v>2171449</v>
      </c>
      <c r="P44" t="n">
        <v>2285645</v>
      </c>
      <c r="Q44" t="n">
        <v>2380004</v>
      </c>
      <c r="R44" t="n">
        <v>2423338</v>
      </c>
      <c r="S44" t="n">
        <v>2318088</v>
      </c>
      <c r="T44" t="n">
        <v>1967279</v>
      </c>
      <c r="U44" t="n">
        <v>1860372</v>
      </c>
      <c r="V44" t="n">
        <v>1827517</v>
      </c>
      <c r="W44" t="n">
        <v>1815477</v>
      </c>
      <c r="X44" t="n">
        <v>1886140</v>
      </c>
      <c r="Y44" t="n">
        <v>1955452</v>
      </c>
      <c r="Z44" t="n">
        <v>2040323</v>
      </c>
      <c r="AA44" t="n">
        <v>2181388</v>
      </c>
      <c r="AB44" t="n">
        <v>2293332</v>
      </c>
      <c r="AC44" t="n">
        <v>2381145</v>
      </c>
      <c r="AD44" t="n">
        <v>2460630</v>
      </c>
      <c r="AE44" t="n">
        <v>2230268</v>
      </c>
      <c r="AF44" t="n">
        <v>2384135</v>
      </c>
    </row>
    <row r="45">
      <c r="A45" t="s">
        <v>24</v>
      </c>
      <c r="B45" t="s">
        <v>247</v>
      </c>
      <c r="C45" t="s">
        <v>131</v>
      </c>
      <c r="D45" t="s">
        <v>248</v>
      </c>
      <c r="E45" t="s">
        <v>132</v>
      </c>
      <c r="F45" t="n">
        <v>1716270</v>
      </c>
      <c r="G45" t="n">
        <v>1729697</v>
      </c>
      <c r="H45" t="n">
        <v>1747806</v>
      </c>
      <c r="I45" t="n">
        <v>1795871</v>
      </c>
      <c r="J45" t="n">
        <v>1916265</v>
      </c>
      <c r="K45" t="n">
        <v>2021034</v>
      </c>
      <c r="L45" t="n">
        <v>2062214</v>
      </c>
      <c r="M45" t="n">
        <v>2051435</v>
      </c>
      <c r="N45" t="n">
        <v>2054691</v>
      </c>
      <c r="O45" t="n">
        <v>2111343</v>
      </c>
      <c r="P45" t="n">
        <v>2229530</v>
      </c>
      <c r="Q45" t="n">
        <v>2320891</v>
      </c>
      <c r="R45" t="n">
        <v>2366663</v>
      </c>
      <c r="S45" t="n">
        <v>2258789</v>
      </c>
      <c r="T45" t="n">
        <v>1914435</v>
      </c>
      <c r="U45" t="n">
        <v>1799426</v>
      </c>
      <c r="V45" t="n">
        <v>1766040</v>
      </c>
      <c r="W45" t="n">
        <v>1754832</v>
      </c>
      <c r="X45" t="n">
        <v>1822553</v>
      </c>
      <c r="Y45" t="n">
        <v>1895176</v>
      </c>
      <c r="Z45" t="n">
        <v>1979984</v>
      </c>
      <c r="AA45" t="n">
        <v>2116364</v>
      </c>
      <c r="AB45" t="n">
        <v>2232785</v>
      </c>
      <c r="AC45" t="n">
        <v>2322868</v>
      </c>
      <c r="AD45" t="n">
        <v>2403114</v>
      </c>
      <c r="AE45" t="n">
        <v>2176652</v>
      </c>
      <c r="AF45" t="n">
        <v>2323919</v>
      </c>
    </row>
    <row r="46">
      <c r="A46" t="s">
        <v>24</v>
      </c>
      <c r="B46" t="s">
        <v>249</v>
      </c>
      <c r="C46" t="s">
        <v>131</v>
      </c>
      <c r="D46" t="s">
        <v>250</v>
      </c>
      <c r="E46" t="s">
        <v>132</v>
      </c>
      <c r="F46" t="n">
        <v>74081</v>
      </c>
      <c r="G46" t="n">
        <v>74054</v>
      </c>
      <c r="H46" t="n">
        <v>73597</v>
      </c>
      <c r="I46" t="n">
        <v>75601</v>
      </c>
      <c r="J46" t="n">
        <v>84347</v>
      </c>
      <c r="K46" t="n">
        <v>94312</v>
      </c>
      <c r="L46" t="n">
        <v>99095</v>
      </c>
      <c r="M46" t="n">
        <v>99567</v>
      </c>
      <c r="N46" t="n">
        <v>100374</v>
      </c>
      <c r="O46" t="n">
        <v>108429</v>
      </c>
      <c r="P46" t="n">
        <v>121121</v>
      </c>
      <c r="Q46" t="n">
        <v>128499</v>
      </c>
      <c r="R46" t="n">
        <v>142032</v>
      </c>
      <c r="S46" t="n">
        <v>132073</v>
      </c>
      <c r="T46" t="n">
        <v>108114</v>
      </c>
      <c r="U46" t="n">
        <v>99793</v>
      </c>
      <c r="V46" t="n">
        <v>104953</v>
      </c>
      <c r="W46" t="n">
        <v>100706</v>
      </c>
      <c r="X46" t="n">
        <v>98087</v>
      </c>
      <c r="Y46" t="n">
        <v>107745</v>
      </c>
      <c r="Z46" t="n">
        <v>112253</v>
      </c>
      <c r="AA46" t="n">
        <v>115722</v>
      </c>
      <c r="AB46" t="n">
        <v>129496</v>
      </c>
      <c r="AC46" t="n">
        <v>146993</v>
      </c>
      <c r="AD46" t="n">
        <v>157709</v>
      </c>
      <c r="AE46" t="n">
        <v>120650</v>
      </c>
      <c r="AF46" t="n">
        <v>123827</v>
      </c>
    </row>
    <row r="47">
      <c r="A47" t="s">
        <v>24</v>
      </c>
      <c r="B47" t="s">
        <v>251</v>
      </c>
      <c r="C47" t="s">
        <v>131</v>
      </c>
      <c r="D47" t="s">
        <v>252</v>
      </c>
      <c r="E47" t="s">
        <v>132</v>
      </c>
      <c r="F47" t="n">
        <v>117691</v>
      </c>
      <c r="G47" t="n">
        <v>120573</v>
      </c>
      <c r="H47" t="n">
        <v>123798</v>
      </c>
      <c r="I47" t="n">
        <v>125822</v>
      </c>
      <c r="J47" t="n">
        <v>134536</v>
      </c>
      <c r="K47" t="n">
        <v>137844</v>
      </c>
      <c r="L47" t="n">
        <v>141048</v>
      </c>
      <c r="M47" t="n">
        <v>150684</v>
      </c>
      <c r="N47" t="n">
        <v>153125</v>
      </c>
      <c r="O47" t="n">
        <v>150066</v>
      </c>
      <c r="P47" t="n">
        <v>164753</v>
      </c>
      <c r="Q47" t="n">
        <v>163232</v>
      </c>
      <c r="R47" t="n">
        <v>163397</v>
      </c>
      <c r="S47" t="n">
        <v>165676</v>
      </c>
      <c r="T47" t="n">
        <v>163252</v>
      </c>
      <c r="U47" t="n">
        <v>163618</v>
      </c>
      <c r="V47" t="n">
        <v>153703</v>
      </c>
      <c r="W47" t="n">
        <v>151347</v>
      </c>
      <c r="X47" t="n">
        <v>149913</v>
      </c>
      <c r="Y47" t="n">
        <v>157018</v>
      </c>
      <c r="Z47" t="n">
        <v>156998</v>
      </c>
      <c r="AA47" t="n">
        <v>164308</v>
      </c>
      <c r="AB47" t="n">
        <v>174275</v>
      </c>
      <c r="AC47" t="n">
        <v>189159</v>
      </c>
      <c r="AD47" t="n">
        <v>203755</v>
      </c>
      <c r="AE47" t="n">
        <v>213952</v>
      </c>
      <c r="AF47" t="n">
        <v>229088</v>
      </c>
    </row>
    <row r="48">
      <c r="A48" t="s">
        <v>24</v>
      </c>
      <c r="B48" t="s">
        <v>253</v>
      </c>
      <c r="C48" t="s">
        <v>131</v>
      </c>
      <c r="D48" t="s">
        <v>254</v>
      </c>
      <c r="E48" t="s">
        <v>132</v>
      </c>
      <c r="F48" t="n">
        <v>366000</v>
      </c>
      <c r="G48" t="n">
        <v>385592</v>
      </c>
      <c r="H48" t="n">
        <v>406124</v>
      </c>
      <c r="I48" t="n">
        <v>425259</v>
      </c>
      <c r="J48" t="n">
        <v>449670</v>
      </c>
      <c r="K48" t="n">
        <v>473888</v>
      </c>
      <c r="L48" t="n">
        <v>502803</v>
      </c>
      <c r="M48" t="n">
        <v>542322</v>
      </c>
      <c r="N48" t="n">
        <v>562630</v>
      </c>
      <c r="O48" t="n">
        <v>566665</v>
      </c>
      <c r="P48" t="n">
        <v>604479</v>
      </c>
      <c r="Q48" t="n">
        <v>631543</v>
      </c>
      <c r="R48" t="n">
        <v>652131</v>
      </c>
      <c r="S48" t="n">
        <v>666903</v>
      </c>
      <c r="T48" t="n">
        <v>662999</v>
      </c>
      <c r="U48" t="n">
        <v>668734</v>
      </c>
      <c r="V48" t="n">
        <v>662337</v>
      </c>
      <c r="W48" t="n">
        <v>665670</v>
      </c>
      <c r="X48" t="n">
        <v>684505</v>
      </c>
      <c r="Y48" t="n">
        <v>706772</v>
      </c>
      <c r="Z48" t="n">
        <v>710364</v>
      </c>
      <c r="AA48" t="n">
        <v>732839</v>
      </c>
      <c r="AB48" t="n">
        <v>776216</v>
      </c>
      <c r="AC48" t="n">
        <v>829010</v>
      </c>
      <c r="AD48" t="n">
        <v>882937</v>
      </c>
      <c r="AE48" t="n">
        <v>856379</v>
      </c>
      <c r="AF48" t="n">
        <v>936929</v>
      </c>
    </row>
    <row r="49">
      <c r="A49" t="s">
        <v>24</v>
      </c>
      <c r="B49" t="s">
        <v>255</v>
      </c>
      <c r="C49" t="s">
        <v>131</v>
      </c>
      <c r="D49" t="s">
        <v>256</v>
      </c>
      <c r="E49" t="s">
        <v>132</v>
      </c>
      <c r="F49" t="n">
        <v>92773</v>
      </c>
      <c r="G49" t="n">
        <v>98422</v>
      </c>
      <c r="H49" t="n">
        <v>104049</v>
      </c>
      <c r="I49" t="n">
        <v>109448</v>
      </c>
      <c r="J49" t="n">
        <v>113905</v>
      </c>
      <c r="K49" t="n">
        <v>118275</v>
      </c>
      <c r="L49" t="n">
        <v>122826</v>
      </c>
      <c r="M49" t="n">
        <v>128396</v>
      </c>
      <c r="N49" t="n">
        <v>135443</v>
      </c>
      <c r="O49" t="n">
        <v>135183</v>
      </c>
      <c r="P49" t="n">
        <v>142805</v>
      </c>
      <c r="Q49" t="n">
        <v>149666</v>
      </c>
      <c r="R49" t="n">
        <v>152714</v>
      </c>
      <c r="S49" t="n">
        <v>156398</v>
      </c>
      <c r="T49" t="n">
        <v>156824</v>
      </c>
      <c r="U49" t="n">
        <v>156184</v>
      </c>
      <c r="V49" t="n">
        <v>149880</v>
      </c>
      <c r="W49" t="n">
        <v>154782</v>
      </c>
      <c r="X49" t="n">
        <v>160567</v>
      </c>
      <c r="Y49" t="n">
        <v>170569</v>
      </c>
      <c r="Z49" t="n">
        <v>163922</v>
      </c>
      <c r="AA49" t="n">
        <v>172228</v>
      </c>
      <c r="AB49" t="n">
        <v>185108</v>
      </c>
      <c r="AC49" t="n">
        <v>208054</v>
      </c>
      <c r="AD49" t="n">
        <v>227441</v>
      </c>
      <c r="AE49" t="n">
        <v>220052</v>
      </c>
      <c r="AF49" t="n">
        <v>255849</v>
      </c>
    </row>
    <row r="50">
      <c r="A50" t="s">
        <v>24</v>
      </c>
      <c r="B50" t="s">
        <v>257</v>
      </c>
      <c r="C50" t="s">
        <v>131</v>
      </c>
      <c r="D50" t="s">
        <v>258</v>
      </c>
      <c r="E50" t="s">
        <v>132</v>
      </c>
      <c r="F50" t="n">
        <v>155537</v>
      </c>
      <c r="G50" t="n">
        <v>166598</v>
      </c>
      <c r="H50" t="n">
        <v>178278</v>
      </c>
      <c r="I50" t="n">
        <v>189989</v>
      </c>
      <c r="J50" t="n">
        <v>201229</v>
      </c>
      <c r="K50" t="n">
        <v>217769</v>
      </c>
      <c r="L50" t="n">
        <v>238929</v>
      </c>
      <c r="M50" t="n">
        <v>263242</v>
      </c>
      <c r="N50" t="n">
        <v>274063</v>
      </c>
      <c r="O50" t="n">
        <v>281416</v>
      </c>
      <c r="P50" t="n">
        <v>296922</v>
      </c>
      <c r="Q50" t="n">
        <v>318644</v>
      </c>
      <c r="R50" t="n">
        <v>336020</v>
      </c>
      <c r="S50" t="n">
        <v>344829</v>
      </c>
      <c r="T50" t="n">
        <v>342922</v>
      </c>
      <c r="U50" t="n">
        <v>348933</v>
      </c>
      <c r="V50" t="n">
        <v>358754</v>
      </c>
      <c r="W50" t="n">
        <v>359542</v>
      </c>
      <c r="X50" t="n">
        <v>374025</v>
      </c>
      <c r="Y50" t="n">
        <v>379186</v>
      </c>
      <c r="Z50" t="n">
        <v>389444</v>
      </c>
      <c r="AA50" t="n">
        <v>396303</v>
      </c>
      <c r="AB50" t="n">
        <v>416833</v>
      </c>
      <c r="AC50" t="n">
        <v>431796</v>
      </c>
      <c r="AD50" t="n">
        <v>451741</v>
      </c>
      <c r="AE50" t="n">
        <v>422375</v>
      </c>
      <c r="AF50" t="n">
        <v>451992</v>
      </c>
    </row>
    <row r="51">
      <c r="A51" t="s">
        <v>24</v>
      </c>
      <c r="B51" t="s">
        <v>259</v>
      </c>
      <c r="C51" t="s">
        <v>131</v>
      </c>
      <c r="D51" t="s">
        <v>260</v>
      </c>
      <c r="E51" t="s">
        <v>132</v>
      </c>
      <c r="F51" t="n">
        <v>133172</v>
      </c>
      <c r="G51" t="n">
        <v>137423</v>
      </c>
      <c r="H51" t="n">
        <v>142293</v>
      </c>
      <c r="I51" t="n">
        <v>147611</v>
      </c>
      <c r="J51" t="n">
        <v>155558</v>
      </c>
      <c r="K51" t="n">
        <v>166062</v>
      </c>
      <c r="L51" t="n">
        <v>179011</v>
      </c>
      <c r="M51" t="n">
        <v>192423</v>
      </c>
      <c r="N51" t="n">
        <v>198631</v>
      </c>
      <c r="O51" t="n">
        <v>203846</v>
      </c>
      <c r="P51" t="n">
        <v>208754</v>
      </c>
      <c r="Q51" t="n">
        <v>214758</v>
      </c>
      <c r="R51" t="n">
        <v>228396</v>
      </c>
      <c r="S51" t="n">
        <v>234587</v>
      </c>
      <c r="T51" t="n">
        <v>227989</v>
      </c>
      <c r="U51" t="n">
        <v>242028</v>
      </c>
      <c r="V51" t="n">
        <v>247009</v>
      </c>
      <c r="W51" t="n">
        <v>244301</v>
      </c>
      <c r="X51" t="n">
        <v>248662</v>
      </c>
      <c r="Y51" t="n">
        <v>249897</v>
      </c>
      <c r="Z51" t="n">
        <v>248132</v>
      </c>
      <c r="AA51" t="n">
        <v>255002</v>
      </c>
      <c r="AB51" t="n">
        <v>256749</v>
      </c>
      <c r="AC51" t="n">
        <v>256440</v>
      </c>
      <c r="AD51" t="n">
        <v>260913</v>
      </c>
      <c r="AE51" t="n">
        <v>242050</v>
      </c>
      <c r="AF51" t="n">
        <v>265166</v>
      </c>
    </row>
    <row r="52">
      <c r="A52" t="s">
        <v>24</v>
      </c>
      <c r="B52" t="s">
        <v>261</v>
      </c>
      <c r="C52" t="s">
        <v>131</v>
      </c>
      <c r="D52" t="s">
        <v>262</v>
      </c>
      <c r="E52" t="s">
        <v>132</v>
      </c>
      <c r="F52" t="n">
        <v>22365</v>
      </c>
      <c r="G52" t="n">
        <v>29175</v>
      </c>
      <c r="H52" t="n">
        <v>35985</v>
      </c>
      <c r="I52" t="n">
        <v>42378</v>
      </c>
      <c r="J52" t="n">
        <v>45671</v>
      </c>
      <c r="K52" t="n">
        <v>51707</v>
      </c>
      <c r="L52" t="n">
        <v>59918</v>
      </c>
      <c r="M52" t="n">
        <v>70819</v>
      </c>
      <c r="N52" t="n">
        <v>75432</v>
      </c>
      <c r="O52" t="n">
        <v>77570</v>
      </c>
      <c r="P52" t="n">
        <v>88168</v>
      </c>
      <c r="Q52" t="n">
        <v>103886</v>
      </c>
      <c r="R52" t="n">
        <v>107624</v>
      </c>
      <c r="S52" t="n">
        <v>110242</v>
      </c>
      <c r="T52" t="n">
        <v>114933</v>
      </c>
      <c r="U52" t="n">
        <v>106905</v>
      </c>
      <c r="V52" t="n">
        <v>111745</v>
      </c>
      <c r="W52" t="n">
        <v>115241</v>
      </c>
      <c r="X52" t="n">
        <v>125363</v>
      </c>
      <c r="Y52" t="n">
        <v>129289</v>
      </c>
      <c r="Z52" t="n">
        <v>141312</v>
      </c>
      <c r="AA52" t="n">
        <v>141301</v>
      </c>
      <c r="AB52" t="n">
        <v>160084</v>
      </c>
      <c r="AC52" t="n">
        <v>175356</v>
      </c>
      <c r="AD52" t="n">
        <v>190828</v>
      </c>
      <c r="AE52" t="n">
        <v>180325</v>
      </c>
      <c r="AF52" t="n">
        <v>186826</v>
      </c>
    </row>
    <row r="53">
      <c r="A53" t="s">
        <v>24</v>
      </c>
      <c r="B53" t="s">
        <v>263</v>
      </c>
      <c r="C53" t="s">
        <v>131</v>
      </c>
      <c r="D53" t="s">
        <v>264</v>
      </c>
      <c r="E53" t="s">
        <v>132</v>
      </c>
      <c r="F53" t="n">
        <v>39350</v>
      </c>
      <c r="G53" t="n">
        <v>39733</v>
      </c>
      <c r="H53" t="n">
        <v>39094</v>
      </c>
      <c r="I53" t="n">
        <v>41749</v>
      </c>
      <c r="J53" t="n">
        <v>40738</v>
      </c>
      <c r="K53" t="n">
        <v>41470</v>
      </c>
      <c r="L53" t="n">
        <v>42342</v>
      </c>
      <c r="M53" t="n">
        <v>44248</v>
      </c>
      <c r="N53" t="n">
        <v>41386</v>
      </c>
      <c r="O53" t="n">
        <v>42543</v>
      </c>
      <c r="P53" t="n">
        <v>51045</v>
      </c>
      <c r="Q53" t="n">
        <v>56814</v>
      </c>
      <c r="R53" t="n">
        <v>55891</v>
      </c>
      <c r="S53" t="n">
        <v>62444</v>
      </c>
      <c r="T53" t="n">
        <v>53000</v>
      </c>
      <c r="U53" t="n">
        <v>50832</v>
      </c>
      <c r="V53" t="n">
        <v>53563</v>
      </c>
      <c r="W53" t="n">
        <v>52612</v>
      </c>
      <c r="X53" t="n">
        <v>52584</v>
      </c>
      <c r="Y53" t="n">
        <v>52073</v>
      </c>
      <c r="Z53" t="n">
        <v>54585</v>
      </c>
      <c r="AA53" t="n">
        <v>62880</v>
      </c>
      <c r="AB53" t="n">
        <v>60592</v>
      </c>
      <c r="AC53" t="n">
        <v>61162</v>
      </c>
      <c r="AD53" t="n">
        <v>60118</v>
      </c>
      <c r="AE53" t="n">
        <v>41886</v>
      </c>
      <c r="AF53" t="n">
        <v>46013</v>
      </c>
    </row>
    <row r="54">
      <c r="A54" t="s">
        <v>24</v>
      </c>
      <c r="B54" t="s">
        <v>265</v>
      </c>
      <c r="C54" t="s">
        <v>131</v>
      </c>
      <c r="D54" t="s">
        <v>266</v>
      </c>
      <c r="E54" t="s">
        <v>132</v>
      </c>
      <c r="F54" t="n">
        <v>93381</v>
      </c>
      <c r="G54" t="n">
        <v>92367</v>
      </c>
      <c r="H54" t="n">
        <v>90219</v>
      </c>
      <c r="I54" t="n">
        <v>92003</v>
      </c>
      <c r="J54" t="n">
        <v>91830</v>
      </c>
      <c r="K54" t="n">
        <v>90679</v>
      </c>
      <c r="L54" t="n">
        <v>95328</v>
      </c>
      <c r="M54" t="n">
        <v>100775</v>
      </c>
      <c r="N54" t="n">
        <v>101851</v>
      </c>
      <c r="O54" t="n">
        <v>116577</v>
      </c>
      <c r="P54" t="n">
        <v>117642</v>
      </c>
      <c r="Q54" t="n">
        <v>119914</v>
      </c>
      <c r="R54" t="n">
        <v>112509</v>
      </c>
      <c r="S54" t="n">
        <v>117024</v>
      </c>
      <c r="T54" t="n">
        <v>108429</v>
      </c>
      <c r="U54" t="n">
        <v>99230</v>
      </c>
      <c r="V54" t="n">
        <v>101529</v>
      </c>
      <c r="W54" t="n">
        <v>104350</v>
      </c>
      <c r="X54" t="n">
        <v>102062</v>
      </c>
      <c r="Y54" t="n">
        <v>101384</v>
      </c>
      <c r="Z54" t="n">
        <v>108648</v>
      </c>
      <c r="AA54" t="n">
        <v>117745</v>
      </c>
      <c r="AB54" t="n">
        <v>119962</v>
      </c>
      <c r="AC54" t="n">
        <v>124796</v>
      </c>
      <c r="AD54" t="n">
        <v>119090</v>
      </c>
      <c r="AE54" t="n">
        <v>88174</v>
      </c>
      <c r="AF54" t="n">
        <v>97160</v>
      </c>
    </row>
    <row r="55">
      <c r="A55" t="s">
        <v>24</v>
      </c>
      <c r="B55" t="s">
        <v>267</v>
      </c>
      <c r="C55" t="s">
        <v>131</v>
      </c>
      <c r="D55" t="s">
        <v>268</v>
      </c>
      <c r="E55" t="s">
        <v>132</v>
      </c>
      <c r="F55" t="n">
        <v>54031</v>
      </c>
      <c r="G55" t="n">
        <v>52634</v>
      </c>
      <c r="H55" t="n">
        <v>51125</v>
      </c>
      <c r="I55" t="n">
        <v>50254</v>
      </c>
      <c r="J55" t="n">
        <v>51092</v>
      </c>
      <c r="K55" t="n">
        <v>49209</v>
      </c>
      <c r="L55" t="n">
        <v>52986</v>
      </c>
      <c r="M55" t="n">
        <v>56527</v>
      </c>
      <c r="N55" t="n">
        <v>60465</v>
      </c>
      <c r="O55" t="n">
        <v>74034</v>
      </c>
      <c r="P55" t="n">
        <v>66597</v>
      </c>
      <c r="Q55" t="n">
        <v>63100</v>
      </c>
      <c r="R55" t="n">
        <v>56618</v>
      </c>
      <c r="S55" t="n">
        <v>54580</v>
      </c>
      <c r="T55" t="n">
        <v>55429</v>
      </c>
      <c r="U55" t="n">
        <v>48398</v>
      </c>
      <c r="V55" t="n">
        <v>47966</v>
      </c>
      <c r="W55" t="n">
        <v>51738</v>
      </c>
      <c r="X55" t="n">
        <v>49478</v>
      </c>
      <c r="Y55" t="n">
        <v>49311</v>
      </c>
      <c r="Z55" t="n">
        <v>54063</v>
      </c>
      <c r="AA55" t="n">
        <v>54865</v>
      </c>
      <c r="AB55" t="n">
        <v>59370</v>
      </c>
      <c r="AC55" t="n">
        <v>63634</v>
      </c>
      <c r="AD55" t="n">
        <v>58972</v>
      </c>
      <c r="AE55" t="n">
        <v>46288</v>
      </c>
      <c r="AF55" t="n">
        <v>51147</v>
      </c>
    </row>
    <row r="56">
      <c r="A56" t="s">
        <v>24</v>
      </c>
      <c r="B56" t="s">
        <v>269</v>
      </c>
      <c r="C56" t="s">
        <v>131</v>
      </c>
      <c r="D56" t="s">
        <v>270</v>
      </c>
      <c r="E56" t="s">
        <v>132</v>
      </c>
      <c r="F56" t="n">
        <v>10213</v>
      </c>
      <c r="G56" t="n">
        <v>10213</v>
      </c>
      <c r="H56" t="n">
        <v>10207</v>
      </c>
      <c r="I56" t="n">
        <v>9819</v>
      </c>
      <c r="J56" t="n">
        <v>10590</v>
      </c>
      <c r="K56" t="n">
        <v>10522</v>
      </c>
      <c r="L56" t="n">
        <v>9298</v>
      </c>
      <c r="M56" t="n">
        <v>10187</v>
      </c>
      <c r="N56" t="n">
        <v>10640</v>
      </c>
      <c r="O56" t="n">
        <v>7374</v>
      </c>
      <c r="P56" t="n">
        <v>9282</v>
      </c>
      <c r="Q56" t="n">
        <v>10890</v>
      </c>
      <c r="R56" t="n">
        <v>13430</v>
      </c>
      <c r="S56" t="n">
        <v>12087</v>
      </c>
      <c r="T56" t="n">
        <v>9905</v>
      </c>
      <c r="U56" t="n">
        <v>8152</v>
      </c>
      <c r="V56" t="n">
        <v>9063</v>
      </c>
      <c r="W56" t="n">
        <v>10180</v>
      </c>
      <c r="X56" t="n">
        <v>9456</v>
      </c>
      <c r="Y56" t="n">
        <v>7252</v>
      </c>
      <c r="Z56" t="n">
        <v>9321</v>
      </c>
      <c r="AA56" t="n">
        <v>7769</v>
      </c>
      <c r="AB56" t="n">
        <v>6932</v>
      </c>
      <c r="AC56" t="n">
        <v>8015</v>
      </c>
      <c r="AD56" t="n">
        <v>7228</v>
      </c>
      <c r="AE56" t="n">
        <v>4249</v>
      </c>
      <c r="AF56" t="n">
        <v>3305</v>
      </c>
    </row>
    <row r="57">
      <c r="A57" t="s">
        <v>24</v>
      </c>
      <c r="B57" t="s">
        <v>271</v>
      </c>
      <c r="C57" t="s">
        <v>131</v>
      </c>
      <c r="D57" t="s">
        <v>272</v>
      </c>
      <c r="E57" t="s">
        <v>132</v>
      </c>
      <c r="F57" t="n">
        <v>2179601</v>
      </c>
      <c r="G57" t="n">
        <v>2211974</v>
      </c>
      <c r="H57" t="n">
        <v>2250664</v>
      </c>
      <c r="I57" t="n">
        <v>2319718</v>
      </c>
      <c r="J57" t="n">
        <v>2468485</v>
      </c>
      <c r="K57" t="n">
        <v>2589475</v>
      </c>
      <c r="L57" t="n">
        <v>2650814</v>
      </c>
      <c r="M57" t="n">
        <v>2678840</v>
      </c>
      <c r="N57" t="n">
        <v>2701306</v>
      </c>
      <c r="O57" t="n">
        <v>2752783</v>
      </c>
      <c r="P57" t="n">
        <v>2909048</v>
      </c>
      <c r="Q57" t="n">
        <v>3035294</v>
      </c>
      <c r="R57" t="n">
        <v>3102910</v>
      </c>
      <c r="S57" t="n">
        <v>3010455</v>
      </c>
      <c r="T57" t="n">
        <v>2650137</v>
      </c>
      <c r="U57" t="n">
        <v>2548148</v>
      </c>
      <c r="V57" t="n">
        <v>2508439</v>
      </c>
      <c r="W57" t="n">
        <v>2502591</v>
      </c>
      <c r="X57" t="n">
        <v>2589517</v>
      </c>
      <c r="Y57" t="n">
        <v>2681356</v>
      </c>
      <c r="Z57" t="n">
        <v>2772818</v>
      </c>
      <c r="AA57" t="n">
        <v>2934838</v>
      </c>
      <c r="AB57" t="n">
        <v>3089282</v>
      </c>
      <c r="AC57" t="n">
        <v>3230474</v>
      </c>
      <c r="AD57" t="n">
        <v>3363442</v>
      </c>
      <c r="AE57" t="n">
        <v>3103697</v>
      </c>
      <c r="AF57" t="n">
        <v>3338978</v>
      </c>
    </row>
    <row r="58">
      <c r="A58" t="s">
        <v>24</v>
      </c>
      <c r="B58" t="s">
        <v>273</v>
      </c>
      <c r="C58" t="s">
        <v>131</v>
      </c>
      <c r="D58" t="s">
        <v>274</v>
      </c>
      <c r="E58" t="s">
        <v>132</v>
      </c>
      <c r="F58" t="n">
        <v>2169388</v>
      </c>
      <c r="G58" t="n">
        <v>2201764</v>
      </c>
      <c r="H58" t="n">
        <v>2240457</v>
      </c>
      <c r="I58" t="n">
        <v>2309899</v>
      </c>
      <c r="J58" t="n">
        <v>2457895</v>
      </c>
      <c r="K58" t="n">
        <v>2578953</v>
      </c>
      <c r="L58" t="n">
        <v>2641516</v>
      </c>
      <c r="M58" t="n">
        <v>2668655</v>
      </c>
      <c r="N58" t="n">
        <v>2690666</v>
      </c>
      <c r="O58" t="n">
        <v>2745412</v>
      </c>
      <c r="P58" t="n">
        <v>2899768</v>
      </c>
      <c r="Q58" t="n">
        <v>3024401</v>
      </c>
      <c r="R58" t="n">
        <v>3089477</v>
      </c>
      <c r="S58" t="n">
        <v>2998368</v>
      </c>
      <c r="T58" t="n">
        <v>2640232</v>
      </c>
      <c r="U58" t="n">
        <v>2539998</v>
      </c>
      <c r="V58" t="n">
        <v>2499376</v>
      </c>
      <c r="W58" t="n">
        <v>2492411</v>
      </c>
      <c r="X58" t="n">
        <v>2580061</v>
      </c>
      <c r="Y58" t="n">
        <v>2674104</v>
      </c>
      <c r="Z58" t="n">
        <v>2763499</v>
      </c>
      <c r="AA58" t="n">
        <v>2927071</v>
      </c>
      <c r="AB58" t="n">
        <v>3082350</v>
      </c>
      <c r="AC58" t="n">
        <v>3222457</v>
      </c>
      <c r="AD58" t="n">
        <v>3356217</v>
      </c>
      <c r="AE58" t="n">
        <v>3099448</v>
      </c>
      <c r="AF58" t="n">
        <v>3335673</v>
      </c>
    </row>
    <row r="59">
      <c r="A59" t="s">
        <v>24</v>
      </c>
      <c r="B59" t="s">
        <v>275</v>
      </c>
      <c r="C59" t="s">
        <v>131</v>
      </c>
      <c r="D59" t="s">
        <v>276</v>
      </c>
      <c r="E59" t="s">
        <v>132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27</v>
      </c>
      <c r="B2" t="s">
        <v>84</v>
      </c>
      <c r="C2" t="s">
        <v>131</v>
      </c>
      <c r="D2" t="s">
        <v>86</v>
      </c>
      <c r="E2" t="s">
        <v>132</v>
      </c>
      <c r="F2" t="n">
        <v>113.66869156756</v>
      </c>
      <c r="G2" t="n">
        <v>104.84203986009</v>
      </c>
      <c r="H2" t="n">
        <v>96.5092084853204</v>
      </c>
      <c r="I2" t="n">
        <v>99.0825983321762</v>
      </c>
      <c r="J2" t="n">
        <v>97.3011091130377</v>
      </c>
      <c r="K2" t="n">
        <v>109.984288248764</v>
      </c>
      <c r="L2" t="n">
        <v>112.754159984824</v>
      </c>
      <c r="M2" t="n">
        <v>109.542161025928</v>
      </c>
      <c r="N2" t="n">
        <v>95.2223465524966</v>
      </c>
      <c r="O2" t="n">
        <v>90.6874223933</v>
      </c>
      <c r="P2" t="n">
        <v>84.0058945882995</v>
      </c>
      <c r="Q2" t="n">
        <v>94.9350765220655</v>
      </c>
      <c r="R2" t="n">
        <v>105.575281993679</v>
      </c>
      <c r="S2" t="n">
        <v>77.5150343282466</v>
      </c>
      <c r="T2" t="n">
        <v>54.6627792034414</v>
      </c>
      <c r="U2" t="n">
        <v>77.8808141646749</v>
      </c>
      <c r="V2" t="n">
        <v>86.7338363952581</v>
      </c>
      <c r="W2" t="n">
        <v>88.6264330129867</v>
      </c>
      <c r="X2" t="n">
        <v>97.5813176088417</v>
      </c>
      <c r="Y2" t="n">
        <v>96.1131895244557</v>
      </c>
      <c r="Z2" t="n">
        <v>88.1149330163547</v>
      </c>
      <c r="AA2" t="n">
        <v>86.6065219683733</v>
      </c>
      <c r="AB2" t="n">
        <v>106.773173268946</v>
      </c>
      <c r="AC2" t="n">
        <v>99.9621467989334</v>
      </c>
      <c r="AD2" t="n">
        <v>89.8638300242266</v>
      </c>
      <c r="AE2" t="n">
        <v>100</v>
      </c>
      <c r="AF2" t="n">
        <v>117.367582313697</v>
      </c>
    </row>
    <row r="3">
      <c r="A3" t="s">
        <v>27</v>
      </c>
      <c r="B3" t="s">
        <v>163</v>
      </c>
      <c r="C3" t="s">
        <v>131</v>
      </c>
      <c r="D3" t="s">
        <v>164</v>
      </c>
      <c r="E3" t="s">
        <v>132</v>
      </c>
      <c r="F3" t="n">
        <v>92.6440392204694</v>
      </c>
      <c r="G3" t="n">
        <v>93.3325086557103</v>
      </c>
      <c r="H3" t="n">
        <v>158.378247366859</v>
      </c>
      <c r="I3" t="n">
        <v>147.116125703381</v>
      </c>
      <c r="J3" t="n">
        <v>123.070118027282</v>
      </c>
      <c r="K3" t="n">
        <v>124.002663649042</v>
      </c>
      <c r="L3" t="n">
        <v>154.394478512289</v>
      </c>
      <c r="M3" t="n">
        <v>143.929703539782</v>
      </c>
      <c r="N3" t="n">
        <v>131.560744641832</v>
      </c>
      <c r="O3" t="n">
        <v>96.6049912345817</v>
      </c>
      <c r="P3" t="n">
        <v>119.93781773825</v>
      </c>
      <c r="Q3" t="n">
        <v>191.203433884944</v>
      </c>
      <c r="R3" t="n">
        <v>255.791750623536</v>
      </c>
      <c r="S3" t="n">
        <v>206.962693790006</v>
      </c>
      <c r="T3" t="n">
        <v>237.695875762582</v>
      </c>
      <c r="U3" t="n">
        <v>191.483427121123</v>
      </c>
      <c r="V3" t="n">
        <v>237.41721832911</v>
      </c>
      <c r="W3" t="n">
        <v>323.810503251699</v>
      </c>
      <c r="X3" t="n">
        <v>190.445470068306</v>
      </c>
      <c r="Y3" t="n">
        <v>252.335388829387</v>
      </c>
      <c r="Z3" t="n">
        <v>136.751668779708</v>
      </c>
      <c r="AA3" t="n">
        <v>211.259606394292</v>
      </c>
      <c r="AB3" t="n">
        <v>249.666717607224</v>
      </c>
      <c r="AC3" t="n">
        <v>344.067229368719</v>
      </c>
      <c r="AD3" t="n">
        <v>233.56185727641</v>
      </c>
      <c r="AE3" t="n">
        <v>100</v>
      </c>
      <c r="AF3" t="n">
        <v>103.145657624801</v>
      </c>
    </row>
    <row r="4">
      <c r="A4" t="s">
        <v>27</v>
      </c>
      <c r="B4" t="s">
        <v>165</v>
      </c>
      <c r="C4" t="s">
        <v>131</v>
      </c>
      <c r="D4" t="s">
        <v>166</v>
      </c>
      <c r="E4" t="s">
        <v>132</v>
      </c>
      <c r="F4" t="n">
        <v>54.3758700027992</v>
      </c>
      <c r="G4" t="n">
        <v>55.5654706897697</v>
      </c>
      <c r="H4" t="n">
        <v>57.8528035543866</v>
      </c>
      <c r="I4" t="n">
        <v>62.4764296098763</v>
      </c>
      <c r="J4" t="n">
        <v>64.5401782924401</v>
      </c>
      <c r="K4" t="n">
        <v>64.815116433848</v>
      </c>
      <c r="L4" t="n">
        <v>75.6960884506729</v>
      </c>
      <c r="M4" t="n">
        <v>79.9827642242961</v>
      </c>
      <c r="N4" t="n">
        <v>75.383666052776</v>
      </c>
      <c r="O4" t="n">
        <v>73.6437135315541</v>
      </c>
      <c r="P4" t="n">
        <v>70.4035943843641</v>
      </c>
      <c r="Q4" t="n">
        <v>70.9604164828051</v>
      </c>
      <c r="R4" t="n">
        <v>69.1117796008705</v>
      </c>
      <c r="S4" t="n">
        <v>70.965043834367</v>
      </c>
      <c r="T4" t="n">
        <v>78.5709907114219</v>
      </c>
      <c r="U4" t="n">
        <v>71.0212278885055</v>
      </c>
      <c r="V4" t="n">
        <v>74.8309130574255</v>
      </c>
      <c r="W4" t="n">
        <v>74.2162220607602</v>
      </c>
      <c r="X4" t="n">
        <v>79.3382516941797</v>
      </c>
      <c r="Y4" t="n">
        <v>79.2029849976488</v>
      </c>
      <c r="Z4" t="n">
        <v>104.415839785273</v>
      </c>
      <c r="AA4" t="n">
        <v>100.218229273185</v>
      </c>
      <c r="AB4" t="n">
        <v>106.61158069413</v>
      </c>
      <c r="AC4" t="n">
        <v>106.359182232052</v>
      </c>
      <c r="AD4" t="n">
        <v>110.42331088034</v>
      </c>
      <c r="AE4" t="n">
        <v>100</v>
      </c>
      <c r="AF4" t="n">
        <v>96.7742478146281</v>
      </c>
    </row>
    <row r="5">
      <c r="A5" t="s">
        <v>27</v>
      </c>
      <c r="B5" t="s">
        <v>167</v>
      </c>
      <c r="C5" t="s">
        <v>131</v>
      </c>
      <c r="D5" t="s">
        <v>168</v>
      </c>
      <c r="E5" t="s">
        <v>132</v>
      </c>
      <c r="F5" t="n">
        <v>41.8065884733408</v>
      </c>
      <c r="G5" t="n">
        <v>47.2394573399239</v>
      </c>
      <c r="H5" t="n">
        <v>52.1873126404986</v>
      </c>
      <c r="I5" t="n">
        <v>60.210395802428</v>
      </c>
      <c r="J5" t="n">
        <v>64.5396004640806</v>
      </c>
      <c r="K5" t="n">
        <v>72.6330103257701</v>
      </c>
      <c r="L5" t="n">
        <v>87.1074591246202</v>
      </c>
      <c r="M5" t="n">
        <v>93.2309998205708</v>
      </c>
      <c r="N5" t="n">
        <v>105.253462885449</v>
      </c>
      <c r="O5" t="n">
        <v>96.0586945356806</v>
      </c>
      <c r="P5" t="n">
        <v>94.0954655217762</v>
      </c>
      <c r="Q5" t="n">
        <v>99.0555992161481</v>
      </c>
      <c r="R5" t="n">
        <v>100.530730186448</v>
      </c>
      <c r="S5" t="n">
        <v>100.594594571737</v>
      </c>
      <c r="T5" t="n">
        <v>102.476674732453</v>
      </c>
      <c r="U5" t="n">
        <v>108.404732775638</v>
      </c>
      <c r="V5" t="n">
        <v>90.0580243697981</v>
      </c>
      <c r="W5" t="n">
        <v>94.2358282990989</v>
      </c>
      <c r="X5" t="n">
        <v>99.7359176950721</v>
      </c>
      <c r="Y5" t="n">
        <v>103.478801668236</v>
      </c>
      <c r="Z5" t="n">
        <v>103.975228925365</v>
      </c>
      <c r="AA5" t="n">
        <v>108.292126972748</v>
      </c>
      <c r="AB5" t="n">
        <v>108.341011664593</v>
      </c>
      <c r="AC5" t="n">
        <v>112.63837215667</v>
      </c>
      <c r="AD5" t="n">
        <v>90.0485655764103</v>
      </c>
      <c r="AE5" t="n">
        <v>100</v>
      </c>
      <c r="AF5" t="n">
        <v>90.0017324266967</v>
      </c>
    </row>
    <row r="6">
      <c r="A6" t="s">
        <v>27</v>
      </c>
      <c r="B6" t="s">
        <v>169</v>
      </c>
      <c r="C6" t="s">
        <v>131</v>
      </c>
      <c r="D6" t="s">
        <v>170</v>
      </c>
      <c r="E6" t="s">
        <v>132</v>
      </c>
      <c r="F6" t="n">
        <v>61.4220564795619</v>
      </c>
      <c r="G6" t="n">
        <v>56.7156717091746</v>
      </c>
      <c r="H6" t="n">
        <v>56.3270034265077</v>
      </c>
      <c r="I6" t="n">
        <v>57.4392019872805</v>
      </c>
      <c r="J6" t="n">
        <v>58.419506562707</v>
      </c>
      <c r="K6" t="n">
        <v>70.4928712523331</v>
      </c>
      <c r="L6" t="n">
        <v>70.6246336285057</v>
      </c>
      <c r="M6" t="n">
        <v>85.2511932659608</v>
      </c>
      <c r="N6" t="n">
        <v>86.420189561581</v>
      </c>
      <c r="O6" t="n">
        <v>75.2973564313025</v>
      </c>
      <c r="P6" t="n">
        <v>82.3545145236087</v>
      </c>
      <c r="Q6" t="n">
        <v>97.0721670214802</v>
      </c>
      <c r="R6" t="n">
        <v>125.662242853658</v>
      </c>
      <c r="S6" t="n">
        <v>109.832397946121</v>
      </c>
      <c r="T6" t="n">
        <v>114.054367560763</v>
      </c>
      <c r="U6" t="n">
        <v>99.5442990229469</v>
      </c>
      <c r="V6" t="n">
        <v>98.3825858323071</v>
      </c>
      <c r="W6" t="n">
        <v>106.926979142805</v>
      </c>
      <c r="X6" t="n">
        <v>112.030131018375</v>
      </c>
      <c r="Y6" t="n">
        <v>117.68978469612</v>
      </c>
      <c r="Z6" t="n">
        <v>127.154619061926</v>
      </c>
      <c r="AA6" t="n">
        <v>118.454566178741</v>
      </c>
      <c r="AB6" t="n">
        <v>111.08246931082</v>
      </c>
      <c r="AC6" t="n">
        <v>103.279155350969</v>
      </c>
      <c r="AD6" t="n">
        <v>99.8013245033112</v>
      </c>
      <c r="AE6" t="n">
        <v>100</v>
      </c>
      <c r="AF6" t="n">
        <v>100.561167227834</v>
      </c>
    </row>
    <row r="7">
      <c r="A7" t="s">
        <v>27</v>
      </c>
      <c r="B7" t="s">
        <v>171</v>
      </c>
      <c r="C7" t="s">
        <v>131</v>
      </c>
      <c r="D7" t="s">
        <v>172</v>
      </c>
      <c r="E7" t="s">
        <v>132</v>
      </c>
      <c r="F7" t="n">
        <v>61.262382689625</v>
      </c>
      <c r="G7" t="n">
        <v>63.3307577333231</v>
      </c>
      <c r="H7" t="n">
        <v>63.4295191488916</v>
      </c>
      <c r="I7" t="n">
        <v>66.1028233348931</v>
      </c>
      <c r="J7" t="n">
        <v>73.2407591104087</v>
      </c>
      <c r="K7" t="n">
        <v>85.4311010917233</v>
      </c>
      <c r="L7" t="n">
        <v>107.557018171738</v>
      </c>
      <c r="M7" t="n">
        <v>105.227293196307</v>
      </c>
      <c r="N7" t="n">
        <v>115.409489317848</v>
      </c>
      <c r="O7" t="n">
        <v>114.374462613037</v>
      </c>
      <c r="P7" t="n">
        <v>115.396535476916</v>
      </c>
      <c r="Q7" t="n">
        <v>118.20077144029</v>
      </c>
      <c r="R7" t="n">
        <v>95.3427019332748</v>
      </c>
      <c r="S7" t="n">
        <v>85.1245688041171</v>
      </c>
      <c r="T7" t="n">
        <v>97.2718083894282</v>
      </c>
      <c r="U7" t="n">
        <v>90.1230636773911</v>
      </c>
      <c r="V7" t="n">
        <v>81.4958558614366</v>
      </c>
      <c r="W7" t="n">
        <v>79.2367704830887</v>
      </c>
      <c r="X7" t="n">
        <v>88.7048272890992</v>
      </c>
      <c r="Y7" t="n">
        <v>96.1337337827184</v>
      </c>
      <c r="Z7" t="n">
        <v>105.154814014462</v>
      </c>
      <c r="AA7" t="n">
        <v>102.871794015182</v>
      </c>
      <c r="AB7" t="n">
        <v>103.916177710767</v>
      </c>
      <c r="AC7" t="n">
        <v>103.867527814835</v>
      </c>
      <c r="AD7" t="n">
        <v>101.203966005666</v>
      </c>
      <c r="AE7" t="n">
        <v>100</v>
      </c>
      <c r="AF7" t="n">
        <v>106.564767978887</v>
      </c>
    </row>
    <row r="8">
      <c r="A8" t="s">
        <v>27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27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27</v>
      </c>
      <c r="B10" t="s">
        <v>177</v>
      </c>
      <c r="C10" t="s">
        <v>131</v>
      </c>
      <c r="D10" t="s">
        <v>178</v>
      </c>
      <c r="E10" t="s">
        <v>132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27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27</v>
      </c>
      <c r="B12" t="s">
        <v>181</v>
      </c>
      <c r="C12" t="s">
        <v>131</v>
      </c>
      <c r="D12" t="s">
        <v>182</v>
      </c>
      <c r="E12" t="s">
        <v>132</v>
      </c>
      <c r="F12" t="n">
        <v>42.3651329264359</v>
      </c>
      <c r="G12" t="n">
        <v>43.0613467861541</v>
      </c>
      <c r="H12" t="n">
        <v>45.8649988973165</v>
      </c>
      <c r="I12" t="n">
        <v>52.8718140694672</v>
      </c>
      <c r="J12" t="n">
        <v>56.713479411639</v>
      </c>
      <c r="K12" t="n">
        <v>59.4320359940337</v>
      </c>
      <c r="L12" t="n">
        <v>63.1902841631861</v>
      </c>
      <c r="M12" t="n">
        <v>65.8941173874039</v>
      </c>
      <c r="N12" t="n">
        <v>66.2159882457412</v>
      </c>
      <c r="O12" t="n">
        <v>68.8517832920963</v>
      </c>
      <c r="P12" t="n">
        <v>74.0660925806879</v>
      </c>
      <c r="Q12" t="n">
        <v>78.4699754112471</v>
      </c>
      <c r="R12" t="n">
        <v>78.2978737213005</v>
      </c>
      <c r="S12" t="n">
        <v>69.3911667274684</v>
      </c>
      <c r="T12" t="n">
        <v>68.9672612773834</v>
      </c>
      <c r="U12" t="n">
        <v>57.0930720170618</v>
      </c>
      <c r="V12" t="n">
        <v>63.234279817892</v>
      </c>
      <c r="W12" t="n">
        <v>66.6154268348897</v>
      </c>
      <c r="X12" t="n">
        <v>77.3568704710248</v>
      </c>
      <c r="Y12" t="n">
        <v>96.2923596950302</v>
      </c>
      <c r="Z12" t="n">
        <v>88.6695934176301</v>
      </c>
      <c r="AA12" t="n">
        <v>100.244262881281</v>
      </c>
      <c r="AB12" t="n">
        <v>99.8099868823956</v>
      </c>
      <c r="AC12" t="n">
        <v>94.187497514979</v>
      </c>
      <c r="AD12" t="n">
        <v>99.4548551959114</v>
      </c>
      <c r="AE12" t="n">
        <v>100</v>
      </c>
      <c r="AF12" t="n">
        <v>105.712722298222</v>
      </c>
    </row>
    <row r="13">
      <c r="A13" t="s">
        <v>27</v>
      </c>
      <c r="B13" t="s">
        <v>183</v>
      </c>
      <c r="C13" t="s">
        <v>131</v>
      </c>
      <c r="D13" t="s">
        <v>184</v>
      </c>
      <c r="E13" t="s">
        <v>132</v>
      </c>
      <c r="F13" t="n">
        <v>43.0245525665507</v>
      </c>
      <c r="G13" t="n">
        <v>45.6323672833396</v>
      </c>
      <c r="H13" t="n">
        <v>48.837031104508</v>
      </c>
      <c r="I13" t="n">
        <v>54.11582399328</v>
      </c>
      <c r="J13" t="n">
        <v>59.4147642494382</v>
      </c>
      <c r="K13" t="n">
        <v>60.5017549581709</v>
      </c>
      <c r="L13" t="n">
        <v>69.1529404802271</v>
      </c>
      <c r="M13" t="n">
        <v>69.589418489689</v>
      </c>
      <c r="N13" t="n">
        <v>72.9244273947702</v>
      </c>
      <c r="O13" t="n">
        <v>78.8787277631088</v>
      </c>
      <c r="P13" t="n">
        <v>86.7974836875248</v>
      </c>
      <c r="Q13" t="n">
        <v>101.381955351589</v>
      </c>
      <c r="R13" t="n">
        <v>93.5011905766001</v>
      </c>
      <c r="S13" t="n">
        <v>89.9581093468009</v>
      </c>
      <c r="T13" t="n">
        <v>95.6315521663519</v>
      </c>
      <c r="U13" t="n">
        <v>79.9728396337542</v>
      </c>
      <c r="V13" t="n">
        <v>71.0115367206341</v>
      </c>
      <c r="W13" t="n">
        <v>83.9866219061954</v>
      </c>
      <c r="X13" t="n">
        <v>87.6390988612921</v>
      </c>
      <c r="Y13" t="n">
        <v>91.1498229351174</v>
      </c>
      <c r="Z13" t="n">
        <v>91.7540198833156</v>
      </c>
      <c r="AA13" t="n">
        <v>89.3101151741361</v>
      </c>
      <c r="AB13" t="n">
        <v>103.225418031681</v>
      </c>
      <c r="AC13" t="n">
        <v>109.505743066139</v>
      </c>
      <c r="AD13" t="n">
        <v>101.291131769219</v>
      </c>
      <c r="AE13" t="n">
        <v>100</v>
      </c>
      <c r="AF13" t="n">
        <v>106.623409454791</v>
      </c>
    </row>
    <row r="14">
      <c r="A14" t="s">
        <v>27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27</v>
      </c>
      <c r="B15" t="s">
        <v>187</v>
      </c>
      <c r="C15" t="s">
        <v>131</v>
      </c>
      <c r="D15" t="s">
        <v>188</v>
      </c>
      <c r="E15" t="s">
        <v>132</v>
      </c>
      <c r="F15" t="n">
        <v>53.7860335754996</v>
      </c>
      <c r="G15" t="n">
        <v>60.2831920565956</v>
      </c>
      <c r="H15" t="n">
        <v>66.4161569277131</v>
      </c>
      <c r="I15" t="n">
        <v>81.4070361423549</v>
      </c>
      <c r="J15" t="n">
        <v>79.4127131114554</v>
      </c>
      <c r="K15" t="n">
        <v>66.031982041308</v>
      </c>
      <c r="L15" t="n">
        <v>92.7450780358845</v>
      </c>
      <c r="M15" t="n">
        <v>82.8780180086622</v>
      </c>
      <c r="N15" t="n">
        <v>90.7661957665196</v>
      </c>
      <c r="O15" t="n">
        <v>75.5955231057353</v>
      </c>
      <c r="P15" t="n">
        <v>71.3168037860229</v>
      </c>
      <c r="Q15" t="n">
        <v>64.7084234242415</v>
      </c>
      <c r="R15" t="n">
        <v>49.1304914683318</v>
      </c>
      <c r="S15" t="n">
        <v>42.5782912665344</v>
      </c>
      <c r="T15" t="n">
        <v>70.547966297058</v>
      </c>
      <c r="U15" t="n">
        <v>84.9269231113616</v>
      </c>
      <c r="V15" t="n">
        <v>97.8161928587143</v>
      </c>
      <c r="W15" t="n">
        <v>93.27352655785</v>
      </c>
      <c r="X15" t="n">
        <v>106.558246030379</v>
      </c>
      <c r="Y15" t="n">
        <v>110.724513345958</v>
      </c>
      <c r="Z15" t="n">
        <v>118.328330013491</v>
      </c>
      <c r="AA15" t="n">
        <v>105.660507346508</v>
      </c>
      <c r="AB15" t="n">
        <v>100.040267594034</v>
      </c>
      <c r="AC15" t="n">
        <v>110.846010783634</v>
      </c>
      <c r="AD15" t="n">
        <v>99.6358183376178</v>
      </c>
      <c r="AE15" t="n">
        <v>100</v>
      </c>
      <c r="AF15" t="n">
        <v>104.795454545455</v>
      </c>
    </row>
    <row r="16">
      <c r="A16" t="s">
        <v>27</v>
      </c>
      <c r="B16" t="s">
        <v>189</v>
      </c>
      <c r="C16" t="s">
        <v>131</v>
      </c>
      <c r="D16" t="s">
        <v>190</v>
      </c>
      <c r="E16" t="s">
        <v>132</v>
      </c>
      <c r="F16" t="n">
        <v>231.066390767671</v>
      </c>
      <c r="G16" t="n">
        <v>258.19763423844</v>
      </c>
      <c r="H16" t="n">
        <v>235.095740648685</v>
      </c>
      <c r="I16" t="n">
        <v>221.074028768766</v>
      </c>
      <c r="J16" t="n">
        <v>222.732775128848</v>
      </c>
      <c r="K16" t="n">
        <v>184.084189184939</v>
      </c>
      <c r="L16" t="n">
        <v>159.8540264742</v>
      </c>
      <c r="M16" t="n">
        <v>130.753230803979</v>
      </c>
      <c r="N16" t="n">
        <v>88.17891700073</v>
      </c>
      <c r="O16" t="n">
        <v>34.0276423897527</v>
      </c>
      <c r="P16" t="n">
        <v>51.1951103744684</v>
      </c>
      <c r="Q16" t="n">
        <v>54.2045290294269</v>
      </c>
      <c r="R16" t="n">
        <v>57.5020020872663</v>
      </c>
      <c r="S16" t="n">
        <v>68.4800011691012</v>
      </c>
      <c r="T16" t="n">
        <v>93.652856176953</v>
      </c>
      <c r="U16" t="n">
        <v>45.0536493577847</v>
      </c>
      <c r="V16" t="n">
        <v>73.2390161105444</v>
      </c>
      <c r="W16" t="n">
        <v>81.7084198038603</v>
      </c>
      <c r="X16" t="n">
        <v>89.6631337083507</v>
      </c>
      <c r="Y16" t="n">
        <v>110.724513345958</v>
      </c>
      <c r="Z16" t="n">
        <v>118.328330013491</v>
      </c>
      <c r="AA16" t="n">
        <v>105.660507346508</v>
      </c>
      <c r="AB16" t="n">
        <v>100.040267594034</v>
      </c>
      <c r="AC16" t="n">
        <v>110.846010783634</v>
      </c>
      <c r="AD16" t="n">
        <v>99.6358183376178</v>
      </c>
      <c r="AE16" t="n">
        <v>100</v>
      </c>
      <c r="AF16" t="n">
        <v>104.795454545455</v>
      </c>
    </row>
    <row r="17">
      <c r="A17" t="s">
        <v>27</v>
      </c>
      <c r="B17" t="s">
        <v>191</v>
      </c>
      <c r="C17" t="s">
        <v>131</v>
      </c>
      <c r="D17" t="s">
        <v>192</v>
      </c>
      <c r="E17" t="s">
        <v>132</v>
      </c>
      <c r="F17" t="n">
        <v>34.7144487468193</v>
      </c>
      <c r="G17" t="n">
        <v>37.3847909581131</v>
      </c>
      <c r="H17" t="n">
        <v>40.5726413498902</v>
      </c>
      <c r="I17" t="n">
        <v>36.4271176786753</v>
      </c>
      <c r="J17" t="n">
        <v>53.0388014297541</v>
      </c>
      <c r="K17" t="n">
        <v>49.9874059500088</v>
      </c>
      <c r="L17" t="n">
        <v>59.6938879805438</v>
      </c>
      <c r="M17" t="n">
        <v>98.7957755512438</v>
      </c>
      <c r="N17" t="n">
        <v>94.6917496743517</v>
      </c>
      <c r="O17" t="n">
        <v>131.45468740316</v>
      </c>
      <c r="P17" t="n">
        <v>144.213325106719</v>
      </c>
      <c r="Q17" t="n">
        <v>129.489140628429</v>
      </c>
      <c r="R17" t="n">
        <v>147.783669383131</v>
      </c>
      <c r="S17" t="n">
        <v>148.493811092137</v>
      </c>
      <c r="T17" t="n">
        <v>133.052777114301</v>
      </c>
      <c r="U17" t="n">
        <v>79.7391531948159</v>
      </c>
      <c r="V17" t="n">
        <v>88.2407936014879</v>
      </c>
      <c r="W17" t="n">
        <v>92.0883845788193</v>
      </c>
      <c r="X17" t="n">
        <v>96.7706745093953</v>
      </c>
      <c r="Y17" t="n">
        <v>91.6096903080038</v>
      </c>
      <c r="Z17" t="n">
        <v>79.339919898053</v>
      </c>
      <c r="AA17" t="n">
        <v>87.8421288208152</v>
      </c>
      <c r="AB17" t="n">
        <v>88.1828773405662</v>
      </c>
      <c r="AC17" t="n">
        <v>88.4535046789579</v>
      </c>
      <c r="AD17" t="n">
        <v>95.5360052134246</v>
      </c>
      <c r="AE17" t="n">
        <v>100</v>
      </c>
      <c r="AF17" t="n">
        <v>98.5076615589607</v>
      </c>
    </row>
    <row r="18">
      <c r="A18" t="s">
        <v>27</v>
      </c>
      <c r="B18" t="s">
        <v>193</v>
      </c>
      <c r="C18" t="s">
        <v>131</v>
      </c>
      <c r="D18" t="s">
        <v>194</v>
      </c>
      <c r="E18" t="s">
        <v>132</v>
      </c>
      <c r="F18" t="n">
        <v>101.382022531895</v>
      </c>
      <c r="G18" t="n">
        <v>100.607621341327</v>
      </c>
      <c r="H18" t="n">
        <v>90.0395938895069</v>
      </c>
      <c r="I18" t="n">
        <v>111.53227210932</v>
      </c>
      <c r="J18" t="n">
        <v>68.7152218843014</v>
      </c>
      <c r="K18" t="n">
        <v>66.7126966836764</v>
      </c>
      <c r="L18" t="n">
        <v>65.7450522052323</v>
      </c>
      <c r="M18" t="n">
        <v>72.5713824120434</v>
      </c>
      <c r="N18" t="n">
        <v>122.335223942905</v>
      </c>
      <c r="O18" t="n">
        <v>83.830983313021</v>
      </c>
      <c r="P18" t="n">
        <v>95.5624328728607</v>
      </c>
      <c r="Q18" t="n">
        <v>86.8196163650697</v>
      </c>
      <c r="R18" t="n">
        <v>86.3254591791039</v>
      </c>
      <c r="S18" t="n">
        <v>77.231934588898</v>
      </c>
      <c r="T18" t="n">
        <v>66.8809783805932</v>
      </c>
      <c r="U18" t="n">
        <v>52.2070920791795</v>
      </c>
      <c r="V18" t="n">
        <v>53.0161354386563</v>
      </c>
      <c r="W18" t="n">
        <v>56.8011877531554</v>
      </c>
      <c r="X18" t="n">
        <v>67.4631601115492</v>
      </c>
      <c r="Y18" t="n">
        <v>86.2950895962393</v>
      </c>
      <c r="Z18" t="n">
        <v>107.287508955384</v>
      </c>
      <c r="AA18" t="n">
        <v>96.241210917225</v>
      </c>
      <c r="AB18" t="n">
        <v>98.31758335786</v>
      </c>
      <c r="AC18" t="n">
        <v>114.174351162788</v>
      </c>
      <c r="AD18" t="n">
        <v>102.557077625571</v>
      </c>
      <c r="AE18" t="n">
        <v>100</v>
      </c>
      <c r="AF18" t="n">
        <v>117.432835820896</v>
      </c>
    </row>
    <row r="19">
      <c r="A19" t="s">
        <v>27</v>
      </c>
      <c r="B19" t="s">
        <v>195</v>
      </c>
      <c r="C19" t="s">
        <v>131</v>
      </c>
      <c r="D19" t="s">
        <v>196</v>
      </c>
      <c r="E19" t="s">
        <v>132</v>
      </c>
      <c r="F19" t="n">
        <v>9.87698468043855</v>
      </c>
      <c r="G19" t="n">
        <v>10.0327163976559</v>
      </c>
      <c r="H19" t="n">
        <v>10.5201080255954</v>
      </c>
      <c r="I19" t="n">
        <v>13.3689605011484</v>
      </c>
      <c r="J19" t="n">
        <v>14.2413501915705</v>
      </c>
      <c r="K19" t="n">
        <v>10.9339985650379</v>
      </c>
      <c r="L19" t="n">
        <v>13.8333465032451</v>
      </c>
      <c r="M19" t="n">
        <v>16.5394468765061</v>
      </c>
      <c r="N19" t="n">
        <v>22.8719541363577</v>
      </c>
      <c r="O19" t="n">
        <v>23.6964611404217</v>
      </c>
      <c r="P19" t="n">
        <v>15.9759714656327</v>
      </c>
      <c r="Q19" t="n">
        <v>17.063044077085</v>
      </c>
      <c r="R19" t="n">
        <v>16.7580669631904</v>
      </c>
      <c r="S19" t="n">
        <v>17.3954903691523</v>
      </c>
      <c r="T19" t="n">
        <v>28.3634897246141</v>
      </c>
      <c r="U19" t="n">
        <v>45.6287843353001</v>
      </c>
      <c r="V19" t="n">
        <v>59.5739076829545</v>
      </c>
      <c r="W19" t="n">
        <v>50.0721539380612</v>
      </c>
      <c r="X19" t="n">
        <v>56.7827066689862</v>
      </c>
      <c r="Y19" t="n">
        <v>48.0665364984141</v>
      </c>
      <c r="Z19" t="n">
        <v>57.5030544720502</v>
      </c>
      <c r="AA19" t="n">
        <v>30.2650851783162</v>
      </c>
      <c r="AB19" t="n">
        <v>59.9169345192943</v>
      </c>
      <c r="AC19" t="n">
        <v>53.7755268881207</v>
      </c>
      <c r="AD19" t="n">
        <v>81.3377824304283</v>
      </c>
      <c r="AE19" t="n">
        <v>100</v>
      </c>
      <c r="AF19" t="n">
        <v>90.1374453116936</v>
      </c>
    </row>
    <row r="20">
      <c r="A20" t="s">
        <v>27</v>
      </c>
      <c r="B20" t="s">
        <v>197</v>
      </c>
      <c r="C20" t="s">
        <v>131</v>
      </c>
      <c r="D20" t="s">
        <v>198</v>
      </c>
      <c r="E20" t="s">
        <v>132</v>
      </c>
      <c r="F20" t="n">
        <v>77.1453717258246</v>
      </c>
      <c r="G20" t="n">
        <v>65.1946302156359</v>
      </c>
      <c r="H20" t="n">
        <v>68.6028460742065</v>
      </c>
      <c r="I20" t="n">
        <v>75.1460430298431</v>
      </c>
      <c r="J20" t="n">
        <v>55.4552939735192</v>
      </c>
      <c r="K20" t="n">
        <v>73.1803945671772</v>
      </c>
      <c r="L20" t="n">
        <v>84.7290014268646</v>
      </c>
      <c r="M20" t="n">
        <v>81.4546798931465</v>
      </c>
      <c r="N20" t="n">
        <v>91.218259598055</v>
      </c>
      <c r="O20" t="n">
        <v>95.8295573034802</v>
      </c>
      <c r="P20" t="n">
        <v>87.5014235237935</v>
      </c>
      <c r="Q20" t="n">
        <v>96.5217527600973</v>
      </c>
      <c r="R20" t="n">
        <v>113.684442947255</v>
      </c>
      <c r="S20" t="n">
        <v>118.066107007688</v>
      </c>
      <c r="T20" t="n">
        <v>133.229711125076</v>
      </c>
      <c r="U20" t="n">
        <v>125.386807193934</v>
      </c>
      <c r="V20" t="n">
        <v>147.312172742564</v>
      </c>
      <c r="W20" t="n">
        <v>163.569810303855</v>
      </c>
      <c r="X20" t="n">
        <v>182.147655302565</v>
      </c>
      <c r="Y20" t="n">
        <v>148.662415496076</v>
      </c>
      <c r="Z20" t="n">
        <v>142.118568116146</v>
      </c>
      <c r="AA20" t="n">
        <v>138.021218093733</v>
      </c>
      <c r="AB20" t="n">
        <v>121.450038851767</v>
      </c>
      <c r="AC20" t="n">
        <v>126.281469599675</v>
      </c>
      <c r="AD20" t="n">
        <v>124.97071765488</v>
      </c>
      <c r="AE20" t="n">
        <v>100</v>
      </c>
      <c r="AF20" t="n">
        <v>255.246209580035</v>
      </c>
    </row>
    <row r="21">
      <c r="A21" t="s">
        <v>27</v>
      </c>
      <c r="B21" t="s">
        <v>199</v>
      </c>
      <c r="C21" t="s">
        <v>131</v>
      </c>
      <c r="D21" t="s">
        <v>200</v>
      </c>
      <c r="E21" t="s">
        <v>132</v>
      </c>
      <c r="F21" t="n">
        <v>70.0738307188858</v>
      </c>
      <c r="G21" t="n">
        <v>62.4838158836184</v>
      </c>
      <c r="H21" t="n">
        <v>65.5632385996586</v>
      </c>
      <c r="I21" t="n">
        <v>73.4228831815033</v>
      </c>
      <c r="J21" t="n">
        <v>60.9196940850548</v>
      </c>
      <c r="K21" t="n">
        <v>74.8062579722079</v>
      </c>
      <c r="L21" t="n">
        <v>85.7502198549572</v>
      </c>
      <c r="M21" t="n">
        <v>83.6558021317646</v>
      </c>
      <c r="N21" t="n">
        <v>88.8963092768004</v>
      </c>
      <c r="O21" t="n">
        <v>94.6234028354139</v>
      </c>
      <c r="P21" t="n">
        <v>89.0492191876849</v>
      </c>
      <c r="Q21" t="n">
        <v>99.5658705236442</v>
      </c>
      <c r="R21" t="n">
        <v>113.723255376657</v>
      </c>
      <c r="S21" t="n">
        <v>117.012992810445</v>
      </c>
      <c r="T21" t="n">
        <v>127.968311332586</v>
      </c>
      <c r="U21" t="n">
        <v>113.162526731744</v>
      </c>
      <c r="V21" t="n">
        <v>122.956777926329</v>
      </c>
      <c r="W21" t="n">
        <v>137.417165677475</v>
      </c>
      <c r="X21" t="n">
        <v>151.313201572701</v>
      </c>
      <c r="Y21" t="n">
        <v>128.777670873072</v>
      </c>
      <c r="Z21" t="n">
        <v>126.11791310512</v>
      </c>
      <c r="AA21" t="n">
        <v>124.236899707919</v>
      </c>
      <c r="AB21" t="n">
        <v>116.119164158266</v>
      </c>
      <c r="AC21" t="n">
        <v>118.373353478794</v>
      </c>
      <c r="AD21" t="n">
        <v>115.537033779029</v>
      </c>
      <c r="AE21" t="n">
        <v>100</v>
      </c>
      <c r="AF21" t="n">
        <v>191.853747967761</v>
      </c>
    </row>
    <row r="22">
      <c r="A22" t="s">
        <v>27</v>
      </c>
      <c r="B22" t="s">
        <v>201</v>
      </c>
      <c r="C22" t="s">
        <v>131</v>
      </c>
      <c r="D22" t="s">
        <v>202</v>
      </c>
      <c r="E22" t="s">
        <v>132</v>
      </c>
      <c r="F22" t="n">
        <v>54.3094316328044</v>
      </c>
      <c r="G22" t="n">
        <v>54.2832457930586</v>
      </c>
      <c r="H22" t="n">
        <v>56.5758418921264</v>
      </c>
      <c r="I22" t="n">
        <v>66.5365761504409</v>
      </c>
      <c r="J22" t="n">
        <v>68.5503786786586</v>
      </c>
      <c r="K22" t="n">
        <v>74.5662304948535</v>
      </c>
      <c r="L22" t="n">
        <v>83.9028978185544</v>
      </c>
      <c r="M22" t="n">
        <v>84.066302579302</v>
      </c>
      <c r="N22" t="n">
        <v>81.1567396543709</v>
      </c>
      <c r="O22" t="n">
        <v>88.6392759345612</v>
      </c>
      <c r="P22" t="n">
        <v>88.0993034522374</v>
      </c>
      <c r="Q22" t="n">
        <v>100.667498695102</v>
      </c>
      <c r="R22" t="n">
        <v>109.221390449888</v>
      </c>
      <c r="S22" t="n">
        <v>110.451593571685</v>
      </c>
      <c r="T22" t="n">
        <v>113.129382466932</v>
      </c>
      <c r="U22" t="n">
        <v>85.4955278953073</v>
      </c>
      <c r="V22" t="n">
        <v>72.085599687851</v>
      </c>
      <c r="W22" t="n">
        <v>82.5621845898963</v>
      </c>
      <c r="X22" t="n">
        <v>87.2947333648058</v>
      </c>
      <c r="Y22" t="n">
        <v>86.128030028289</v>
      </c>
      <c r="Z22" t="n">
        <v>90.7093082212831</v>
      </c>
      <c r="AA22" t="n">
        <v>92.9675597182402</v>
      </c>
      <c r="AB22" t="n">
        <v>101.660849460391</v>
      </c>
      <c r="AC22" t="n">
        <v>99.1106515148947</v>
      </c>
      <c r="AD22" t="n">
        <v>94.0718864798675</v>
      </c>
      <c r="AE22" t="n">
        <v>100</v>
      </c>
      <c r="AF22" t="n">
        <v>124.373348568164</v>
      </c>
    </row>
    <row r="23">
      <c r="A23" t="s">
        <v>27</v>
      </c>
      <c r="B23" t="s">
        <v>203</v>
      </c>
      <c r="C23" t="s">
        <v>131</v>
      </c>
      <c r="D23" t="s">
        <v>204</v>
      </c>
      <c r="E23" t="s">
        <v>132</v>
      </c>
      <c r="F23" t="n">
        <v>52.3436973031935</v>
      </c>
      <c r="G23" t="n">
        <v>48.6854147276156</v>
      </c>
      <c r="H23" t="n">
        <v>50.2718204397513</v>
      </c>
      <c r="I23" t="n">
        <v>56.7717735407072</v>
      </c>
      <c r="J23" t="n">
        <v>61.8115596662079</v>
      </c>
      <c r="K23" t="n">
        <v>71.9494693078206</v>
      </c>
      <c r="L23" t="n">
        <v>81.2981419812673</v>
      </c>
      <c r="M23" t="n">
        <v>85.6561159129533</v>
      </c>
      <c r="N23" t="n">
        <v>92.3420880381767</v>
      </c>
      <c r="O23" t="n">
        <v>100.94798601842</v>
      </c>
      <c r="P23" t="n">
        <v>111.835545824248</v>
      </c>
      <c r="Q23" t="n">
        <v>126.889881163952</v>
      </c>
      <c r="R23" t="n">
        <v>116.257277651917</v>
      </c>
      <c r="S23" t="n">
        <v>84.8509411008436</v>
      </c>
      <c r="T23" t="n">
        <v>44.0132398677962</v>
      </c>
      <c r="U23" t="n">
        <v>33.4562899144347</v>
      </c>
      <c r="V23" t="n">
        <v>27.8307175557161</v>
      </c>
      <c r="W23" t="n">
        <v>51.5099759330522</v>
      </c>
      <c r="X23" t="n">
        <v>54.9002107873699</v>
      </c>
      <c r="Y23" t="n">
        <v>66.251820490912</v>
      </c>
      <c r="Z23" t="n">
        <v>70.4955156705206</v>
      </c>
      <c r="AA23" t="n">
        <v>77.3952417554316</v>
      </c>
      <c r="AB23" t="n">
        <v>91.653737231668</v>
      </c>
      <c r="AC23" t="n">
        <v>91.0303928415118</v>
      </c>
      <c r="AD23" t="n">
        <v>95.1108818978855</v>
      </c>
      <c r="AE23" t="n">
        <v>100</v>
      </c>
      <c r="AF23" t="n">
        <v>108.110483896591</v>
      </c>
    </row>
    <row r="24">
      <c r="A24" t="s">
        <v>27</v>
      </c>
      <c r="B24" t="s">
        <v>205</v>
      </c>
      <c r="C24" t="s">
        <v>131</v>
      </c>
      <c r="D24" t="s">
        <v>206</v>
      </c>
      <c r="E24" t="s">
        <v>132</v>
      </c>
      <c r="F24" t="n">
        <v>35.8477467305335</v>
      </c>
      <c r="G24" t="n">
        <v>40.9316736259498</v>
      </c>
      <c r="H24" t="n">
        <v>43.9335972114174</v>
      </c>
      <c r="I24" t="n">
        <v>44.9969257775327</v>
      </c>
      <c r="J24" t="n">
        <v>47.7465921457458</v>
      </c>
      <c r="K24" t="n">
        <v>53.6921535799727</v>
      </c>
      <c r="L24" t="n">
        <v>52.6966775435576</v>
      </c>
      <c r="M24" t="n">
        <v>58.4658633607149</v>
      </c>
      <c r="N24" t="n">
        <v>66.301167569272</v>
      </c>
      <c r="O24" t="n">
        <v>67.9901588671859</v>
      </c>
      <c r="P24" t="n">
        <v>72.926408551067</v>
      </c>
      <c r="Q24" t="n">
        <v>75.3059001113306</v>
      </c>
      <c r="R24" t="n">
        <v>73.5705861885139</v>
      </c>
      <c r="S24" t="n">
        <v>74.402850966524</v>
      </c>
      <c r="T24" t="n">
        <v>72.4680586189688</v>
      </c>
      <c r="U24" t="n">
        <v>76.8975020286193</v>
      </c>
      <c r="V24" t="n">
        <v>86.7902612166833</v>
      </c>
      <c r="W24" t="n">
        <v>91.585146031226</v>
      </c>
      <c r="X24" t="n">
        <v>99.4415594650144</v>
      </c>
      <c r="Y24" t="n">
        <v>93.1220267844948</v>
      </c>
      <c r="Z24" t="n">
        <v>87.8509930703763</v>
      </c>
      <c r="AA24" t="n">
        <v>88.5054359520901</v>
      </c>
      <c r="AB24" t="n">
        <v>89.6467708175951</v>
      </c>
      <c r="AC24" t="n">
        <v>91.1977375754286</v>
      </c>
      <c r="AD24" t="n">
        <v>89.8310644579301</v>
      </c>
      <c r="AE24" t="n">
        <v>100</v>
      </c>
      <c r="AF24" t="n">
        <v>93.0876160024955</v>
      </c>
    </row>
    <row r="25">
      <c r="A25" t="s">
        <v>27</v>
      </c>
      <c r="B25" t="s">
        <v>207</v>
      </c>
      <c r="C25" t="s">
        <v>131</v>
      </c>
      <c r="D25" t="s">
        <v>208</v>
      </c>
      <c r="E25" t="s">
        <v>132</v>
      </c>
      <c r="F25" t="n">
        <v>38.3739727108648</v>
      </c>
      <c r="G25" t="n">
        <v>39.1265104732777</v>
      </c>
      <c r="H25" t="n">
        <v>41.565004122666</v>
      </c>
      <c r="I25" t="n">
        <v>42.7439525037264</v>
      </c>
      <c r="J25" t="n">
        <v>45.3078907951312</v>
      </c>
      <c r="K25" t="n">
        <v>44.3722569971726</v>
      </c>
      <c r="L25" t="n">
        <v>58.4755177317895</v>
      </c>
      <c r="M25" t="n">
        <v>61.276770580878</v>
      </c>
      <c r="N25" t="n">
        <v>64.8712329360537</v>
      </c>
      <c r="O25" t="n">
        <v>71.9427724985098</v>
      </c>
      <c r="P25" t="n">
        <v>75.3585644752211</v>
      </c>
      <c r="Q25" t="n">
        <v>77.3836904817723</v>
      </c>
      <c r="R25" t="n">
        <v>78.7327323586203</v>
      </c>
      <c r="S25" t="n">
        <v>75.5614759564765</v>
      </c>
      <c r="T25" t="n">
        <v>97.4396073877523</v>
      </c>
      <c r="U25" t="n">
        <v>86.0853841133608</v>
      </c>
      <c r="V25" t="n">
        <v>76.4543918662533</v>
      </c>
      <c r="W25" t="n">
        <v>80.1255266916722</v>
      </c>
      <c r="X25" t="n">
        <v>91.333451221957</v>
      </c>
      <c r="Y25" t="n">
        <v>87.4238447763886</v>
      </c>
      <c r="Z25" t="n">
        <v>78.556101917836</v>
      </c>
      <c r="AA25" t="n">
        <v>79.1381771371904</v>
      </c>
      <c r="AB25" t="n">
        <v>81.1925921195837</v>
      </c>
      <c r="AC25" t="n">
        <v>79.0938620636538</v>
      </c>
      <c r="AD25" t="n">
        <v>84.733606557377</v>
      </c>
      <c r="AE25" t="n">
        <v>100</v>
      </c>
      <c r="AF25" t="n">
        <v>87.2407553472834</v>
      </c>
    </row>
    <row r="26">
      <c r="A26" t="s">
        <v>27</v>
      </c>
      <c r="B26" t="s">
        <v>209</v>
      </c>
      <c r="C26" t="s">
        <v>131</v>
      </c>
      <c r="D26" t="s">
        <v>210</v>
      </c>
      <c r="E26" t="s">
        <v>132</v>
      </c>
      <c r="F26" t="n">
        <v>24.875913587269</v>
      </c>
      <c r="G26" t="n">
        <v>31.9211940602492</v>
      </c>
      <c r="H26" t="n">
        <v>35.038618076818</v>
      </c>
      <c r="I26" t="n">
        <v>38.4626985948257</v>
      </c>
      <c r="J26" t="n">
        <v>38.1568537107013</v>
      </c>
      <c r="K26" t="n">
        <v>42.5621918396931</v>
      </c>
      <c r="L26" t="n">
        <v>37.5512616251643</v>
      </c>
      <c r="M26" t="n">
        <v>44.866145776365</v>
      </c>
      <c r="N26" t="n">
        <v>50.7873915475764</v>
      </c>
      <c r="O26" t="n">
        <v>48.6943655516007</v>
      </c>
      <c r="P26" t="n">
        <v>55.6493854319534</v>
      </c>
      <c r="Q26" t="n">
        <v>56.6939375058338</v>
      </c>
      <c r="R26" t="n">
        <v>51.7906508858985</v>
      </c>
      <c r="S26" t="n">
        <v>54.7035642724036</v>
      </c>
      <c r="T26" t="n">
        <v>47.292187435665</v>
      </c>
      <c r="U26" t="n">
        <v>61.7187734582508</v>
      </c>
      <c r="V26" t="n">
        <v>77.4405817409133</v>
      </c>
      <c r="W26" t="n">
        <v>82.1830414348901</v>
      </c>
      <c r="X26" t="n">
        <v>91.6052728052776</v>
      </c>
      <c r="Y26" t="n">
        <v>83.2574855082851</v>
      </c>
      <c r="Z26" t="n">
        <v>79.8462492490963</v>
      </c>
      <c r="AA26" t="n">
        <v>79.5412711081324</v>
      </c>
      <c r="AB26" t="n">
        <v>82.2639684195555</v>
      </c>
      <c r="AC26" t="n">
        <v>83.0571309663961</v>
      </c>
      <c r="AD26" t="n">
        <v>85.9257563104442</v>
      </c>
      <c r="AE26" t="n">
        <v>100</v>
      </c>
      <c r="AF26" t="n">
        <v>88.5031577013879</v>
      </c>
    </row>
    <row r="27">
      <c r="A27" t="s">
        <v>27</v>
      </c>
      <c r="B27" t="s">
        <v>211</v>
      </c>
      <c r="C27" t="s">
        <v>131</v>
      </c>
      <c r="D27" t="s">
        <v>212</v>
      </c>
      <c r="E27" t="s">
        <v>132</v>
      </c>
      <c r="F27" t="n">
        <v>50.3050917610938</v>
      </c>
      <c r="G27" t="n">
        <v>53.9029038630804</v>
      </c>
      <c r="H27" t="n">
        <v>56.8954538193628</v>
      </c>
      <c r="I27" t="n">
        <v>54.5939769030566</v>
      </c>
      <c r="J27" t="n">
        <v>61.9476387853124</v>
      </c>
      <c r="K27" t="n">
        <v>73.3170774876034</v>
      </c>
      <c r="L27" t="n">
        <v>73.8732315056771</v>
      </c>
      <c r="M27" t="n">
        <v>77.5957559063645</v>
      </c>
      <c r="N27" t="n">
        <v>89.5075362574767</v>
      </c>
      <c r="O27" t="n">
        <v>96.367054404005</v>
      </c>
      <c r="P27" t="n">
        <v>97.9346200578689</v>
      </c>
      <c r="Q27" t="n">
        <v>102.64022063723</v>
      </c>
      <c r="R27" t="n">
        <v>105.224084011239</v>
      </c>
      <c r="S27" t="n">
        <v>103.690327029973</v>
      </c>
      <c r="T27" t="n">
        <v>106.21017005148</v>
      </c>
      <c r="U27" t="n">
        <v>98.3938259583537</v>
      </c>
      <c r="V27" t="n">
        <v>103.023760413111</v>
      </c>
      <c r="W27" t="n">
        <v>108.114238771029</v>
      </c>
      <c r="X27" t="n">
        <v>113.03131083829</v>
      </c>
      <c r="Y27" t="n">
        <v>109.444547353908</v>
      </c>
      <c r="Z27" t="n">
        <v>102.056608981847</v>
      </c>
      <c r="AA27" t="n">
        <v>104.280733823015</v>
      </c>
      <c r="AB27" t="n">
        <v>102.65150071105</v>
      </c>
      <c r="AC27" t="n">
        <v>106.232354811572</v>
      </c>
      <c r="AD27" t="n">
        <v>96.7956387394792</v>
      </c>
      <c r="AE27" t="n">
        <v>100</v>
      </c>
      <c r="AF27" t="n">
        <v>102.72810002374</v>
      </c>
    </row>
    <row r="28">
      <c r="A28" t="s">
        <v>27</v>
      </c>
      <c r="B28" t="s">
        <v>213</v>
      </c>
      <c r="C28" t="s">
        <v>131</v>
      </c>
      <c r="D28" t="s">
        <v>214</v>
      </c>
      <c r="E28" t="s">
        <v>132</v>
      </c>
      <c r="F28" t="n">
        <v>58.9652204902198</v>
      </c>
      <c r="G28" t="n">
        <v>63.0678037138439</v>
      </c>
      <c r="H28" t="n">
        <v>68.8282023271605</v>
      </c>
      <c r="I28" t="n">
        <v>77.8203110621074</v>
      </c>
      <c r="J28" t="n">
        <v>80.0382121849448</v>
      </c>
      <c r="K28" t="n">
        <v>89.5789464126477</v>
      </c>
      <c r="L28" t="n">
        <v>93.2773456260878</v>
      </c>
      <c r="M28" t="n">
        <v>95.1626410657485</v>
      </c>
      <c r="N28" t="n">
        <v>101.497690308564</v>
      </c>
      <c r="O28" t="n">
        <v>107.552500980505</v>
      </c>
      <c r="P28" t="n">
        <v>109.762554878094</v>
      </c>
      <c r="Q28" t="n">
        <v>114.850573961941</v>
      </c>
      <c r="R28" t="n">
        <v>119.130336343286</v>
      </c>
      <c r="S28" t="n">
        <v>110.224764332379</v>
      </c>
      <c r="T28" t="n">
        <v>129.921561591644</v>
      </c>
      <c r="U28" t="n">
        <v>125.331114399678</v>
      </c>
      <c r="V28" t="n">
        <v>118.817434232455</v>
      </c>
      <c r="W28" t="n">
        <v>117.249447060878</v>
      </c>
      <c r="X28" t="n">
        <v>122.475211153723</v>
      </c>
      <c r="Y28" t="n">
        <v>125.102425834588</v>
      </c>
      <c r="Z28" t="n">
        <v>125.627193833834</v>
      </c>
      <c r="AA28" t="n">
        <v>121.454749910274</v>
      </c>
      <c r="AB28" t="n">
        <v>122.000414156727</v>
      </c>
      <c r="AC28" t="n">
        <v>105.22731803432</v>
      </c>
      <c r="AD28" t="n">
        <v>112.492976212774</v>
      </c>
      <c r="AE28" t="n">
        <v>100</v>
      </c>
      <c r="AF28" t="n">
        <v>128.14807085279</v>
      </c>
    </row>
    <row r="29">
      <c r="A29" t="s">
        <v>27</v>
      </c>
      <c r="B29" t="s">
        <v>215</v>
      </c>
      <c r="C29" t="s">
        <v>131</v>
      </c>
      <c r="D29" t="s">
        <v>216</v>
      </c>
      <c r="E29" t="s">
        <v>132</v>
      </c>
      <c r="F29" t="n">
        <v>38.3232702235473</v>
      </c>
      <c r="G29" t="n">
        <v>42.1727190273915</v>
      </c>
      <c r="H29" t="n">
        <v>48.0871513739604</v>
      </c>
      <c r="I29" t="n">
        <v>59.6044310793397</v>
      </c>
      <c r="J29" t="n">
        <v>59.7912946575413</v>
      </c>
      <c r="K29" t="n">
        <v>71.1046115889087</v>
      </c>
      <c r="L29" t="n">
        <v>76.6098133326876</v>
      </c>
      <c r="M29" t="n">
        <v>72.6088722043773</v>
      </c>
      <c r="N29" t="n">
        <v>75.4465917220089</v>
      </c>
      <c r="O29" t="n">
        <v>89.8116801506252</v>
      </c>
      <c r="P29" t="n">
        <v>89.4601368144332</v>
      </c>
      <c r="Q29" t="n">
        <v>91.5385652637411</v>
      </c>
      <c r="R29" t="n">
        <v>93.8083819235617</v>
      </c>
      <c r="S29" t="n">
        <v>95.0550169439241</v>
      </c>
      <c r="T29" t="n">
        <v>98.9745562510437</v>
      </c>
      <c r="U29" t="n">
        <v>94.7380851434549</v>
      </c>
      <c r="V29" t="n">
        <v>80.9628866843095</v>
      </c>
      <c r="W29" t="n">
        <v>80.0738974007353</v>
      </c>
      <c r="X29" t="n">
        <v>81.3748288388094</v>
      </c>
      <c r="Y29" t="n">
        <v>81.5769093519065</v>
      </c>
      <c r="Z29" t="n">
        <v>85.1863141100245</v>
      </c>
      <c r="AA29" t="n">
        <v>79.8949256921633</v>
      </c>
      <c r="AB29" t="n">
        <v>80.9087791845113</v>
      </c>
      <c r="AC29" t="n">
        <v>82.908656613616</v>
      </c>
      <c r="AD29" t="n">
        <v>88.1242807825086</v>
      </c>
      <c r="AE29" t="n">
        <v>100</v>
      </c>
      <c r="AF29" t="n">
        <v>106.814510207079</v>
      </c>
    </row>
    <row r="30">
      <c r="A30" t="s">
        <v>27</v>
      </c>
      <c r="B30" t="s">
        <v>217</v>
      </c>
      <c r="C30" t="s">
        <v>131</v>
      </c>
      <c r="D30" t="s">
        <v>218</v>
      </c>
      <c r="E30" t="s">
        <v>132</v>
      </c>
      <c r="F30" t="n">
        <v>53.6707498401127</v>
      </c>
      <c r="G30" t="n">
        <v>63.9313343683695</v>
      </c>
      <c r="H30" t="n">
        <v>75.4613462194617</v>
      </c>
      <c r="I30" t="n">
        <v>91.7403059885795</v>
      </c>
      <c r="J30" t="n">
        <v>100.211983810729</v>
      </c>
      <c r="K30" t="n">
        <v>111.09670326881</v>
      </c>
      <c r="L30" t="n">
        <v>131.465784730075</v>
      </c>
      <c r="M30" t="n">
        <v>156.601281569299</v>
      </c>
      <c r="N30" t="n">
        <v>161.955834804324</v>
      </c>
      <c r="O30" t="n">
        <v>199.014862242509</v>
      </c>
      <c r="P30" t="n">
        <v>126.631165890232</v>
      </c>
      <c r="Q30" t="n">
        <v>123.888834909169</v>
      </c>
      <c r="R30" t="n">
        <v>148.253903658122</v>
      </c>
      <c r="S30" t="n">
        <v>78.8306597007053</v>
      </c>
      <c r="T30" t="n">
        <v>147.772831021604</v>
      </c>
      <c r="U30" t="n">
        <v>86.7270746166676</v>
      </c>
      <c r="V30" t="n">
        <v>72.4470952615632</v>
      </c>
      <c r="W30" t="n">
        <v>75.2841843067713</v>
      </c>
      <c r="X30" t="n">
        <v>86.2527409607379</v>
      </c>
      <c r="Y30" t="n">
        <v>90.0533513335489</v>
      </c>
      <c r="Z30" t="n">
        <v>83.0388863957696</v>
      </c>
      <c r="AA30" t="n">
        <v>79.5968600166703</v>
      </c>
      <c r="AB30" t="n">
        <v>77.8688413460235</v>
      </c>
      <c r="AC30" t="n">
        <v>77.9893813481071</v>
      </c>
      <c r="AD30" t="n">
        <v>80.5555555555556</v>
      </c>
      <c r="AE30" t="n">
        <v>100</v>
      </c>
      <c r="AF30" t="n">
        <v>83.5917312661499</v>
      </c>
    </row>
    <row r="31">
      <c r="A31" t="s">
        <v>27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27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27</v>
      </c>
      <c r="B33" t="s">
        <v>223</v>
      </c>
      <c r="C33" t="s">
        <v>131</v>
      </c>
      <c r="D33" t="s">
        <v>224</v>
      </c>
      <c r="E33" t="s">
        <v>132</v>
      </c>
      <c r="F33" t="n">
        <v>49.4498632816958</v>
      </c>
      <c r="G33" t="n">
        <v>53.1131838098921</v>
      </c>
      <c r="H33" t="n">
        <v>54.8639685195947</v>
      </c>
      <c r="I33" t="n">
        <v>53.371371822909</v>
      </c>
      <c r="J33" t="n">
        <v>53.585439574485</v>
      </c>
      <c r="K33" t="n">
        <v>58.2823079185057</v>
      </c>
      <c r="L33" t="n">
        <v>65.7396732122371</v>
      </c>
      <c r="M33" t="n">
        <v>66.8555987519432</v>
      </c>
      <c r="N33" t="n">
        <v>69.7272962192148</v>
      </c>
      <c r="O33" t="n">
        <v>63.0482234712337</v>
      </c>
      <c r="P33" t="n">
        <v>84.067768251356</v>
      </c>
      <c r="Q33" t="n">
        <v>94.7434988125325</v>
      </c>
      <c r="R33" t="n">
        <v>97.804243223292</v>
      </c>
      <c r="S33" t="n">
        <v>86.2241899968935</v>
      </c>
      <c r="T33" t="n">
        <v>81.9269201865901</v>
      </c>
      <c r="U33" t="n">
        <v>77.5295589326618</v>
      </c>
      <c r="V33" t="n">
        <v>73.2612769868448</v>
      </c>
      <c r="W33" t="n">
        <v>70.6641125812753</v>
      </c>
      <c r="X33" t="n">
        <v>74.8017017746583</v>
      </c>
      <c r="Y33" t="n">
        <v>79.461775639237</v>
      </c>
      <c r="Z33" t="n">
        <v>78.724121198027</v>
      </c>
      <c r="AA33" t="n">
        <v>82.3464925026566</v>
      </c>
      <c r="AB33" t="n">
        <v>85.2751115679105</v>
      </c>
      <c r="AC33" t="n">
        <v>87.2894842821131</v>
      </c>
      <c r="AD33" t="n">
        <v>94.0482246413674</v>
      </c>
      <c r="AE33" t="n">
        <v>100</v>
      </c>
      <c r="AF33" t="n">
        <v>104.854747514135</v>
      </c>
    </row>
    <row r="34">
      <c r="A34" t="s">
        <v>27</v>
      </c>
      <c r="B34" t="s">
        <v>225</v>
      </c>
      <c r="C34" t="s">
        <v>131</v>
      </c>
      <c r="D34" t="s">
        <v>226</v>
      </c>
      <c r="E34" t="s">
        <v>132</v>
      </c>
      <c r="F34" t="n">
        <v>37.3944871211727</v>
      </c>
      <c r="G34" t="n">
        <v>41.5240098653585</v>
      </c>
      <c r="H34" t="n">
        <v>47.5974739474141</v>
      </c>
      <c r="I34" t="n">
        <v>61.2141164091907</v>
      </c>
      <c r="J34" t="n">
        <v>62.5755385447352</v>
      </c>
      <c r="K34" t="n">
        <v>78.5017133017981</v>
      </c>
      <c r="L34" t="n">
        <v>79.4366296339716</v>
      </c>
      <c r="M34" t="n">
        <v>80.2096314161112</v>
      </c>
      <c r="N34" t="n">
        <v>83.2168599841313</v>
      </c>
      <c r="O34" t="n">
        <v>85.9935518552074</v>
      </c>
      <c r="P34" t="n">
        <v>91.8089810281415</v>
      </c>
      <c r="Q34" t="n">
        <v>95.0002495856905</v>
      </c>
      <c r="R34" t="n">
        <v>100.848389490316</v>
      </c>
      <c r="S34" t="n">
        <v>91.2287620330691</v>
      </c>
      <c r="T34" t="n">
        <v>93.8018483328441</v>
      </c>
      <c r="U34" t="n">
        <v>88.3234984146864</v>
      </c>
      <c r="V34" t="n">
        <v>88.4203960438551</v>
      </c>
      <c r="W34" t="n">
        <v>94.3533836096117</v>
      </c>
      <c r="X34" t="n">
        <v>93.2299542172171</v>
      </c>
      <c r="Y34" t="n">
        <v>93.4381084191409</v>
      </c>
      <c r="Z34" t="n">
        <v>97.8630649557747</v>
      </c>
      <c r="AA34" t="n">
        <v>98.2752327699376</v>
      </c>
      <c r="AB34" t="n">
        <v>102.666669259101</v>
      </c>
      <c r="AC34" t="n">
        <v>99.6092035061775</v>
      </c>
      <c r="AD34" t="n">
        <v>99.8803322539772</v>
      </c>
      <c r="AE34" t="n">
        <v>100</v>
      </c>
      <c r="AF34" t="n">
        <v>169.103091880529</v>
      </c>
    </row>
    <row r="35">
      <c r="A35" t="s">
        <v>27</v>
      </c>
      <c r="B35" t="s">
        <v>227</v>
      </c>
      <c r="C35" t="s">
        <v>131</v>
      </c>
      <c r="D35" t="s">
        <v>228</v>
      </c>
      <c r="E35" t="s">
        <v>132</v>
      </c>
      <c r="F35" t="n">
        <v>80.7696978548651</v>
      </c>
      <c r="G35" t="n">
        <v>83.9051129921959</v>
      </c>
      <c r="H35" t="n">
        <v>91.3997500421496</v>
      </c>
      <c r="I35" t="n">
        <v>96.8706767261829</v>
      </c>
      <c r="J35" t="n">
        <v>103.315671461629</v>
      </c>
      <c r="K35" t="n">
        <v>114.941256696955</v>
      </c>
      <c r="L35" t="n">
        <v>111.528807061597</v>
      </c>
      <c r="M35" t="n">
        <v>99.701371934031</v>
      </c>
      <c r="N35" t="n">
        <v>120.678489104344</v>
      </c>
      <c r="O35" t="n">
        <v>113.923805069374</v>
      </c>
      <c r="P35" t="n">
        <v>109.841572043778</v>
      </c>
      <c r="Q35" t="n">
        <v>98.0004853219996</v>
      </c>
      <c r="R35" t="n">
        <v>91.6912303012283</v>
      </c>
      <c r="S35" t="n">
        <v>91.3373898674468</v>
      </c>
      <c r="T35" t="n">
        <v>85.9026292514033</v>
      </c>
      <c r="U35" t="n">
        <v>87.144313163009</v>
      </c>
      <c r="V35" t="n">
        <v>86.322293723989</v>
      </c>
      <c r="W35" t="n">
        <v>93.6544989317978</v>
      </c>
      <c r="X35" t="n">
        <v>92.1073537286668</v>
      </c>
      <c r="Y35" t="n">
        <v>92.2632085443448</v>
      </c>
      <c r="Z35" t="n">
        <v>95.601787232477</v>
      </c>
      <c r="AA35" t="n">
        <v>94.8181323471941</v>
      </c>
      <c r="AB35" t="n">
        <v>93.4689078981917</v>
      </c>
      <c r="AC35" t="n">
        <v>94.0601773536759</v>
      </c>
      <c r="AD35" t="n">
        <v>99.9983578614101</v>
      </c>
      <c r="AE35" t="n">
        <v>100</v>
      </c>
      <c r="AF35" t="n">
        <v>104.953915057874</v>
      </c>
    </row>
    <row r="36">
      <c r="A36" t="s">
        <v>27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27</v>
      </c>
      <c r="B37" t="s">
        <v>231</v>
      </c>
      <c r="C37" t="s">
        <v>131</v>
      </c>
      <c r="D37" t="s">
        <v>232</v>
      </c>
      <c r="E37" t="s">
        <v>132</v>
      </c>
      <c r="F37" t="n">
        <v>70.479177498315</v>
      </c>
      <c r="G37" t="n">
        <v>78.0340316581888</v>
      </c>
      <c r="H37" t="n">
        <v>90.5229052394599</v>
      </c>
      <c r="I37" t="n">
        <v>104.094009393105</v>
      </c>
      <c r="J37" t="n">
        <v>110.414260691748</v>
      </c>
      <c r="K37" t="n">
        <v>103.233754678366</v>
      </c>
      <c r="L37" t="n">
        <v>76.2285473203134</v>
      </c>
      <c r="M37" t="n">
        <v>67.0494922157606</v>
      </c>
      <c r="N37" t="n">
        <v>85.5343341870322</v>
      </c>
      <c r="O37" t="n">
        <v>90.5587805423138</v>
      </c>
      <c r="P37" t="n">
        <v>91.4194458186779</v>
      </c>
      <c r="Q37" t="n">
        <v>71.7010081138292</v>
      </c>
      <c r="R37" t="n">
        <v>71.9154901007757</v>
      </c>
      <c r="S37" t="n">
        <v>89.2216672609624</v>
      </c>
      <c r="T37" t="n">
        <v>85.8414806624971</v>
      </c>
      <c r="U37" t="n">
        <v>77.0419450474992</v>
      </c>
      <c r="V37" t="n">
        <v>73.6460831746897</v>
      </c>
      <c r="W37" t="n">
        <v>65.6301170276156</v>
      </c>
      <c r="X37" t="n">
        <v>66.2855507121329</v>
      </c>
      <c r="Y37" t="n">
        <v>61.1146086883025</v>
      </c>
      <c r="Z37" t="n">
        <v>58.5166321558089</v>
      </c>
      <c r="AA37" t="n">
        <v>59.6797152296303</v>
      </c>
      <c r="AB37" t="n">
        <v>86.981519638886</v>
      </c>
      <c r="AC37" t="n">
        <v>94.3917654176153</v>
      </c>
      <c r="AD37" t="n">
        <v>98.0475432076919</v>
      </c>
      <c r="AE37" t="n">
        <v>100</v>
      </c>
      <c r="AF37" t="n">
        <v>108.84664856367</v>
      </c>
    </row>
    <row r="38">
      <c r="A38" t="s">
        <v>27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27</v>
      </c>
      <c r="B39" t="s">
        <v>235</v>
      </c>
      <c r="C39" t="s">
        <v>131</v>
      </c>
      <c r="D39" t="s">
        <v>236</v>
      </c>
      <c r="E39" t="s">
        <v>132</v>
      </c>
      <c r="F39" t="n">
        <v>50.4447532229285</v>
      </c>
      <c r="G39" t="n">
        <v>43.3455314313322</v>
      </c>
      <c r="H39" t="n">
        <v>38.5223739507773</v>
      </c>
      <c r="I39" t="n">
        <v>44.0906080036624</v>
      </c>
      <c r="J39" t="n">
        <v>49.640515690944</v>
      </c>
      <c r="K39" t="n">
        <v>50.7304089321289</v>
      </c>
      <c r="L39" t="n">
        <v>52.4810210662837</v>
      </c>
      <c r="M39" t="n">
        <v>54.6781620206132</v>
      </c>
      <c r="N39" t="n">
        <v>70.6564691172627</v>
      </c>
      <c r="O39" t="n">
        <v>68.8757639692023</v>
      </c>
      <c r="P39" t="n">
        <v>76.597800771811</v>
      </c>
      <c r="Q39" t="n">
        <v>74.7435190705553</v>
      </c>
      <c r="R39" t="n">
        <v>77.745354716474</v>
      </c>
      <c r="S39" t="n">
        <v>73.7862378388119</v>
      </c>
      <c r="T39" t="n">
        <v>75.48905508389</v>
      </c>
      <c r="U39" t="n">
        <v>76.8950495129449</v>
      </c>
      <c r="V39" t="n">
        <v>69.3415283774232</v>
      </c>
      <c r="W39" t="n">
        <v>77.7625807033133</v>
      </c>
      <c r="X39" t="n">
        <v>75.4101703276206</v>
      </c>
      <c r="Y39" t="n">
        <v>86.0563055618193</v>
      </c>
      <c r="Z39" t="n">
        <v>90.4912497251671</v>
      </c>
      <c r="AA39" t="n">
        <v>99.8517861726098</v>
      </c>
      <c r="AB39" t="n">
        <v>102.723224973631</v>
      </c>
      <c r="AC39" t="n">
        <v>100.522796980348</v>
      </c>
      <c r="AD39" t="n">
        <v>102.930666100234</v>
      </c>
      <c r="AE39" t="n">
        <v>100</v>
      </c>
      <c r="AF39" t="n">
        <v>97.8748149714528</v>
      </c>
    </row>
    <row r="40">
      <c r="A40" t="s">
        <v>27</v>
      </c>
      <c r="B40" t="s">
        <v>237</v>
      </c>
      <c r="C40" t="s">
        <v>131</v>
      </c>
      <c r="D40" t="s">
        <v>238</v>
      </c>
      <c r="E40" t="s">
        <v>132</v>
      </c>
      <c r="F40" t="n">
        <v>24.2329567590478</v>
      </c>
      <c r="G40" t="n">
        <v>26.2422344067646</v>
      </c>
      <c r="H40" t="n">
        <v>30.899646987977</v>
      </c>
      <c r="I40" t="n">
        <v>34.9365329577979</v>
      </c>
      <c r="J40" t="n">
        <v>36.934541544557</v>
      </c>
      <c r="K40" t="n">
        <v>42.1696775534827</v>
      </c>
      <c r="L40" t="n">
        <v>47.4306453076424</v>
      </c>
      <c r="M40" t="n">
        <v>51.3018001753192</v>
      </c>
      <c r="N40" t="n">
        <v>47.7561793511079</v>
      </c>
      <c r="O40" t="n">
        <v>47.9700276985943</v>
      </c>
      <c r="P40" t="n">
        <v>46.9764670470563</v>
      </c>
      <c r="Q40" t="n">
        <v>46.9862177757228</v>
      </c>
      <c r="R40" t="n">
        <v>55.3814188019475</v>
      </c>
      <c r="S40" t="n">
        <v>61.2621439367146</v>
      </c>
      <c r="T40" t="n">
        <v>43.1386033120496</v>
      </c>
      <c r="U40" t="n">
        <v>54.1362690198359</v>
      </c>
      <c r="V40" t="n">
        <v>55.7545920856757</v>
      </c>
      <c r="W40" t="n">
        <v>60.8496241659175</v>
      </c>
      <c r="X40" t="n">
        <v>64.3417827850404</v>
      </c>
      <c r="Y40" t="n">
        <v>68.7730836269468</v>
      </c>
      <c r="Z40" t="n">
        <v>75.2175853466787</v>
      </c>
      <c r="AA40" t="n">
        <v>81.2759900746817</v>
      </c>
      <c r="AB40" t="n">
        <v>84.5496435984236</v>
      </c>
      <c r="AC40" t="n">
        <v>94.1337358538288</v>
      </c>
      <c r="AD40" t="n">
        <v>99.0540659944825</v>
      </c>
      <c r="AE40" t="n">
        <v>100</v>
      </c>
      <c r="AF40" t="n">
        <v>97.2767798610201</v>
      </c>
    </row>
    <row r="41">
      <c r="A41" t="s">
        <v>27</v>
      </c>
      <c r="B41" t="s">
        <v>239</v>
      </c>
      <c r="C41" t="s">
        <v>131</v>
      </c>
      <c r="D41" t="s">
        <v>240</v>
      </c>
      <c r="E41" t="s">
        <v>132</v>
      </c>
      <c r="F41" t="n">
        <v>25.0237113202713</v>
      </c>
      <c r="G41" t="n">
        <v>27.3735414479729</v>
      </c>
      <c r="H41" t="n">
        <v>32.8383576728001</v>
      </c>
      <c r="I41" t="n">
        <v>37.0749582843089</v>
      </c>
      <c r="J41" t="n">
        <v>39.27698610968</v>
      </c>
      <c r="K41" t="n">
        <v>46.3804181205715</v>
      </c>
      <c r="L41" t="n">
        <v>52.2080149030924</v>
      </c>
      <c r="M41" t="n">
        <v>56.1008822380734</v>
      </c>
      <c r="N41" t="n">
        <v>53.1533153369223</v>
      </c>
      <c r="O41" t="n">
        <v>52.9849258788651</v>
      </c>
      <c r="P41" t="n">
        <v>51.2081421311797</v>
      </c>
      <c r="Q41" t="n">
        <v>51.1913311197052</v>
      </c>
      <c r="R41" t="n">
        <v>60.3196695233108</v>
      </c>
      <c r="S41" t="n">
        <v>73.4005843010322</v>
      </c>
      <c r="T41" t="n">
        <v>55.0917917170817</v>
      </c>
      <c r="U41" t="n">
        <v>62.6231683453861</v>
      </c>
      <c r="V41" t="n">
        <v>62.8058701115305</v>
      </c>
      <c r="W41" t="n">
        <v>64.983042321779</v>
      </c>
      <c r="X41" t="n">
        <v>66.0257246363021</v>
      </c>
      <c r="Y41" t="n">
        <v>69.511400725284</v>
      </c>
      <c r="Z41" t="n">
        <v>75.1281720800903</v>
      </c>
      <c r="AA41" t="n">
        <v>78.6475308693492</v>
      </c>
      <c r="AB41" t="n">
        <v>81.9282576564169</v>
      </c>
      <c r="AC41" t="n">
        <v>89.315030151761</v>
      </c>
      <c r="AD41" t="n">
        <v>96.4437382036194</v>
      </c>
      <c r="AE41" t="n">
        <v>100</v>
      </c>
      <c r="AF41" t="n">
        <v>105.125356921378</v>
      </c>
    </row>
    <row r="42">
      <c r="A42" t="s">
        <v>27</v>
      </c>
      <c r="B42" t="s">
        <v>241</v>
      </c>
      <c r="C42" t="s">
        <v>131</v>
      </c>
      <c r="D42" t="s">
        <v>242</v>
      </c>
      <c r="E42" t="s">
        <v>132</v>
      </c>
      <c r="F42" t="n">
        <v>28.657897466726</v>
      </c>
      <c r="G42" t="n">
        <v>30.6510337581092</v>
      </c>
      <c r="H42" t="n">
        <v>28.1097387224638</v>
      </c>
      <c r="I42" t="n">
        <v>34.764793252875</v>
      </c>
      <c r="J42" t="n">
        <v>40.799905839695</v>
      </c>
      <c r="K42" t="n">
        <v>50.7406556296794</v>
      </c>
      <c r="L42" t="n">
        <v>53.3523739346172</v>
      </c>
      <c r="M42" t="n">
        <v>55.4573842988925</v>
      </c>
      <c r="N42" t="n">
        <v>63.726375396014</v>
      </c>
      <c r="O42" t="n">
        <v>72.0294542654405</v>
      </c>
      <c r="P42" t="n">
        <v>73.7520364312216</v>
      </c>
      <c r="Q42" t="n">
        <v>77.9907963525889</v>
      </c>
      <c r="R42" t="n">
        <v>84.0487440800007</v>
      </c>
      <c r="S42" t="n">
        <v>87.3976632092656</v>
      </c>
      <c r="T42" t="n">
        <v>83.7149420494294</v>
      </c>
      <c r="U42" t="n">
        <v>72.2364444537377</v>
      </c>
      <c r="V42" t="n">
        <v>84.2217306445115</v>
      </c>
      <c r="W42" t="n">
        <v>86.2120597452018</v>
      </c>
      <c r="X42" t="n">
        <v>87.187582127791</v>
      </c>
      <c r="Y42" t="n">
        <v>88.6463757293359</v>
      </c>
      <c r="Z42" t="n">
        <v>91.5785988132759</v>
      </c>
      <c r="AA42" t="n">
        <v>92.5506945517118</v>
      </c>
      <c r="AB42" t="n">
        <v>94.1830190886711</v>
      </c>
      <c r="AC42" t="n">
        <v>95.4864948647719</v>
      </c>
      <c r="AD42" t="n">
        <v>97.8009842201326</v>
      </c>
      <c r="AE42" t="n">
        <v>100</v>
      </c>
      <c r="AF42" t="n">
        <v>101.944860102154</v>
      </c>
    </row>
    <row r="43">
      <c r="A43" t="s">
        <v>27</v>
      </c>
      <c r="B43" t="s">
        <v>243</v>
      </c>
      <c r="C43" t="s">
        <v>131</v>
      </c>
      <c r="D43" t="s">
        <v>244</v>
      </c>
      <c r="E43" t="s">
        <v>132</v>
      </c>
      <c r="F43" t="n">
        <v>40.6349513532396</v>
      </c>
      <c r="G43" t="n">
        <v>43.7346503712504</v>
      </c>
      <c r="H43" t="n">
        <v>44.1288395209593</v>
      </c>
      <c r="I43" t="n">
        <v>49.2571804400097</v>
      </c>
      <c r="J43" t="n">
        <v>53.8708757542861</v>
      </c>
      <c r="K43" t="n">
        <v>56.4587176826618</v>
      </c>
      <c r="L43" t="n">
        <v>55.0506090060716</v>
      </c>
      <c r="M43" t="n">
        <v>54.7740625626472</v>
      </c>
      <c r="N43" t="n">
        <v>63.8065041351571</v>
      </c>
      <c r="O43" t="n">
        <v>68.8836072415614</v>
      </c>
      <c r="P43" t="n">
        <v>74.0473096101632</v>
      </c>
      <c r="Q43" t="n">
        <v>92.6321312677532</v>
      </c>
      <c r="R43" t="n">
        <v>81.8001172429029</v>
      </c>
      <c r="S43" t="n">
        <v>76.6848972183438</v>
      </c>
      <c r="T43" t="n">
        <v>74.1322074082624</v>
      </c>
      <c r="U43" t="n">
        <v>74.6492417159616</v>
      </c>
      <c r="V43" t="n">
        <v>77.808244894101</v>
      </c>
      <c r="W43" t="n">
        <v>81.6807519439872</v>
      </c>
      <c r="X43" t="n">
        <v>82.8507796397722</v>
      </c>
      <c r="Y43" t="n">
        <v>84.4147003492186</v>
      </c>
      <c r="Z43" t="n">
        <v>92.7407688646314</v>
      </c>
      <c r="AA43" t="n">
        <v>94.4154791080583</v>
      </c>
      <c r="AB43" t="n">
        <v>94.2971495882611</v>
      </c>
      <c r="AC43" t="n">
        <v>94.3939205230108</v>
      </c>
      <c r="AD43" t="n">
        <v>98.8118696437941</v>
      </c>
      <c r="AE43" t="n">
        <v>100</v>
      </c>
      <c r="AF43" t="n">
        <v>103.134841504504</v>
      </c>
    </row>
    <row r="44">
      <c r="A44" t="s">
        <v>27</v>
      </c>
      <c r="B44" t="s">
        <v>245</v>
      </c>
      <c r="C44" t="s">
        <v>131</v>
      </c>
      <c r="D44" t="s">
        <v>246</v>
      </c>
      <c r="E44" t="s">
        <v>132</v>
      </c>
      <c r="F44" t="n">
        <v>52.9782372169926</v>
      </c>
      <c r="G44" t="n">
        <v>53.508559563219</v>
      </c>
      <c r="H44" t="n">
        <v>55.2753592421487</v>
      </c>
      <c r="I44" t="n">
        <v>60.0800274612396</v>
      </c>
      <c r="J44" t="n">
        <v>63.0529230492561</v>
      </c>
      <c r="K44" t="n">
        <v>67.6672811526213</v>
      </c>
      <c r="L44" t="n">
        <v>72.6076598267172</v>
      </c>
      <c r="M44" t="n">
        <v>74.9507210311526</v>
      </c>
      <c r="N44" t="n">
        <v>79.489299305102</v>
      </c>
      <c r="O44" t="n">
        <v>79.9362588913774</v>
      </c>
      <c r="P44" t="n">
        <v>82.0744568145525</v>
      </c>
      <c r="Q44" t="n">
        <v>85.5864652859147</v>
      </c>
      <c r="R44" t="n">
        <v>83.6340595152328</v>
      </c>
      <c r="S44" t="n">
        <v>79.4302237173314</v>
      </c>
      <c r="T44" t="n">
        <v>78.7494546014083</v>
      </c>
      <c r="U44" t="n">
        <v>76.7219762365587</v>
      </c>
      <c r="V44" t="n">
        <v>78.2959945118976</v>
      </c>
      <c r="W44" t="n">
        <v>82.6053148233013</v>
      </c>
      <c r="X44" t="n">
        <v>85.3021453243788</v>
      </c>
      <c r="Y44" t="n">
        <v>86.1144547382597</v>
      </c>
      <c r="Z44" t="n">
        <v>97.9407788291863</v>
      </c>
      <c r="AA44" t="n">
        <v>97.147448091909</v>
      </c>
      <c r="AB44" t="n">
        <v>100.719899885439</v>
      </c>
      <c r="AC44" t="n">
        <v>100.352238137101</v>
      </c>
      <c r="AD44" t="n">
        <v>103.800585874646</v>
      </c>
      <c r="AE44" t="n">
        <v>100</v>
      </c>
      <c r="AF44" t="n">
        <v>101.222428690028</v>
      </c>
    </row>
    <row r="45">
      <c r="A45" t="s">
        <v>27</v>
      </c>
      <c r="B45" t="s">
        <v>247</v>
      </c>
      <c r="C45" t="s">
        <v>131</v>
      </c>
      <c r="D45" t="s">
        <v>248</v>
      </c>
      <c r="E45" t="s">
        <v>132</v>
      </c>
      <c r="F45" t="n">
        <v>51.4895965089637</v>
      </c>
      <c r="G45" t="n">
        <v>52.3725667116901</v>
      </c>
      <c r="H45" t="n">
        <v>54.5013475828419</v>
      </c>
      <c r="I45" t="n">
        <v>59.4173317097623</v>
      </c>
      <c r="J45" t="n">
        <v>62.5193030312142</v>
      </c>
      <c r="K45" t="n">
        <v>66.97054475617</v>
      </c>
      <c r="L45" t="n">
        <v>71.9580600234328</v>
      </c>
      <c r="M45" t="n">
        <v>74.3994813538819</v>
      </c>
      <c r="N45" t="n">
        <v>79.2880709433685</v>
      </c>
      <c r="O45" t="n">
        <v>79.8393213669903</v>
      </c>
      <c r="P45" t="n">
        <v>82.1112765387091</v>
      </c>
      <c r="Q45" t="n">
        <v>85.5346197177983</v>
      </c>
      <c r="R45" t="n">
        <v>83.4265525409546</v>
      </c>
      <c r="S45" t="n">
        <v>79.534854744231</v>
      </c>
      <c r="T45" t="n">
        <v>79.1209609099743</v>
      </c>
      <c r="U45" t="n">
        <v>76.7405098219981</v>
      </c>
      <c r="V45" t="n">
        <v>78.199065848879</v>
      </c>
      <c r="W45" t="n">
        <v>82.5419620408167</v>
      </c>
      <c r="X45" t="n">
        <v>85.1553158377612</v>
      </c>
      <c r="Y45" t="n">
        <v>86.0031114448944</v>
      </c>
      <c r="Z45" t="n">
        <v>98.0819354736469</v>
      </c>
      <c r="AA45" t="n">
        <v>97.2983902298344</v>
      </c>
      <c r="AB45" t="n">
        <v>100.6405753159</v>
      </c>
      <c r="AC45" t="n">
        <v>100.342359456196</v>
      </c>
      <c r="AD45" t="n">
        <v>103.967933660461</v>
      </c>
      <c r="AE45" t="n">
        <v>100</v>
      </c>
      <c r="AF45" t="n">
        <v>101.053424435217</v>
      </c>
    </row>
    <row r="46">
      <c r="A46" t="s">
        <v>27</v>
      </c>
      <c r="B46" t="s">
        <v>249</v>
      </c>
      <c r="C46" t="s">
        <v>131</v>
      </c>
      <c r="D46" t="s">
        <v>250</v>
      </c>
      <c r="E46" t="s">
        <v>132</v>
      </c>
      <c r="F46" t="n">
        <v>57.5698682996098</v>
      </c>
      <c r="G46" t="n">
        <v>62.3615492264841</v>
      </c>
      <c r="H46" t="n">
        <v>70.4422715135102</v>
      </c>
      <c r="I46" t="n">
        <v>70.8826197463919</v>
      </c>
      <c r="J46" t="n">
        <v>72.0145179837717</v>
      </c>
      <c r="K46" t="n">
        <v>61.0890871589446</v>
      </c>
      <c r="L46" t="n">
        <v>53.8679742231509</v>
      </c>
      <c r="M46" t="n">
        <v>50.2628377775043</v>
      </c>
      <c r="N46" t="n">
        <v>59.7824946143228</v>
      </c>
      <c r="O46" t="n">
        <v>60.188269348068</v>
      </c>
      <c r="P46" t="n">
        <v>68.7377813265274</v>
      </c>
      <c r="Q46" t="n">
        <v>109.166693428713</v>
      </c>
      <c r="R46" t="n">
        <v>79.9222567537213</v>
      </c>
      <c r="S46" t="n">
        <v>67.6453928838552</v>
      </c>
      <c r="T46" t="n">
        <v>66.0059980073553</v>
      </c>
      <c r="U46" t="n">
        <v>77.4503581489152</v>
      </c>
      <c r="V46" t="n">
        <v>73.8035250428481</v>
      </c>
      <c r="W46" t="n">
        <v>79.1874407589379</v>
      </c>
      <c r="X46" t="n">
        <v>80.4877757982901</v>
      </c>
      <c r="Y46" t="n">
        <v>82.116225220427</v>
      </c>
      <c r="Z46" t="n">
        <v>93.681122242219</v>
      </c>
      <c r="AA46" t="n">
        <v>95.7269103317561</v>
      </c>
      <c r="AB46" t="n">
        <v>94.5505697398486</v>
      </c>
      <c r="AC46" t="n">
        <v>93.8142077698041</v>
      </c>
      <c r="AD46" t="n">
        <v>99.8418153570924</v>
      </c>
      <c r="AE46" t="n">
        <v>100</v>
      </c>
      <c r="AF46" t="n">
        <v>104.579687785469</v>
      </c>
    </row>
    <row r="47">
      <c r="A47" t="s">
        <v>27</v>
      </c>
      <c r="B47" t="s">
        <v>251</v>
      </c>
      <c r="C47" t="s">
        <v>131</v>
      </c>
      <c r="D47" t="s">
        <v>252</v>
      </c>
      <c r="E47" t="s">
        <v>132</v>
      </c>
      <c r="F47" t="n">
        <v>32.4230754941983</v>
      </c>
      <c r="G47" t="n">
        <v>35.0772198054085</v>
      </c>
      <c r="H47" t="n">
        <v>39.1557905368762</v>
      </c>
      <c r="I47" t="n">
        <v>39.7691747108544</v>
      </c>
      <c r="J47" t="n">
        <v>39.3755914208954</v>
      </c>
      <c r="K47" t="n">
        <v>45.5207843947847</v>
      </c>
      <c r="L47" t="n">
        <v>52.7786094316046</v>
      </c>
      <c r="M47" t="n">
        <v>60.8941183450433</v>
      </c>
      <c r="N47" t="n">
        <v>66.9724247122101</v>
      </c>
      <c r="O47" t="n">
        <v>72.132625931973</v>
      </c>
      <c r="P47" t="n">
        <v>72.7778215274852</v>
      </c>
      <c r="Q47" t="n">
        <v>75.8879848406256</v>
      </c>
      <c r="R47" t="n">
        <v>79.4797480982907</v>
      </c>
      <c r="S47" t="n">
        <v>81.8148758630833</v>
      </c>
      <c r="T47" t="n">
        <v>86.3342789523002</v>
      </c>
      <c r="U47" t="n">
        <v>86.80000582732</v>
      </c>
      <c r="V47" t="n">
        <v>106.254538115521</v>
      </c>
      <c r="W47" t="n">
        <v>107.273867741323</v>
      </c>
      <c r="X47" t="n">
        <v>106.611462349729</v>
      </c>
      <c r="Y47" t="n">
        <v>105.131898515249</v>
      </c>
      <c r="Z47" t="n">
        <v>104.072808538612</v>
      </c>
      <c r="AA47" t="n">
        <v>106.543670489492</v>
      </c>
      <c r="AB47" t="n">
        <v>104.640128792056</v>
      </c>
      <c r="AC47" t="n">
        <v>102.330690221052</v>
      </c>
      <c r="AD47" t="n">
        <v>100.303585861573</v>
      </c>
      <c r="AE47" t="n">
        <v>100</v>
      </c>
      <c r="AF47" t="n">
        <v>96.6644232063535</v>
      </c>
    </row>
    <row r="48">
      <c r="A48" t="s">
        <v>27</v>
      </c>
      <c r="B48" t="s">
        <v>253</v>
      </c>
      <c r="C48" t="s">
        <v>131</v>
      </c>
      <c r="D48" t="s">
        <v>254</v>
      </c>
      <c r="E48" t="s">
        <v>132</v>
      </c>
      <c r="F48" t="n">
        <v>42.6996611336872</v>
      </c>
      <c r="G48" t="n">
        <v>44.8340118622159</v>
      </c>
      <c r="H48" t="n">
        <v>47.7369997170954</v>
      </c>
      <c r="I48" t="n">
        <v>48.8388089409067</v>
      </c>
      <c r="J48" t="n">
        <v>50.7246684377784</v>
      </c>
      <c r="K48" t="n">
        <v>55.9593786491898</v>
      </c>
      <c r="L48" t="n">
        <v>63.056669837154</v>
      </c>
      <c r="M48" t="n">
        <v>69.2553831404963</v>
      </c>
      <c r="N48" t="n">
        <v>76.5021608317058</v>
      </c>
      <c r="O48" t="n">
        <v>80.7078727134696</v>
      </c>
      <c r="P48" t="n">
        <v>84.0192821094347</v>
      </c>
      <c r="Q48" t="n">
        <v>87.5355215341447</v>
      </c>
      <c r="R48" t="n">
        <v>90.7593310263434</v>
      </c>
      <c r="S48" t="n">
        <v>95.854053117475</v>
      </c>
      <c r="T48" t="n">
        <v>96.2680277065518</v>
      </c>
      <c r="U48" t="n">
        <v>90.6590025280297</v>
      </c>
      <c r="V48" t="n">
        <v>89.3353740911624</v>
      </c>
      <c r="W48" t="n">
        <v>90.269031622383</v>
      </c>
      <c r="X48" t="n">
        <v>88.2910255848171</v>
      </c>
      <c r="Y48" t="n">
        <v>89.1030623283633</v>
      </c>
      <c r="Z48" t="n">
        <v>88.8057298584158</v>
      </c>
      <c r="AA48" t="n">
        <v>90.1941562959002</v>
      </c>
      <c r="AB48" t="n">
        <v>92.2421043355308</v>
      </c>
      <c r="AC48" t="n">
        <v>93.8826403246015</v>
      </c>
      <c r="AD48" t="n">
        <v>96.0963153124305</v>
      </c>
      <c r="AE48" t="n">
        <v>100</v>
      </c>
      <c r="AF48" t="n">
        <v>104.306413363563</v>
      </c>
    </row>
    <row r="49">
      <c r="A49" t="s">
        <v>27</v>
      </c>
      <c r="B49" t="s">
        <v>255</v>
      </c>
      <c r="C49" t="s">
        <v>131</v>
      </c>
      <c r="D49" t="s">
        <v>256</v>
      </c>
      <c r="E49" t="s">
        <v>132</v>
      </c>
      <c r="F49" t="n">
        <v>39.2755306103042</v>
      </c>
      <c r="G49" t="n">
        <v>41.0403827043249</v>
      </c>
      <c r="H49" t="n">
        <v>43.2527762163989</v>
      </c>
      <c r="I49" t="n">
        <v>45.4731983450201</v>
      </c>
      <c r="J49" t="n">
        <v>47.7024790627969</v>
      </c>
      <c r="K49" t="n">
        <v>49.9005523118892</v>
      </c>
      <c r="L49" t="n">
        <v>57.1983888839213</v>
      </c>
      <c r="M49" t="n">
        <v>65.9303058394651</v>
      </c>
      <c r="N49" t="n">
        <v>74.3749853419564</v>
      </c>
      <c r="O49" t="n">
        <v>78.7587830165892</v>
      </c>
      <c r="P49" t="n">
        <v>84.9975989521062</v>
      </c>
      <c r="Q49" t="n">
        <v>93.2974778241401</v>
      </c>
      <c r="R49" t="n">
        <v>98.7180119022579</v>
      </c>
      <c r="S49" t="n">
        <v>107.57961173546</v>
      </c>
      <c r="T49" t="n">
        <v>111.446197150501</v>
      </c>
      <c r="U49" t="n">
        <v>105.736588620767</v>
      </c>
      <c r="V49" t="n">
        <v>84.644150154983</v>
      </c>
      <c r="W49" t="n">
        <v>85.5105571613848</v>
      </c>
      <c r="X49" t="n">
        <v>84.5202123456531</v>
      </c>
      <c r="Y49" t="n">
        <v>86.130100978194</v>
      </c>
      <c r="Z49" t="n">
        <v>86.6510952026916</v>
      </c>
      <c r="AA49" t="n">
        <v>86.1832156228464</v>
      </c>
      <c r="AB49" t="n">
        <v>90.559640719428</v>
      </c>
      <c r="AC49" t="n">
        <v>94.0858933977125</v>
      </c>
      <c r="AD49" t="n">
        <v>97.1682720660507</v>
      </c>
      <c r="AE49" t="n">
        <v>100</v>
      </c>
      <c r="AF49" t="n">
        <v>107.147870268774</v>
      </c>
    </row>
    <row r="50">
      <c r="A50" t="s">
        <v>27</v>
      </c>
      <c r="B50" t="s">
        <v>257</v>
      </c>
      <c r="C50" t="s">
        <v>131</v>
      </c>
      <c r="D50" t="s">
        <v>258</v>
      </c>
      <c r="E50" t="s">
        <v>132</v>
      </c>
      <c r="F50" t="n">
        <v>53.2868889214846</v>
      </c>
      <c r="G50" t="n">
        <v>54.7939895447707</v>
      </c>
      <c r="H50" t="n">
        <v>56.5981455640524</v>
      </c>
      <c r="I50" t="n">
        <v>56.9179005365814</v>
      </c>
      <c r="J50" t="n">
        <v>61.0163773966932</v>
      </c>
      <c r="K50" t="n">
        <v>67.7650516280076</v>
      </c>
      <c r="L50" t="n">
        <v>73.9844478988678</v>
      </c>
      <c r="M50" t="n">
        <v>75.9957185722158</v>
      </c>
      <c r="N50" t="n">
        <v>82.907833276034</v>
      </c>
      <c r="O50" t="n">
        <v>86.0923507661643</v>
      </c>
      <c r="P50" t="n">
        <v>89.1241786824241</v>
      </c>
      <c r="Q50" t="n">
        <v>89.551009903015</v>
      </c>
      <c r="R50" t="n">
        <v>91.0176036442467</v>
      </c>
      <c r="S50" t="n">
        <v>95.4309197467193</v>
      </c>
      <c r="T50" t="n">
        <v>91.4142778061314</v>
      </c>
      <c r="U50" t="n">
        <v>82.6211696705872</v>
      </c>
      <c r="V50" t="n">
        <v>82.9526494610136</v>
      </c>
      <c r="W50" t="n">
        <v>83.8743157315072</v>
      </c>
      <c r="X50" t="n">
        <v>80.6918608152614</v>
      </c>
      <c r="Y50" t="n">
        <v>82.1331539015577</v>
      </c>
      <c r="Z50" t="n">
        <v>81.7103770043943</v>
      </c>
      <c r="AA50" t="n">
        <v>83.7028098392299</v>
      </c>
      <c r="AB50" t="n">
        <v>86.2881782999655</v>
      </c>
      <c r="AC50" t="n">
        <v>88.8420231002345</v>
      </c>
      <c r="AD50" t="n">
        <v>92.853772443498</v>
      </c>
      <c r="AE50" t="n">
        <v>100</v>
      </c>
      <c r="AF50" t="n">
        <v>107.602858595362</v>
      </c>
    </row>
    <row r="51">
      <c r="A51" t="s">
        <v>27</v>
      </c>
      <c r="B51" t="s">
        <v>259</v>
      </c>
      <c r="C51" t="s">
        <v>131</v>
      </c>
      <c r="D51" t="s">
        <v>260</v>
      </c>
      <c r="E51" t="s">
        <v>132</v>
      </c>
      <c r="F51" t="n">
        <v>54.1957344279588</v>
      </c>
      <c r="G51" t="n">
        <v>55.6593491706729</v>
      </c>
      <c r="H51" t="n">
        <v>57.5305574615007</v>
      </c>
      <c r="I51" t="n">
        <v>57.1861518069195</v>
      </c>
      <c r="J51" t="n">
        <v>60.0414501261213</v>
      </c>
      <c r="K51" t="n">
        <v>70.5300227747356</v>
      </c>
      <c r="L51" t="n">
        <v>78.8891694452931</v>
      </c>
      <c r="M51" t="n">
        <v>79.7375280793693</v>
      </c>
      <c r="N51" t="n">
        <v>84.6349905164552</v>
      </c>
      <c r="O51" t="n">
        <v>85.6427336261205</v>
      </c>
      <c r="P51" t="n">
        <v>88.0379741845958</v>
      </c>
      <c r="Q51" t="n">
        <v>87.8583298464183</v>
      </c>
      <c r="R51" t="n">
        <v>87.8858546831911</v>
      </c>
      <c r="S51" t="n">
        <v>91.9035300723923</v>
      </c>
      <c r="T51" t="n">
        <v>88.2491685464971</v>
      </c>
      <c r="U51" t="n">
        <v>76.7240141578545</v>
      </c>
      <c r="V51" t="n">
        <v>74.1895154842043</v>
      </c>
      <c r="W51" t="n">
        <v>74.9655843136835</v>
      </c>
      <c r="X51" t="n">
        <v>71.9651765576689</v>
      </c>
      <c r="Y51" t="n">
        <v>72.777920652544</v>
      </c>
      <c r="Z51" t="n">
        <v>72.6773930638916</v>
      </c>
      <c r="AA51" t="n">
        <v>74.0249489558868</v>
      </c>
      <c r="AB51" t="n">
        <v>79.433049278742</v>
      </c>
      <c r="AC51" t="n">
        <v>83.3680415417434</v>
      </c>
      <c r="AD51" t="n">
        <v>90.0033151002818</v>
      </c>
      <c r="AE51" t="n">
        <v>100</v>
      </c>
      <c r="AF51" t="n">
        <v>107.077241964103</v>
      </c>
    </row>
    <row r="52">
      <c r="A52" t="s">
        <v>27</v>
      </c>
      <c r="B52" t="s">
        <v>261</v>
      </c>
      <c r="C52" t="s">
        <v>131</v>
      </c>
      <c r="D52" t="s">
        <v>262</v>
      </c>
      <c r="E52" t="s">
        <v>132</v>
      </c>
      <c r="F52" t="n">
        <v>44.1859116222992</v>
      </c>
      <c r="G52" t="n">
        <v>45.7157041294643</v>
      </c>
      <c r="H52" t="n">
        <v>47.0648446516025</v>
      </c>
      <c r="I52" t="n">
        <v>50.0410700938909</v>
      </c>
      <c r="J52" t="n">
        <v>58.7539872750491</v>
      </c>
      <c r="K52" t="n">
        <v>49.6831055800668</v>
      </c>
      <c r="L52" t="n">
        <v>46.6349525062987</v>
      </c>
      <c r="M52" t="n">
        <v>52.8082124064131</v>
      </c>
      <c r="N52" t="n">
        <v>66.9968596149929</v>
      </c>
      <c r="O52" t="n">
        <v>78.4085411131138</v>
      </c>
      <c r="P52" t="n">
        <v>83.6700718991343</v>
      </c>
      <c r="Q52" t="n">
        <v>86.3642085030243</v>
      </c>
      <c r="R52" t="n">
        <v>93.0364402919786</v>
      </c>
      <c r="S52" t="n">
        <v>98.4519188798338</v>
      </c>
      <c r="T52" t="n">
        <v>93.537434221201</v>
      </c>
      <c r="U52" t="n">
        <v>96.3737155972874</v>
      </c>
      <c r="V52" t="n">
        <v>107.915013081718</v>
      </c>
      <c r="W52" t="n">
        <v>109.295328667571</v>
      </c>
      <c r="X52" t="n">
        <v>105.708084385909</v>
      </c>
      <c r="Y52" t="n">
        <v>109.255039211176</v>
      </c>
      <c r="Z52" t="n">
        <v>107.755585236868</v>
      </c>
      <c r="AA52" t="n">
        <v>111.892167417371</v>
      </c>
      <c r="AB52" t="n">
        <v>105.497334748494</v>
      </c>
      <c r="AC52" t="n">
        <v>103.919865393589</v>
      </c>
      <c r="AD52" t="n">
        <v>100.55774572171</v>
      </c>
      <c r="AE52" t="n">
        <v>100</v>
      </c>
      <c r="AF52" t="n">
        <v>109.132451390317</v>
      </c>
    </row>
    <row r="53">
      <c r="A53" t="s">
        <v>27</v>
      </c>
      <c r="B53" t="s">
        <v>263</v>
      </c>
      <c r="C53" t="s">
        <v>131</v>
      </c>
      <c r="D53" t="s">
        <v>264</v>
      </c>
      <c r="E53" t="s">
        <v>132</v>
      </c>
      <c r="F53" t="n">
        <v>65.0155057857073</v>
      </c>
      <c r="G53" t="n">
        <v>67.015982886806</v>
      </c>
      <c r="H53" t="n">
        <v>76.1895921558457</v>
      </c>
      <c r="I53" t="n">
        <v>84.0668074536502</v>
      </c>
      <c r="J53" t="n">
        <v>90.436888735445</v>
      </c>
      <c r="K53" t="n">
        <v>109.155550199701</v>
      </c>
      <c r="L53" t="n">
        <v>114.143821517906</v>
      </c>
      <c r="M53" t="n">
        <v>114.790051153576</v>
      </c>
      <c r="N53" t="n">
        <v>130.157638577904</v>
      </c>
      <c r="O53" t="n">
        <v>125.823516490415</v>
      </c>
      <c r="P53" t="n">
        <v>129.289035716724</v>
      </c>
      <c r="Q53" t="n">
        <v>132.194595290913</v>
      </c>
      <c r="R53" t="n">
        <v>149.453655467036</v>
      </c>
      <c r="S53" t="n">
        <v>143.148101269575</v>
      </c>
      <c r="T53" t="n">
        <v>130.684325100138</v>
      </c>
      <c r="U53" t="n">
        <v>128.666909321862</v>
      </c>
      <c r="V53" t="n">
        <v>119.612657409445</v>
      </c>
      <c r="W53" t="n">
        <v>107.004866838704</v>
      </c>
      <c r="X53" t="n">
        <v>111.555705115543</v>
      </c>
      <c r="Y53" t="n">
        <v>106.54530421529</v>
      </c>
      <c r="Z53" t="n">
        <v>95.0524966344684</v>
      </c>
      <c r="AA53" t="n">
        <v>79.5862760374845</v>
      </c>
      <c r="AB53" t="n">
        <v>90.6486065005649</v>
      </c>
      <c r="AC53" t="n">
        <v>93.9000807469314</v>
      </c>
      <c r="AD53" t="n">
        <v>98.6985119186454</v>
      </c>
      <c r="AE53" t="n">
        <v>100</v>
      </c>
      <c r="AF53" t="n">
        <v>110.852380134044</v>
      </c>
    </row>
    <row r="54">
      <c r="A54" t="s">
        <v>27</v>
      </c>
      <c r="B54" t="s">
        <v>265</v>
      </c>
      <c r="C54" t="s">
        <v>131</v>
      </c>
      <c r="D54" t="s">
        <v>266</v>
      </c>
      <c r="E54" t="s">
        <v>132</v>
      </c>
      <c r="F54" t="n">
        <v>57.8522782325965</v>
      </c>
      <c r="G54" t="n">
        <v>60.1251319319127</v>
      </c>
      <c r="H54" t="n">
        <v>61.264529475812</v>
      </c>
      <c r="I54" t="n">
        <v>66.9245506546305</v>
      </c>
      <c r="J54" t="n">
        <v>72.088761885709</v>
      </c>
      <c r="K54" t="n">
        <v>80.7537463690341</v>
      </c>
      <c r="L54" t="n">
        <v>87.4912460660929</v>
      </c>
      <c r="M54" t="n">
        <v>91.93417507289</v>
      </c>
      <c r="N54" t="n">
        <v>100.015266834166</v>
      </c>
      <c r="O54" t="n">
        <v>98.9234119622519</v>
      </c>
      <c r="P54" t="n">
        <v>101.051329278098</v>
      </c>
      <c r="Q54" t="n">
        <v>102.387277101328</v>
      </c>
      <c r="R54" t="n">
        <v>112.858202799325</v>
      </c>
      <c r="S54" t="n">
        <v>110.052491053941</v>
      </c>
      <c r="T54" t="n">
        <v>102.53209268348</v>
      </c>
      <c r="U54" t="n">
        <v>108.735570864551</v>
      </c>
      <c r="V54" t="n">
        <v>104.622032749946</v>
      </c>
      <c r="W54" t="n">
        <v>99.3698547096504</v>
      </c>
      <c r="X54" t="n">
        <v>105.379435124819</v>
      </c>
      <c r="Y54" t="n">
        <v>103.377702740751</v>
      </c>
      <c r="Z54" t="n">
        <v>93.4536762235798</v>
      </c>
      <c r="AA54" t="n">
        <v>86.1050759843951</v>
      </c>
      <c r="AB54" t="n">
        <v>92.2808420525316</v>
      </c>
      <c r="AC54" t="n">
        <v>95.557110883027</v>
      </c>
      <c r="AD54" t="n">
        <v>98.0878964117195</v>
      </c>
      <c r="AE54" t="n">
        <v>100</v>
      </c>
      <c r="AF54" t="n">
        <v>107.375276668278</v>
      </c>
    </row>
    <row r="55">
      <c r="A55" t="s">
        <v>27</v>
      </c>
      <c r="B55" t="s">
        <v>267</v>
      </c>
      <c r="C55" t="s">
        <v>131</v>
      </c>
      <c r="D55" t="s">
        <v>268</v>
      </c>
      <c r="E55" t="s">
        <v>132</v>
      </c>
      <c r="F55" t="n">
        <v>45.8187323551055</v>
      </c>
      <c r="G55" t="n">
        <v>48.2544122450065</v>
      </c>
      <c r="H55" t="n">
        <v>41.2285428643613</v>
      </c>
      <c r="I55" t="n">
        <v>44.0744562675859</v>
      </c>
      <c r="J55" t="n">
        <v>47.6058456757746</v>
      </c>
      <c r="K55" t="n">
        <v>45.6357363170617</v>
      </c>
      <c r="L55" t="n">
        <v>53.4818804557845</v>
      </c>
      <c r="M55" t="n">
        <v>61.1784345719288</v>
      </c>
      <c r="N55" t="n">
        <v>61.4821668706641</v>
      </c>
      <c r="O55" t="n">
        <v>63.4917103236255</v>
      </c>
      <c r="P55" t="n">
        <v>64.1455151210083</v>
      </c>
      <c r="Q55" t="n">
        <v>63.75191333178</v>
      </c>
      <c r="R55" t="n">
        <v>66.2944910184178</v>
      </c>
      <c r="S55" t="n">
        <v>67.5504165944991</v>
      </c>
      <c r="T55" t="n">
        <v>65.9511114756795</v>
      </c>
      <c r="U55" t="n">
        <v>82.0136260353082</v>
      </c>
      <c r="V55" t="n">
        <v>83.6339560329663</v>
      </c>
      <c r="W55" t="n">
        <v>87.3725711007335</v>
      </c>
      <c r="X55" t="n">
        <v>95.050828734342</v>
      </c>
      <c r="Y55" t="n">
        <v>97.0707350998012</v>
      </c>
      <c r="Z55" t="n">
        <v>89.4128450144133</v>
      </c>
      <c r="AA55" t="n">
        <v>95.5762119774945</v>
      </c>
      <c r="AB55" t="n">
        <v>94.6016187340323</v>
      </c>
      <c r="AC55" t="n">
        <v>97.9112647209421</v>
      </c>
      <c r="AD55" t="n">
        <v>97.2161172161172</v>
      </c>
      <c r="AE55" t="n">
        <v>100</v>
      </c>
      <c r="AF55" t="n">
        <v>102.326741937496</v>
      </c>
    </row>
    <row r="56">
      <c r="A56" t="s">
        <v>27</v>
      </c>
      <c r="B56" t="s">
        <v>269</v>
      </c>
      <c r="C56" t="s">
        <v>131</v>
      </c>
      <c r="D56" t="s">
        <v>270</v>
      </c>
      <c r="E56" t="s">
        <v>132</v>
      </c>
      <c r="F56" t="n">
        <v>55.475408425726</v>
      </c>
      <c r="G56" t="n">
        <v>59.6286475592028</v>
      </c>
      <c r="H56" t="n">
        <v>60.4804853814771</v>
      </c>
      <c r="I56" t="n">
        <v>61.6092960123691</v>
      </c>
      <c r="J56" t="n">
        <v>63.2775215813315</v>
      </c>
      <c r="K56" t="n">
        <v>65.5509654704812</v>
      </c>
      <c r="L56" t="n">
        <v>67.5994331414337</v>
      </c>
      <c r="M56" t="n">
        <v>69.683997159011</v>
      </c>
      <c r="N56" t="n">
        <v>76.1474403737598</v>
      </c>
      <c r="O56" t="n">
        <v>78.9960216286176</v>
      </c>
      <c r="P56" t="n">
        <v>78.9960216286176</v>
      </c>
      <c r="Q56" t="n">
        <v>80.0585651166383</v>
      </c>
      <c r="R56" t="n">
        <v>79.8558852049506</v>
      </c>
      <c r="S56" t="n">
        <v>81.7365491681107</v>
      </c>
      <c r="T56" t="n">
        <v>84.1095457568623</v>
      </c>
      <c r="U56" t="n">
        <v>84.1095457568623</v>
      </c>
      <c r="V56" t="n">
        <v>85.0204794654204</v>
      </c>
      <c r="W56" t="n">
        <v>81.6196602868036</v>
      </c>
      <c r="X56" t="n">
        <v>79.534486483856</v>
      </c>
      <c r="Y56" t="n">
        <v>81.563427465587</v>
      </c>
      <c r="Z56" t="n">
        <v>83.6441271458316</v>
      </c>
      <c r="AA56" t="n">
        <v>85.7230016509181</v>
      </c>
      <c r="AB56" t="n">
        <v>90.7036796035215</v>
      </c>
      <c r="AC56" t="n">
        <v>92.2045678484777</v>
      </c>
      <c r="AD56" t="n">
        <v>95.4292084726867</v>
      </c>
      <c r="AE56" t="n">
        <v>100</v>
      </c>
      <c r="AF56" t="n">
        <v>100.943864878291</v>
      </c>
    </row>
    <row r="57">
      <c r="A57" t="s">
        <v>27</v>
      </c>
      <c r="B57" t="s">
        <v>271</v>
      </c>
      <c r="C57" t="s">
        <v>131</v>
      </c>
      <c r="D57" t="s">
        <v>272</v>
      </c>
      <c r="E57" t="s">
        <v>132</v>
      </c>
      <c r="F57" t="n">
        <v>49.0931679557895</v>
      </c>
      <c r="G57" t="n">
        <v>50.1191264588182</v>
      </c>
      <c r="H57" t="n">
        <v>52.4340451823658</v>
      </c>
      <c r="I57" t="n">
        <v>56.6362575954979</v>
      </c>
      <c r="J57" t="n">
        <v>59.3828365249704</v>
      </c>
      <c r="K57" t="n">
        <v>64.2327542729765</v>
      </c>
      <c r="L57" t="n">
        <v>69.6107955871311</v>
      </c>
      <c r="M57" t="n">
        <v>72.7232383713434</v>
      </c>
      <c r="N57" t="n">
        <v>76.7815904607367</v>
      </c>
      <c r="O57" t="n">
        <v>77.7640727830762</v>
      </c>
      <c r="P57" t="n">
        <v>79.7491272175477</v>
      </c>
      <c r="Q57" t="n">
        <v>82.9066309768619</v>
      </c>
      <c r="R57" t="n">
        <v>82.8006388187086</v>
      </c>
      <c r="S57" t="n">
        <v>80.9614095016424</v>
      </c>
      <c r="T57" t="n">
        <v>78.722053125696</v>
      </c>
      <c r="U57" t="n">
        <v>77.3252375052802</v>
      </c>
      <c r="V57" t="n">
        <v>78.4618236852537</v>
      </c>
      <c r="W57" t="n">
        <v>82.3346704111569</v>
      </c>
      <c r="X57" t="n">
        <v>84.3865582741255</v>
      </c>
      <c r="Y57" t="n">
        <v>85.5245705325329</v>
      </c>
      <c r="Z57" t="n">
        <v>95.5026608534147</v>
      </c>
      <c r="AA57" t="n">
        <v>95.4663038574995</v>
      </c>
      <c r="AB57" t="n">
        <v>98.8457323547056</v>
      </c>
      <c r="AC57" t="n">
        <v>99.3358170111091</v>
      </c>
      <c r="AD57" t="n">
        <v>102.739355083831</v>
      </c>
      <c r="AE57" t="n">
        <v>100</v>
      </c>
      <c r="AF57" t="n">
        <v>101.289291936368</v>
      </c>
    </row>
    <row r="58">
      <c r="A58" t="s">
        <v>27</v>
      </c>
      <c r="B58" t="s">
        <v>273</v>
      </c>
      <c r="C58" t="s">
        <v>131</v>
      </c>
      <c r="D58" t="s">
        <v>274</v>
      </c>
      <c r="E58" t="s">
        <v>132</v>
      </c>
      <c r="F58" t="n">
        <v>49.0897494419384</v>
      </c>
      <c r="G58" t="n">
        <v>50.1118508043495</v>
      </c>
      <c r="H58" t="n">
        <v>52.4292781619781</v>
      </c>
      <c r="I58" t="n">
        <v>56.6359874948921</v>
      </c>
      <c r="J58" t="n">
        <v>59.3842032200498</v>
      </c>
      <c r="K58" t="n">
        <v>64.2367716226861</v>
      </c>
      <c r="L58" t="n">
        <v>69.6181601454625</v>
      </c>
      <c r="M58" t="n">
        <v>72.7316925706887</v>
      </c>
      <c r="N58" t="n">
        <v>76.7882378724814</v>
      </c>
      <c r="O58" t="n">
        <v>77.7692774669057</v>
      </c>
      <c r="P58" t="n">
        <v>79.7564314599766</v>
      </c>
      <c r="Q58" t="n">
        <v>82.9168047773132</v>
      </c>
      <c r="R58" t="n">
        <v>82.8109402946635</v>
      </c>
      <c r="S58" t="n">
        <v>80.9665863382824</v>
      </c>
      <c r="T58" t="n">
        <v>78.721630810759</v>
      </c>
      <c r="U58" t="n">
        <v>77.3245073574447</v>
      </c>
      <c r="V58" t="n">
        <v>78.4611890806028</v>
      </c>
      <c r="W58" t="n">
        <v>82.3369676379077</v>
      </c>
      <c r="X58" t="n">
        <v>84.3902934602775</v>
      </c>
      <c r="Y58" t="n">
        <v>85.5280311613297</v>
      </c>
      <c r="Z58" t="n">
        <v>95.5085359673804</v>
      </c>
      <c r="AA58" t="n">
        <v>95.4715355279238</v>
      </c>
      <c r="AB58" t="n">
        <v>98.8499360874038</v>
      </c>
      <c r="AC58" t="n">
        <v>99.3393780381102</v>
      </c>
      <c r="AD58" t="n">
        <v>102.742999190285</v>
      </c>
      <c r="AE58" t="n">
        <v>100</v>
      </c>
      <c r="AF58" t="n">
        <v>101.289458032061</v>
      </c>
    </row>
    <row r="59">
      <c r="A59" t="s">
        <v>27</v>
      </c>
      <c r="B59" t="s">
        <v>275</v>
      </c>
      <c r="C59" t="s">
        <v>131</v>
      </c>
      <c r="D59" t="s">
        <v>276</v>
      </c>
      <c r="E59" t="s">
        <v>132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29</v>
      </c>
      <c r="B2" t="s">
        <v>84</v>
      </c>
      <c r="C2" t="s">
        <v>131</v>
      </c>
      <c r="D2" t="s">
        <v>86</v>
      </c>
      <c r="E2" t="s">
        <v>132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100</v>
      </c>
      <c r="AF2"/>
    </row>
    <row r="3">
      <c r="A3" t="s">
        <v>29</v>
      </c>
      <c r="B3" t="s">
        <v>163</v>
      </c>
      <c r="C3" t="s">
        <v>131</v>
      </c>
      <c r="D3" t="s">
        <v>164</v>
      </c>
      <c r="E3" t="s">
        <v>132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 t="n">
        <v>100</v>
      </c>
      <c r="AF3"/>
    </row>
    <row r="4">
      <c r="A4" t="s">
        <v>29</v>
      </c>
      <c r="B4" t="s">
        <v>165</v>
      </c>
      <c r="C4" t="s">
        <v>131</v>
      </c>
      <c r="D4" t="s">
        <v>166</v>
      </c>
      <c r="E4" t="s">
        <v>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e">
        <v>#NUM!</v>
      </c>
    </row>
    <row r="5">
      <c r="A5" t="s">
        <v>29</v>
      </c>
      <c r="B5" t="s">
        <v>167</v>
      </c>
      <c r="C5" t="s">
        <v>131</v>
      </c>
      <c r="D5" t="s">
        <v>168</v>
      </c>
      <c r="E5" t="s">
        <v>132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n">
        <v>100</v>
      </c>
      <c r="AF5"/>
    </row>
    <row r="6">
      <c r="A6" t="s">
        <v>29</v>
      </c>
      <c r="B6" t="s">
        <v>169</v>
      </c>
      <c r="C6" t="s">
        <v>131</v>
      </c>
      <c r="D6" t="s">
        <v>170</v>
      </c>
      <c r="E6" t="s">
        <v>132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 t="n">
        <v>100</v>
      </c>
      <c r="AF6"/>
    </row>
    <row r="7">
      <c r="A7" t="s">
        <v>29</v>
      </c>
      <c r="B7" t="s">
        <v>171</v>
      </c>
      <c r="C7" t="s">
        <v>131</v>
      </c>
      <c r="D7" t="s">
        <v>172</v>
      </c>
      <c r="E7" t="s">
        <v>132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100</v>
      </c>
      <c r="AF7"/>
    </row>
    <row r="8">
      <c r="A8" t="s">
        <v>29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29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29</v>
      </c>
      <c r="B10" t="s">
        <v>177</v>
      </c>
      <c r="C10" t="s">
        <v>131</v>
      </c>
      <c r="D10" t="s">
        <v>178</v>
      </c>
      <c r="E10" t="s">
        <v>132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e">
        <v>#NUM!</v>
      </c>
      <c r="AF10" t="e">
        <v>#NUM!</v>
      </c>
    </row>
    <row r="11">
      <c r="A11" t="s">
        <v>29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29</v>
      </c>
      <c r="B12" t="s">
        <v>181</v>
      </c>
      <c r="C12" t="s">
        <v>131</v>
      </c>
      <c r="D12" t="s">
        <v>182</v>
      </c>
      <c r="E12" t="s">
        <v>132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 t="n">
        <v>100</v>
      </c>
      <c r="AF12"/>
    </row>
    <row r="13">
      <c r="A13" t="s">
        <v>29</v>
      </c>
      <c r="B13" t="s">
        <v>183</v>
      </c>
      <c r="C13" t="s">
        <v>131</v>
      </c>
      <c r="D13" t="s">
        <v>184</v>
      </c>
      <c r="E13" t="s">
        <v>132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n">
        <v>100</v>
      </c>
      <c r="AF13"/>
    </row>
    <row r="14">
      <c r="A14" t="s">
        <v>29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29</v>
      </c>
      <c r="B15" t="s">
        <v>187</v>
      </c>
      <c r="C15" t="s">
        <v>131</v>
      </c>
      <c r="D15" t="s">
        <v>188</v>
      </c>
      <c r="E15" t="s">
        <v>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e">
        <v>#NUM!</v>
      </c>
    </row>
    <row r="16">
      <c r="A16" t="s">
        <v>29</v>
      </c>
      <c r="B16" t="s">
        <v>189</v>
      </c>
      <c r="C16" t="s">
        <v>131</v>
      </c>
      <c r="D16" t="s">
        <v>190</v>
      </c>
      <c r="E16" t="s">
        <v>132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>
        <v>100</v>
      </c>
      <c r="AF16"/>
    </row>
    <row r="17">
      <c r="A17" t="s">
        <v>29</v>
      </c>
      <c r="B17" t="s">
        <v>191</v>
      </c>
      <c r="C17" t="s">
        <v>131</v>
      </c>
      <c r="D17" t="s">
        <v>192</v>
      </c>
      <c r="E17" t="s">
        <v>132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100</v>
      </c>
      <c r="AF17"/>
    </row>
    <row r="18">
      <c r="A18" t="s">
        <v>29</v>
      </c>
      <c r="B18" t="s">
        <v>193</v>
      </c>
      <c r="C18" t="s">
        <v>131</v>
      </c>
      <c r="D18" t="s">
        <v>194</v>
      </c>
      <c r="E18" t="s">
        <v>132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100</v>
      </c>
      <c r="AF18"/>
    </row>
    <row r="19">
      <c r="A19" t="s">
        <v>29</v>
      </c>
      <c r="B19" t="s">
        <v>195</v>
      </c>
      <c r="C19" t="s">
        <v>131</v>
      </c>
      <c r="D19" t="s">
        <v>196</v>
      </c>
      <c r="E19" t="s">
        <v>132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 t="n">
        <v>100</v>
      </c>
      <c r="AF19"/>
    </row>
    <row r="20">
      <c r="A20" t="s">
        <v>29</v>
      </c>
      <c r="B20" t="s">
        <v>197</v>
      </c>
      <c r="C20" t="s">
        <v>131</v>
      </c>
      <c r="D20" t="s">
        <v>198</v>
      </c>
      <c r="E20" t="s">
        <v>132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n">
        <v>100</v>
      </c>
      <c r="AF20"/>
    </row>
    <row r="21">
      <c r="A21" t="s">
        <v>29</v>
      </c>
      <c r="B21" t="s">
        <v>199</v>
      </c>
      <c r="C21" t="s">
        <v>131</v>
      </c>
      <c r="D21" t="s">
        <v>200</v>
      </c>
      <c r="E21" t="s">
        <v>132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e">
        <v>#NUM!</v>
      </c>
    </row>
    <row r="22">
      <c r="A22" t="s">
        <v>29</v>
      </c>
      <c r="B22" t="s">
        <v>201</v>
      </c>
      <c r="C22" t="s">
        <v>131</v>
      </c>
      <c r="D22" t="s">
        <v>202</v>
      </c>
      <c r="E22" t="s">
        <v>132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 t="n">
        <v>100</v>
      </c>
      <c r="AF22"/>
    </row>
    <row r="23">
      <c r="A23" t="s">
        <v>29</v>
      </c>
      <c r="B23" t="s">
        <v>203</v>
      </c>
      <c r="C23" t="s">
        <v>131</v>
      </c>
      <c r="D23" t="s">
        <v>204</v>
      </c>
      <c r="E23" t="s">
        <v>132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n">
        <v>100</v>
      </c>
      <c r="AF23"/>
    </row>
    <row r="24">
      <c r="A24" t="s">
        <v>29</v>
      </c>
      <c r="B24" t="s">
        <v>205</v>
      </c>
      <c r="C24" t="s">
        <v>131</v>
      </c>
      <c r="D24" t="s">
        <v>206</v>
      </c>
      <c r="E24" t="s">
        <v>132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e">
        <v>#NUM!</v>
      </c>
    </row>
    <row r="25">
      <c r="A25" t="s">
        <v>29</v>
      </c>
      <c r="B25" t="s">
        <v>207</v>
      </c>
      <c r="C25" t="s">
        <v>131</v>
      </c>
      <c r="D25" t="s">
        <v>208</v>
      </c>
      <c r="E25" t="s">
        <v>132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 t="n">
        <v>100</v>
      </c>
      <c r="AF25"/>
    </row>
    <row r="26">
      <c r="A26" t="s">
        <v>29</v>
      </c>
      <c r="B26" t="s">
        <v>209</v>
      </c>
      <c r="C26" t="s">
        <v>131</v>
      </c>
      <c r="D26" t="s">
        <v>210</v>
      </c>
      <c r="E26" t="s">
        <v>132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 t="n">
        <v>100</v>
      </c>
      <c r="AF26"/>
    </row>
    <row r="27">
      <c r="A27" t="s">
        <v>29</v>
      </c>
      <c r="B27" t="s">
        <v>211</v>
      </c>
      <c r="C27" t="s">
        <v>131</v>
      </c>
      <c r="D27" t="s">
        <v>212</v>
      </c>
      <c r="E27" t="s">
        <v>132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 t="n">
        <v>100</v>
      </c>
      <c r="AF27"/>
    </row>
    <row r="28">
      <c r="A28" t="s">
        <v>29</v>
      </c>
      <c r="B28" t="s">
        <v>213</v>
      </c>
      <c r="C28" t="s">
        <v>131</v>
      </c>
      <c r="D28" t="s">
        <v>214</v>
      </c>
      <c r="E28" t="s">
        <v>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e">
        <v>#NUM!</v>
      </c>
    </row>
    <row r="29">
      <c r="A29" t="s">
        <v>29</v>
      </c>
      <c r="B29" t="s">
        <v>215</v>
      </c>
      <c r="C29" t="s">
        <v>131</v>
      </c>
      <c r="D29" t="s">
        <v>216</v>
      </c>
      <c r="E29" t="s">
        <v>132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 t="n">
        <v>100</v>
      </c>
      <c r="AF29"/>
    </row>
    <row r="30">
      <c r="A30" t="s">
        <v>29</v>
      </c>
      <c r="B30" t="s">
        <v>217</v>
      </c>
      <c r="C30" t="s">
        <v>131</v>
      </c>
      <c r="D30" t="s">
        <v>218</v>
      </c>
      <c r="E30" t="s">
        <v>132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 t="n">
        <v>100</v>
      </c>
      <c r="AF30"/>
    </row>
    <row r="31">
      <c r="A31" t="s">
        <v>29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29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29</v>
      </c>
      <c r="B33" t="s">
        <v>223</v>
      </c>
      <c r="C33" t="s">
        <v>131</v>
      </c>
      <c r="D33" t="s">
        <v>224</v>
      </c>
      <c r="E33" t="s">
        <v>132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 t="n">
        <v>100</v>
      </c>
      <c r="AF33"/>
    </row>
    <row r="34">
      <c r="A34" t="s">
        <v>29</v>
      </c>
      <c r="B34" t="s">
        <v>225</v>
      </c>
      <c r="C34" t="s">
        <v>131</v>
      </c>
      <c r="D34" t="s">
        <v>226</v>
      </c>
      <c r="E34" t="s">
        <v>132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100</v>
      </c>
      <c r="AF34"/>
    </row>
    <row r="35">
      <c r="A35" t="s">
        <v>29</v>
      </c>
      <c r="B35" t="s">
        <v>227</v>
      </c>
      <c r="C35" t="s">
        <v>131</v>
      </c>
      <c r="D35" t="s">
        <v>228</v>
      </c>
      <c r="E35" t="s">
        <v>132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e">
        <v>#NUM!</v>
      </c>
    </row>
    <row r="36">
      <c r="A36" t="s">
        <v>29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29</v>
      </c>
      <c r="B37" t="s">
        <v>231</v>
      </c>
      <c r="C37" t="s">
        <v>131</v>
      </c>
      <c r="D37" t="s">
        <v>232</v>
      </c>
      <c r="E37" t="s">
        <v>132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100</v>
      </c>
      <c r="AF37"/>
    </row>
    <row r="38">
      <c r="A38" t="s">
        <v>29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29</v>
      </c>
      <c r="B39" t="s">
        <v>235</v>
      </c>
      <c r="C39" t="s">
        <v>131</v>
      </c>
      <c r="D39" t="s">
        <v>236</v>
      </c>
      <c r="E39" t="s">
        <v>132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 t="n">
        <v>100</v>
      </c>
      <c r="AF39"/>
    </row>
    <row r="40">
      <c r="A40" t="s">
        <v>29</v>
      </c>
      <c r="B40" t="s">
        <v>237</v>
      </c>
      <c r="C40" t="s">
        <v>131</v>
      </c>
      <c r="D40" t="s">
        <v>238</v>
      </c>
      <c r="E40" t="s">
        <v>132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 t="n">
        <v>100</v>
      </c>
      <c r="AF40"/>
    </row>
    <row r="41">
      <c r="A41" t="s">
        <v>29</v>
      </c>
      <c r="B41" t="s">
        <v>239</v>
      </c>
      <c r="C41" t="s">
        <v>131</v>
      </c>
      <c r="D41" t="s">
        <v>240</v>
      </c>
      <c r="E41" t="s">
        <v>132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 t="n">
        <v>100</v>
      </c>
      <c r="AF41"/>
    </row>
    <row r="42">
      <c r="A42" t="s">
        <v>29</v>
      </c>
      <c r="B42" t="s">
        <v>241</v>
      </c>
      <c r="C42" t="s">
        <v>131</v>
      </c>
      <c r="D42" t="s">
        <v>242</v>
      </c>
      <c r="E42" t="s">
        <v>132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 t="n">
        <v>100</v>
      </c>
      <c r="AF42"/>
    </row>
    <row r="43">
      <c r="A43" t="s">
        <v>29</v>
      </c>
      <c r="B43" t="s">
        <v>243</v>
      </c>
      <c r="C43" t="s">
        <v>131</v>
      </c>
      <c r="D43" t="s">
        <v>244</v>
      </c>
      <c r="E43" t="s">
        <v>132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e">
        <v>#NUM!</v>
      </c>
    </row>
    <row r="44">
      <c r="A44" t="s">
        <v>29</v>
      </c>
      <c r="B44" t="s">
        <v>245</v>
      </c>
      <c r="C44" t="s">
        <v>131</v>
      </c>
      <c r="D44" t="s">
        <v>246</v>
      </c>
      <c r="E44" t="s">
        <v>132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e">
        <v>#NUM!</v>
      </c>
    </row>
    <row r="45">
      <c r="A45" t="s">
        <v>29</v>
      </c>
      <c r="B45" t="s">
        <v>247</v>
      </c>
      <c r="C45" t="s">
        <v>131</v>
      </c>
      <c r="D45" t="s">
        <v>248</v>
      </c>
      <c r="E45" t="s">
        <v>132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e">
        <v>#NUM!</v>
      </c>
    </row>
    <row r="46">
      <c r="A46" t="s">
        <v>29</v>
      </c>
      <c r="B46" t="s">
        <v>249</v>
      </c>
      <c r="C46" t="s">
        <v>131</v>
      </c>
      <c r="D46" t="s">
        <v>250</v>
      </c>
      <c r="E46" t="s">
        <v>132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t="n">
        <v>100</v>
      </c>
      <c r="AF46"/>
    </row>
    <row r="47">
      <c r="A47" t="s">
        <v>29</v>
      </c>
      <c r="B47" t="s">
        <v>251</v>
      </c>
      <c r="C47" t="s">
        <v>131</v>
      </c>
      <c r="D47" t="s">
        <v>252</v>
      </c>
      <c r="E47" t="s">
        <v>132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100</v>
      </c>
      <c r="AF47"/>
    </row>
    <row r="48">
      <c r="A48" t="s">
        <v>29</v>
      </c>
      <c r="B48" t="s">
        <v>253</v>
      </c>
      <c r="C48" t="s">
        <v>131</v>
      </c>
      <c r="D48" t="s">
        <v>254</v>
      </c>
      <c r="E48" t="s">
        <v>132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e">
        <v>#NUM!</v>
      </c>
    </row>
    <row r="49">
      <c r="A49" t="s">
        <v>29</v>
      </c>
      <c r="B49" t="s">
        <v>255</v>
      </c>
      <c r="C49" t="s">
        <v>131</v>
      </c>
      <c r="D49" t="s">
        <v>256</v>
      </c>
      <c r="E49" t="s">
        <v>132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 t="n">
        <v>100</v>
      </c>
      <c r="AF49"/>
    </row>
    <row r="50">
      <c r="A50" t="s">
        <v>29</v>
      </c>
      <c r="B50" t="s">
        <v>257</v>
      </c>
      <c r="C50" t="s">
        <v>131</v>
      </c>
      <c r="D50" t="s">
        <v>258</v>
      </c>
      <c r="E50" t="s">
        <v>132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e">
        <v>#NUM!</v>
      </c>
    </row>
    <row r="51">
      <c r="A51" t="s">
        <v>29</v>
      </c>
      <c r="B51" t="s">
        <v>259</v>
      </c>
      <c r="C51" t="s">
        <v>131</v>
      </c>
      <c r="D51" t="s">
        <v>260</v>
      </c>
      <c r="E51" t="s">
        <v>132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 t="n">
        <v>100</v>
      </c>
      <c r="AF51"/>
    </row>
    <row r="52">
      <c r="A52" t="s">
        <v>29</v>
      </c>
      <c r="B52" t="s">
        <v>261</v>
      </c>
      <c r="C52" t="s">
        <v>131</v>
      </c>
      <c r="D52" t="s">
        <v>262</v>
      </c>
      <c r="E52" t="s">
        <v>132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100</v>
      </c>
      <c r="AF52"/>
    </row>
    <row r="53">
      <c r="A53" t="s">
        <v>29</v>
      </c>
      <c r="B53" t="s">
        <v>263</v>
      </c>
      <c r="C53" t="s">
        <v>131</v>
      </c>
      <c r="D53" t="s">
        <v>264</v>
      </c>
      <c r="E53" t="s">
        <v>132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t="n">
        <v>100</v>
      </c>
      <c r="AF53"/>
    </row>
    <row r="54">
      <c r="A54" t="s">
        <v>29</v>
      </c>
      <c r="B54" t="s">
        <v>265</v>
      </c>
      <c r="C54" t="s">
        <v>131</v>
      </c>
      <c r="D54" t="s">
        <v>266</v>
      </c>
      <c r="E54" t="s">
        <v>132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e">
        <v>#NUM!</v>
      </c>
    </row>
    <row r="55">
      <c r="A55" t="s">
        <v>29</v>
      </c>
      <c r="B55" t="s">
        <v>267</v>
      </c>
      <c r="C55" t="s">
        <v>131</v>
      </c>
      <c r="D55" t="s">
        <v>268</v>
      </c>
      <c r="E55" t="s">
        <v>132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t="n">
        <v>100</v>
      </c>
      <c r="AF55"/>
    </row>
    <row r="56">
      <c r="A56" t="s">
        <v>29</v>
      </c>
      <c r="B56" t="s">
        <v>269</v>
      </c>
      <c r="C56" t="s">
        <v>131</v>
      </c>
      <c r="D56" t="s">
        <v>270</v>
      </c>
      <c r="E56" t="s">
        <v>132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100</v>
      </c>
      <c r="AF56"/>
    </row>
    <row r="57">
      <c r="A57" t="s">
        <v>29</v>
      </c>
      <c r="B57" t="s">
        <v>271</v>
      </c>
      <c r="C57" t="s">
        <v>131</v>
      </c>
      <c r="D57" t="s">
        <v>272</v>
      </c>
      <c r="E57" t="s">
        <v>132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e">
        <v>#NUM!</v>
      </c>
    </row>
    <row r="58">
      <c r="A58" t="s">
        <v>29</v>
      </c>
      <c r="B58" t="s">
        <v>273</v>
      </c>
      <c r="C58" t="s">
        <v>131</v>
      </c>
      <c r="D58" t="s">
        <v>274</v>
      </c>
      <c r="E58" t="s">
        <v>132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e">
        <v>#NUM!</v>
      </c>
    </row>
    <row r="59">
      <c r="A59" t="s">
        <v>29</v>
      </c>
      <c r="B59" t="s">
        <v>275</v>
      </c>
      <c r="C59" t="s">
        <v>131</v>
      </c>
      <c r="D59" t="s">
        <v>276</v>
      </c>
      <c r="E59" t="s">
        <v>132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e">
        <v>#NUM!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31</v>
      </c>
      <c r="B2" t="s">
        <v>84</v>
      </c>
      <c r="C2" t="s">
        <v>131</v>
      </c>
      <c r="D2" t="s">
        <v>86</v>
      </c>
      <c r="E2" t="s">
        <v>132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100</v>
      </c>
      <c r="AF2"/>
    </row>
    <row r="3">
      <c r="A3" t="s">
        <v>31</v>
      </c>
      <c r="B3" t="s">
        <v>163</v>
      </c>
      <c r="C3" t="s">
        <v>131</v>
      </c>
      <c r="D3" t="s">
        <v>164</v>
      </c>
      <c r="E3" t="s">
        <v>132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 t="n">
        <v>100</v>
      </c>
      <c r="AF3"/>
    </row>
    <row r="4">
      <c r="A4" t="s">
        <v>31</v>
      </c>
      <c r="B4" t="s">
        <v>165</v>
      </c>
      <c r="C4" t="s">
        <v>131</v>
      </c>
      <c r="D4" t="s">
        <v>166</v>
      </c>
      <c r="E4" t="s">
        <v>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e">
        <v>#NUM!</v>
      </c>
    </row>
    <row r="5">
      <c r="A5" t="s">
        <v>31</v>
      </c>
      <c r="B5" t="s">
        <v>167</v>
      </c>
      <c r="C5" t="s">
        <v>131</v>
      </c>
      <c r="D5" t="s">
        <v>168</v>
      </c>
      <c r="E5" t="s">
        <v>132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n">
        <v>100</v>
      </c>
      <c r="AF5"/>
    </row>
    <row r="6">
      <c r="A6" t="s">
        <v>31</v>
      </c>
      <c r="B6" t="s">
        <v>169</v>
      </c>
      <c r="C6" t="s">
        <v>131</v>
      </c>
      <c r="D6" t="s">
        <v>170</v>
      </c>
      <c r="E6" t="s">
        <v>132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 t="n">
        <v>100</v>
      </c>
      <c r="AF6"/>
    </row>
    <row r="7">
      <c r="A7" t="s">
        <v>31</v>
      </c>
      <c r="B7" t="s">
        <v>171</v>
      </c>
      <c r="C7" t="s">
        <v>131</v>
      </c>
      <c r="D7" t="s">
        <v>172</v>
      </c>
      <c r="E7" t="s">
        <v>132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100</v>
      </c>
      <c r="AF7"/>
    </row>
    <row r="8">
      <c r="A8" t="s">
        <v>31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31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31</v>
      </c>
      <c r="B10" t="s">
        <v>177</v>
      </c>
      <c r="C10" t="s">
        <v>131</v>
      </c>
      <c r="D10" t="s">
        <v>178</v>
      </c>
      <c r="E10" t="s">
        <v>132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e">
        <v>#NUM!</v>
      </c>
      <c r="AF10" t="e">
        <v>#NUM!</v>
      </c>
    </row>
    <row r="11">
      <c r="A11" t="s">
        <v>31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31</v>
      </c>
      <c r="B12" t="s">
        <v>181</v>
      </c>
      <c r="C12" t="s">
        <v>131</v>
      </c>
      <c r="D12" t="s">
        <v>182</v>
      </c>
      <c r="E12" t="s">
        <v>132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 t="n">
        <v>100</v>
      </c>
      <c r="AF12"/>
    </row>
    <row r="13">
      <c r="A13" t="s">
        <v>31</v>
      </c>
      <c r="B13" t="s">
        <v>183</v>
      </c>
      <c r="C13" t="s">
        <v>131</v>
      </c>
      <c r="D13" t="s">
        <v>184</v>
      </c>
      <c r="E13" t="s">
        <v>132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n">
        <v>100</v>
      </c>
      <c r="AF13"/>
    </row>
    <row r="14">
      <c r="A14" t="s">
        <v>31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31</v>
      </c>
      <c r="B15" t="s">
        <v>187</v>
      </c>
      <c r="C15" t="s">
        <v>131</v>
      </c>
      <c r="D15" t="s">
        <v>188</v>
      </c>
      <c r="E15" t="s">
        <v>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e">
        <v>#NUM!</v>
      </c>
    </row>
    <row r="16">
      <c r="A16" t="s">
        <v>31</v>
      </c>
      <c r="B16" t="s">
        <v>189</v>
      </c>
      <c r="C16" t="s">
        <v>131</v>
      </c>
      <c r="D16" t="s">
        <v>190</v>
      </c>
      <c r="E16" t="s">
        <v>132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>
        <v>100</v>
      </c>
      <c r="AF16"/>
    </row>
    <row r="17">
      <c r="A17" t="s">
        <v>31</v>
      </c>
      <c r="B17" t="s">
        <v>191</v>
      </c>
      <c r="C17" t="s">
        <v>131</v>
      </c>
      <c r="D17" t="s">
        <v>192</v>
      </c>
      <c r="E17" t="s">
        <v>132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100</v>
      </c>
      <c r="AF17"/>
    </row>
    <row r="18">
      <c r="A18" t="s">
        <v>31</v>
      </c>
      <c r="B18" t="s">
        <v>193</v>
      </c>
      <c r="C18" t="s">
        <v>131</v>
      </c>
      <c r="D18" t="s">
        <v>194</v>
      </c>
      <c r="E18" t="s">
        <v>132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100</v>
      </c>
      <c r="AF18"/>
    </row>
    <row r="19">
      <c r="A19" t="s">
        <v>31</v>
      </c>
      <c r="B19" t="s">
        <v>195</v>
      </c>
      <c r="C19" t="s">
        <v>131</v>
      </c>
      <c r="D19" t="s">
        <v>196</v>
      </c>
      <c r="E19" t="s">
        <v>132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 t="n">
        <v>100</v>
      </c>
      <c r="AF19"/>
    </row>
    <row r="20">
      <c r="A20" t="s">
        <v>31</v>
      </c>
      <c r="B20" t="s">
        <v>197</v>
      </c>
      <c r="C20" t="s">
        <v>131</v>
      </c>
      <c r="D20" t="s">
        <v>198</v>
      </c>
      <c r="E20" t="s">
        <v>132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n">
        <v>100</v>
      </c>
      <c r="AF20"/>
    </row>
    <row r="21">
      <c r="A21" t="s">
        <v>31</v>
      </c>
      <c r="B21" t="s">
        <v>199</v>
      </c>
      <c r="C21" t="s">
        <v>131</v>
      </c>
      <c r="D21" t="s">
        <v>200</v>
      </c>
      <c r="E21" t="s">
        <v>132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e">
        <v>#NUM!</v>
      </c>
    </row>
    <row r="22">
      <c r="A22" t="s">
        <v>31</v>
      </c>
      <c r="B22" t="s">
        <v>201</v>
      </c>
      <c r="C22" t="s">
        <v>131</v>
      </c>
      <c r="D22" t="s">
        <v>202</v>
      </c>
      <c r="E22" t="s">
        <v>132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 t="n">
        <v>100</v>
      </c>
      <c r="AF22"/>
    </row>
    <row r="23">
      <c r="A23" t="s">
        <v>31</v>
      </c>
      <c r="B23" t="s">
        <v>203</v>
      </c>
      <c r="C23" t="s">
        <v>131</v>
      </c>
      <c r="D23" t="s">
        <v>204</v>
      </c>
      <c r="E23" t="s">
        <v>132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n">
        <v>100</v>
      </c>
      <c r="AF23"/>
    </row>
    <row r="24">
      <c r="A24" t="s">
        <v>31</v>
      </c>
      <c r="B24" t="s">
        <v>205</v>
      </c>
      <c r="C24" t="s">
        <v>131</v>
      </c>
      <c r="D24" t="s">
        <v>206</v>
      </c>
      <c r="E24" t="s">
        <v>132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e">
        <v>#NUM!</v>
      </c>
    </row>
    <row r="25">
      <c r="A25" t="s">
        <v>31</v>
      </c>
      <c r="B25" t="s">
        <v>207</v>
      </c>
      <c r="C25" t="s">
        <v>131</v>
      </c>
      <c r="D25" t="s">
        <v>208</v>
      </c>
      <c r="E25" t="s">
        <v>132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 t="n">
        <v>100</v>
      </c>
      <c r="AF25"/>
    </row>
    <row r="26">
      <c r="A26" t="s">
        <v>31</v>
      </c>
      <c r="B26" t="s">
        <v>209</v>
      </c>
      <c r="C26" t="s">
        <v>131</v>
      </c>
      <c r="D26" t="s">
        <v>210</v>
      </c>
      <c r="E26" t="s">
        <v>132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 t="n">
        <v>100</v>
      </c>
      <c r="AF26"/>
    </row>
    <row r="27">
      <c r="A27" t="s">
        <v>31</v>
      </c>
      <c r="B27" t="s">
        <v>211</v>
      </c>
      <c r="C27" t="s">
        <v>131</v>
      </c>
      <c r="D27" t="s">
        <v>212</v>
      </c>
      <c r="E27" t="s">
        <v>132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 t="n">
        <v>100</v>
      </c>
      <c r="AF27"/>
    </row>
    <row r="28">
      <c r="A28" t="s">
        <v>31</v>
      </c>
      <c r="B28" t="s">
        <v>213</v>
      </c>
      <c r="C28" t="s">
        <v>131</v>
      </c>
      <c r="D28" t="s">
        <v>214</v>
      </c>
      <c r="E28" t="s">
        <v>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e">
        <v>#NUM!</v>
      </c>
    </row>
    <row r="29">
      <c r="A29" t="s">
        <v>31</v>
      </c>
      <c r="B29" t="s">
        <v>215</v>
      </c>
      <c r="C29" t="s">
        <v>131</v>
      </c>
      <c r="D29" t="s">
        <v>216</v>
      </c>
      <c r="E29" t="s">
        <v>132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 t="n">
        <v>100</v>
      </c>
      <c r="AF29"/>
    </row>
    <row r="30">
      <c r="A30" t="s">
        <v>31</v>
      </c>
      <c r="B30" t="s">
        <v>217</v>
      </c>
      <c r="C30" t="s">
        <v>131</v>
      </c>
      <c r="D30" t="s">
        <v>218</v>
      </c>
      <c r="E30" t="s">
        <v>132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 t="n">
        <v>100</v>
      </c>
      <c r="AF30"/>
    </row>
    <row r="31">
      <c r="A31" t="s">
        <v>31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31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31</v>
      </c>
      <c r="B33" t="s">
        <v>223</v>
      </c>
      <c r="C33" t="s">
        <v>131</v>
      </c>
      <c r="D33" t="s">
        <v>224</v>
      </c>
      <c r="E33" t="s">
        <v>132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 t="n">
        <v>100</v>
      </c>
      <c r="AF33"/>
    </row>
    <row r="34">
      <c r="A34" t="s">
        <v>31</v>
      </c>
      <c r="B34" t="s">
        <v>225</v>
      </c>
      <c r="C34" t="s">
        <v>131</v>
      </c>
      <c r="D34" t="s">
        <v>226</v>
      </c>
      <c r="E34" t="s">
        <v>132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100</v>
      </c>
      <c r="AF34"/>
    </row>
    <row r="35">
      <c r="A35" t="s">
        <v>31</v>
      </c>
      <c r="B35" t="s">
        <v>227</v>
      </c>
      <c r="C35" t="s">
        <v>131</v>
      </c>
      <c r="D35" t="s">
        <v>228</v>
      </c>
      <c r="E35" t="s">
        <v>132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e">
        <v>#NUM!</v>
      </c>
    </row>
    <row r="36">
      <c r="A36" t="s">
        <v>31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31</v>
      </c>
      <c r="B37" t="s">
        <v>231</v>
      </c>
      <c r="C37" t="s">
        <v>131</v>
      </c>
      <c r="D37" t="s">
        <v>232</v>
      </c>
      <c r="E37" t="s">
        <v>132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100</v>
      </c>
      <c r="AF37"/>
    </row>
    <row r="38">
      <c r="A38" t="s">
        <v>31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31</v>
      </c>
      <c r="B39" t="s">
        <v>235</v>
      </c>
      <c r="C39" t="s">
        <v>131</v>
      </c>
      <c r="D39" t="s">
        <v>236</v>
      </c>
      <c r="E39" t="s">
        <v>132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 t="n">
        <v>100</v>
      </c>
      <c r="AF39"/>
    </row>
    <row r="40">
      <c r="A40" t="s">
        <v>31</v>
      </c>
      <c r="B40" t="s">
        <v>237</v>
      </c>
      <c r="C40" t="s">
        <v>131</v>
      </c>
      <c r="D40" t="s">
        <v>238</v>
      </c>
      <c r="E40" t="s">
        <v>132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 t="n">
        <v>100</v>
      </c>
      <c r="AF40"/>
    </row>
    <row r="41">
      <c r="A41" t="s">
        <v>31</v>
      </c>
      <c r="B41" t="s">
        <v>239</v>
      </c>
      <c r="C41" t="s">
        <v>131</v>
      </c>
      <c r="D41" t="s">
        <v>240</v>
      </c>
      <c r="E41" t="s">
        <v>132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 t="n">
        <v>100</v>
      </c>
      <c r="AF41"/>
    </row>
    <row r="42">
      <c r="A42" t="s">
        <v>31</v>
      </c>
      <c r="B42" t="s">
        <v>241</v>
      </c>
      <c r="C42" t="s">
        <v>131</v>
      </c>
      <c r="D42" t="s">
        <v>242</v>
      </c>
      <c r="E42" t="s">
        <v>132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 t="n">
        <v>100</v>
      </c>
      <c r="AF42"/>
    </row>
    <row r="43">
      <c r="A43" t="s">
        <v>31</v>
      </c>
      <c r="B43" t="s">
        <v>243</v>
      </c>
      <c r="C43" t="s">
        <v>131</v>
      </c>
      <c r="D43" t="s">
        <v>244</v>
      </c>
      <c r="E43" t="s">
        <v>132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e">
        <v>#NUM!</v>
      </c>
    </row>
    <row r="44">
      <c r="A44" t="s">
        <v>31</v>
      </c>
      <c r="B44" t="s">
        <v>245</v>
      </c>
      <c r="C44" t="s">
        <v>131</v>
      </c>
      <c r="D44" t="s">
        <v>246</v>
      </c>
      <c r="E44" t="s">
        <v>132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e">
        <v>#NUM!</v>
      </c>
    </row>
    <row r="45">
      <c r="A45" t="s">
        <v>31</v>
      </c>
      <c r="B45" t="s">
        <v>247</v>
      </c>
      <c r="C45" t="s">
        <v>131</v>
      </c>
      <c r="D45" t="s">
        <v>248</v>
      </c>
      <c r="E45" t="s">
        <v>132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e">
        <v>#NUM!</v>
      </c>
    </row>
    <row r="46">
      <c r="A46" t="s">
        <v>31</v>
      </c>
      <c r="B46" t="s">
        <v>249</v>
      </c>
      <c r="C46" t="s">
        <v>131</v>
      </c>
      <c r="D46" t="s">
        <v>250</v>
      </c>
      <c r="E46" t="s">
        <v>132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t="n">
        <v>100</v>
      </c>
      <c r="AF46"/>
    </row>
    <row r="47">
      <c r="A47" t="s">
        <v>31</v>
      </c>
      <c r="B47" t="s">
        <v>251</v>
      </c>
      <c r="C47" t="s">
        <v>131</v>
      </c>
      <c r="D47" t="s">
        <v>252</v>
      </c>
      <c r="E47" t="s">
        <v>132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100</v>
      </c>
      <c r="AF47"/>
    </row>
    <row r="48">
      <c r="A48" t="s">
        <v>31</v>
      </c>
      <c r="B48" t="s">
        <v>253</v>
      </c>
      <c r="C48" t="s">
        <v>131</v>
      </c>
      <c r="D48" t="s">
        <v>254</v>
      </c>
      <c r="E48" t="s">
        <v>132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e">
        <v>#NUM!</v>
      </c>
    </row>
    <row r="49">
      <c r="A49" t="s">
        <v>31</v>
      </c>
      <c r="B49" t="s">
        <v>255</v>
      </c>
      <c r="C49" t="s">
        <v>131</v>
      </c>
      <c r="D49" t="s">
        <v>256</v>
      </c>
      <c r="E49" t="s">
        <v>132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 t="n">
        <v>100</v>
      </c>
      <c r="AF49"/>
    </row>
    <row r="50">
      <c r="A50" t="s">
        <v>31</v>
      </c>
      <c r="B50" t="s">
        <v>257</v>
      </c>
      <c r="C50" t="s">
        <v>131</v>
      </c>
      <c r="D50" t="s">
        <v>258</v>
      </c>
      <c r="E50" t="s">
        <v>132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e">
        <v>#NUM!</v>
      </c>
    </row>
    <row r="51">
      <c r="A51" t="s">
        <v>31</v>
      </c>
      <c r="B51" t="s">
        <v>259</v>
      </c>
      <c r="C51" t="s">
        <v>131</v>
      </c>
      <c r="D51" t="s">
        <v>260</v>
      </c>
      <c r="E51" t="s">
        <v>132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 t="n">
        <v>100</v>
      </c>
      <c r="AF51"/>
    </row>
    <row r="52">
      <c r="A52" t="s">
        <v>31</v>
      </c>
      <c r="B52" t="s">
        <v>261</v>
      </c>
      <c r="C52" t="s">
        <v>131</v>
      </c>
      <c r="D52" t="s">
        <v>262</v>
      </c>
      <c r="E52" t="s">
        <v>132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100</v>
      </c>
      <c r="AF52"/>
    </row>
    <row r="53">
      <c r="A53" t="s">
        <v>31</v>
      </c>
      <c r="B53" t="s">
        <v>263</v>
      </c>
      <c r="C53" t="s">
        <v>131</v>
      </c>
      <c r="D53" t="s">
        <v>264</v>
      </c>
      <c r="E53" t="s">
        <v>132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t="n">
        <v>100</v>
      </c>
      <c r="AF53"/>
    </row>
    <row r="54">
      <c r="A54" t="s">
        <v>31</v>
      </c>
      <c r="B54" t="s">
        <v>265</v>
      </c>
      <c r="C54" t="s">
        <v>131</v>
      </c>
      <c r="D54" t="s">
        <v>266</v>
      </c>
      <c r="E54" t="s">
        <v>132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e">
        <v>#NUM!</v>
      </c>
    </row>
    <row r="55">
      <c r="A55" t="s">
        <v>31</v>
      </c>
      <c r="B55" t="s">
        <v>267</v>
      </c>
      <c r="C55" t="s">
        <v>131</v>
      </c>
      <c r="D55" t="s">
        <v>268</v>
      </c>
      <c r="E55" t="s">
        <v>132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t="n">
        <v>100</v>
      </c>
      <c r="AF55"/>
    </row>
    <row r="56">
      <c r="A56" t="s">
        <v>31</v>
      </c>
      <c r="B56" t="s">
        <v>269</v>
      </c>
      <c r="C56" t="s">
        <v>131</v>
      </c>
      <c r="D56" t="s">
        <v>270</v>
      </c>
      <c r="E56" t="s">
        <v>132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e">
        <v>#NUM!</v>
      </c>
      <c r="AF56"/>
    </row>
    <row r="57">
      <c r="A57" t="s">
        <v>31</v>
      </c>
      <c r="B57" t="s">
        <v>271</v>
      </c>
      <c r="C57" t="s">
        <v>131</v>
      </c>
      <c r="D57" t="s">
        <v>272</v>
      </c>
      <c r="E57" t="s">
        <v>132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e">
        <v>#NUM!</v>
      </c>
    </row>
    <row r="58">
      <c r="A58" t="s">
        <v>31</v>
      </c>
      <c r="B58" t="s">
        <v>273</v>
      </c>
      <c r="C58" t="s">
        <v>131</v>
      </c>
      <c r="D58" t="s">
        <v>274</v>
      </c>
      <c r="E58" t="s">
        <v>132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e">
        <v>#NUM!</v>
      </c>
    </row>
    <row r="59">
      <c r="A59" t="s">
        <v>31</v>
      </c>
      <c r="B59" t="s">
        <v>275</v>
      </c>
      <c r="C59" t="s">
        <v>131</v>
      </c>
      <c r="D59" t="s">
        <v>276</v>
      </c>
      <c r="E59" t="s">
        <v>132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e">
        <v>#NUM!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34</v>
      </c>
      <c r="B2" t="s">
        <v>84</v>
      </c>
      <c r="C2" t="s">
        <v>131</v>
      </c>
      <c r="D2" t="s">
        <v>86</v>
      </c>
      <c r="E2" t="s">
        <v>132</v>
      </c>
      <c r="F2" t="n">
        <v>2688.16325574038</v>
      </c>
      <c r="G2" t="n">
        <v>2690.71452993911</v>
      </c>
      <c r="H2" t="n">
        <v>2809.3692224327</v>
      </c>
      <c r="I2" t="n">
        <v>2821.18156674566</v>
      </c>
      <c r="J2" t="n">
        <v>2453.00389867826</v>
      </c>
      <c r="K2" t="n">
        <v>2470.98930517519</v>
      </c>
      <c r="L2" t="n">
        <v>2158.94473456911</v>
      </c>
      <c r="M2" t="n">
        <v>2154.42161985593</v>
      </c>
      <c r="N2" t="n">
        <v>2262.59914610717</v>
      </c>
      <c r="O2" t="n">
        <v>2712.28350645207</v>
      </c>
      <c r="P2" t="n">
        <v>2095.32915353914</v>
      </c>
      <c r="Q2" t="n">
        <v>1794.27885077238</v>
      </c>
      <c r="R2" t="n">
        <v>1947.33081567624</v>
      </c>
      <c r="S2" t="n">
        <v>2053.79512993375</v>
      </c>
      <c r="T2" t="n">
        <v>1730.24499263011</v>
      </c>
      <c r="U2" t="n">
        <v>2051.85322873116</v>
      </c>
      <c r="V2" t="n">
        <v>2404.82848065745</v>
      </c>
      <c r="W2" t="n">
        <v>1965.55354963314</v>
      </c>
      <c r="X2" t="n">
        <v>2005.60931944484</v>
      </c>
      <c r="Y2" t="n">
        <v>2540.65026047093</v>
      </c>
      <c r="Z2" t="n">
        <v>2684.335014544</v>
      </c>
      <c r="AA2" t="n">
        <v>2950.12424229786</v>
      </c>
      <c r="AB2" t="n">
        <v>3234.05205097928</v>
      </c>
      <c r="AC2" t="n">
        <v>2782.25317188734</v>
      </c>
      <c r="AD2" t="n">
        <v>3574.85319636826</v>
      </c>
      <c r="AE2" t="n">
        <v>3591.1</v>
      </c>
      <c r="AF2" t="n">
        <v>3702.3</v>
      </c>
    </row>
    <row r="3">
      <c r="A3" t="s">
        <v>34</v>
      </c>
      <c r="B3" t="s">
        <v>163</v>
      </c>
      <c r="C3" t="s">
        <v>131</v>
      </c>
      <c r="D3" t="s">
        <v>164</v>
      </c>
      <c r="E3" t="s">
        <v>132</v>
      </c>
      <c r="F3" t="n">
        <v>339.579321721208</v>
      </c>
      <c r="G3" t="n">
        <v>334.074380396421</v>
      </c>
      <c r="H3" t="n">
        <v>289.18112658433</v>
      </c>
      <c r="I3" t="n">
        <v>268.155511922194</v>
      </c>
      <c r="J3" t="n">
        <v>316.892521313376</v>
      </c>
      <c r="K3" t="n">
        <v>386.040094553807</v>
      </c>
      <c r="L3" t="n">
        <v>394.185080881347</v>
      </c>
      <c r="M3" t="n">
        <v>384.145861765901</v>
      </c>
      <c r="N3" t="n">
        <v>471.34120568274</v>
      </c>
      <c r="O3" t="n">
        <v>472.025300320886</v>
      </c>
      <c r="P3" t="n">
        <v>479.58184569883</v>
      </c>
      <c r="Q3" t="n">
        <v>487.752746407885</v>
      </c>
      <c r="R3" t="n">
        <v>472.376453523056</v>
      </c>
      <c r="S3" t="n">
        <v>441.335577573598</v>
      </c>
      <c r="T3" t="n">
        <v>385.576736264212</v>
      </c>
      <c r="U3" t="n">
        <v>358.777785800458</v>
      </c>
      <c r="V3" t="n">
        <v>305.875035143127</v>
      </c>
      <c r="W3" t="n">
        <v>273.863877513166</v>
      </c>
      <c r="X3" t="n">
        <v>394.706159054553</v>
      </c>
      <c r="Y3" t="n">
        <v>360.155586664251</v>
      </c>
      <c r="Z3" t="n">
        <v>297.619768469248</v>
      </c>
      <c r="AA3" t="n">
        <v>260.10651509708</v>
      </c>
      <c r="AB3" t="n">
        <v>243.965237272129</v>
      </c>
      <c r="AC3" t="n">
        <v>178.918521571926</v>
      </c>
      <c r="AD3" t="n">
        <v>215.917104736491</v>
      </c>
      <c r="AE3" t="n">
        <v>320.9</v>
      </c>
      <c r="AF3" t="n">
        <v>438.7</v>
      </c>
    </row>
    <row r="4">
      <c r="A4" t="s">
        <v>34</v>
      </c>
      <c r="B4" t="s">
        <v>165</v>
      </c>
      <c r="C4" t="s">
        <v>131</v>
      </c>
      <c r="D4" t="s">
        <v>166</v>
      </c>
      <c r="E4" t="s">
        <v>132</v>
      </c>
      <c r="F4" t="n">
        <v>20832.7701228814</v>
      </c>
      <c r="G4" t="n">
        <v>22125.0712850768</v>
      </c>
      <c r="H4" t="n">
        <v>26139.6147997971</v>
      </c>
      <c r="I4" t="n">
        <v>29924.5653388691</v>
      </c>
      <c r="J4" t="n">
        <v>33831.6387988002</v>
      </c>
      <c r="K4" t="n">
        <v>38699.6141950938</v>
      </c>
      <c r="L4" t="n">
        <v>40725.2219116825</v>
      </c>
      <c r="M4" t="n">
        <v>45475.7976330995</v>
      </c>
      <c r="N4" t="n">
        <v>45108.8435738763</v>
      </c>
      <c r="O4" t="n">
        <v>44828.8094351118</v>
      </c>
      <c r="P4" t="n">
        <v>47393.3188948239</v>
      </c>
      <c r="Q4" t="n">
        <v>48399.6595599496</v>
      </c>
      <c r="R4" t="n">
        <v>51248.5718130081</v>
      </c>
      <c r="S4" t="n">
        <v>46339.8572355625</v>
      </c>
      <c r="T4" t="n">
        <v>43989.2633235889</v>
      </c>
      <c r="U4" t="n">
        <v>45943.1651213129</v>
      </c>
      <c r="V4" t="n">
        <v>47652.2316019791</v>
      </c>
      <c r="W4" t="n">
        <v>46657.5891880494</v>
      </c>
      <c r="X4" t="n">
        <v>43978.6600472313</v>
      </c>
      <c r="Y4" t="n">
        <v>49605.7061500477</v>
      </c>
      <c r="Z4" t="n">
        <v>90985.3334468887</v>
      </c>
      <c r="AA4" t="n">
        <v>89832.0601480517</v>
      </c>
      <c r="AB4" t="n">
        <v>93018.5063895784</v>
      </c>
      <c r="AC4" t="n">
        <v>103289.060421991</v>
      </c>
      <c r="AD4" t="n">
        <v>105183.678223399</v>
      </c>
      <c r="AE4" t="n">
        <v>129247.8</v>
      </c>
      <c r="AF4" t="n">
        <v>160499</v>
      </c>
    </row>
    <row r="5">
      <c r="A5" t="s">
        <v>34</v>
      </c>
      <c r="B5" t="s">
        <v>167</v>
      </c>
      <c r="C5" t="s">
        <v>131</v>
      </c>
      <c r="D5" t="s">
        <v>168</v>
      </c>
      <c r="E5" t="s">
        <v>132</v>
      </c>
      <c r="F5" t="n">
        <v>4511.72905725803</v>
      </c>
      <c r="G5" t="n">
        <v>4527.99443610934</v>
      </c>
      <c r="H5" t="n">
        <v>4577.74098554767</v>
      </c>
      <c r="I5" t="n">
        <v>4695.20248509311</v>
      </c>
      <c r="J5" t="n">
        <v>4818.43701795265</v>
      </c>
      <c r="K5" t="n">
        <v>4959.59066524041</v>
      </c>
      <c r="L5" t="n">
        <v>5215.3972181654</v>
      </c>
      <c r="M5" t="n">
        <v>5392.3051449361</v>
      </c>
      <c r="N5" t="n">
        <v>5622.80787515843</v>
      </c>
      <c r="O5" t="n">
        <v>6044.74173635911</v>
      </c>
      <c r="P5" t="n">
        <v>6092.00450650132</v>
      </c>
      <c r="Q5" t="n">
        <v>6187.3332234619</v>
      </c>
      <c r="R5" t="n">
        <v>6311.30400448968</v>
      </c>
      <c r="S5" t="n">
        <v>6106.68995302651</v>
      </c>
      <c r="T5" t="n">
        <v>5791.46426783935</v>
      </c>
      <c r="U5" t="n">
        <v>5995.21795183147</v>
      </c>
      <c r="V5" t="n">
        <v>7144.06078194809</v>
      </c>
      <c r="W5" t="n">
        <v>7077.8812266924</v>
      </c>
      <c r="X5" t="n">
        <v>7612.60353889052</v>
      </c>
      <c r="Y5" t="n">
        <v>8207.57475258531</v>
      </c>
      <c r="Z5" t="n">
        <v>8561.17374494039</v>
      </c>
      <c r="AA5" t="n">
        <v>8304.57416563914</v>
      </c>
      <c r="AB5" t="n">
        <v>7977.95762398694</v>
      </c>
      <c r="AC5" t="n">
        <v>8037.49186592265</v>
      </c>
      <c r="AD5" t="n">
        <v>8594.58443392178</v>
      </c>
      <c r="AE5" t="n">
        <v>7762.7</v>
      </c>
      <c r="AF5" t="n">
        <v>9235.6</v>
      </c>
    </row>
    <row r="6">
      <c r="A6" t="s">
        <v>34</v>
      </c>
      <c r="B6" t="s">
        <v>169</v>
      </c>
      <c r="C6" t="s">
        <v>131</v>
      </c>
      <c r="D6" t="s">
        <v>170</v>
      </c>
      <c r="E6" t="s">
        <v>132</v>
      </c>
      <c r="F6" t="n">
        <v>661.977184263271</v>
      </c>
      <c r="G6" t="n">
        <v>669.303542672481</v>
      </c>
      <c r="H6" t="n">
        <v>668.950906454002</v>
      </c>
      <c r="I6" t="n">
        <v>683.331220525864</v>
      </c>
      <c r="J6" t="n">
        <v>601.853765441506</v>
      </c>
      <c r="K6" t="n">
        <v>487.850748438081</v>
      </c>
      <c r="L6" t="n">
        <v>531.25939310864</v>
      </c>
      <c r="M6" t="n">
        <v>378.763026803201</v>
      </c>
      <c r="N6" t="n">
        <v>350.728228597576</v>
      </c>
      <c r="O6" t="n">
        <v>355.12534924644</v>
      </c>
      <c r="P6" t="n">
        <v>317.408221652577</v>
      </c>
      <c r="Q6" t="n">
        <v>248.680963253435</v>
      </c>
      <c r="R6" t="n">
        <v>208.813716866078</v>
      </c>
      <c r="S6" t="n">
        <v>194.569183589009</v>
      </c>
      <c r="T6" t="n">
        <v>163.430830389458</v>
      </c>
      <c r="U6" t="n">
        <v>152.997209779831</v>
      </c>
      <c r="V6" t="n">
        <v>137.727626137983</v>
      </c>
      <c r="W6" t="n">
        <v>122.887601476621</v>
      </c>
      <c r="X6" t="n">
        <v>125.412689178195</v>
      </c>
      <c r="Y6" t="n">
        <v>128.983157197503</v>
      </c>
      <c r="Z6" t="n">
        <v>128.898188055739</v>
      </c>
      <c r="AA6" t="n">
        <v>134.481941168587</v>
      </c>
      <c r="AB6" t="n">
        <v>139.716015463912</v>
      </c>
      <c r="AC6" t="n">
        <v>152.499310693213</v>
      </c>
      <c r="AD6" t="n">
        <v>161.019907100199</v>
      </c>
      <c r="AE6" t="n">
        <v>151</v>
      </c>
      <c r="AF6" t="n">
        <v>178.2</v>
      </c>
    </row>
    <row r="7">
      <c r="A7" t="s">
        <v>34</v>
      </c>
      <c r="B7" t="s">
        <v>171</v>
      </c>
      <c r="C7" t="s">
        <v>131</v>
      </c>
      <c r="D7" t="s">
        <v>172</v>
      </c>
      <c r="E7" t="s">
        <v>132</v>
      </c>
      <c r="F7" t="n">
        <v>986.412825406382</v>
      </c>
      <c r="G7" t="n">
        <v>1039.46332486974</v>
      </c>
      <c r="H7" t="n">
        <v>1215.04941286232</v>
      </c>
      <c r="I7" t="n">
        <v>1301.75982898718</v>
      </c>
      <c r="J7" t="n">
        <v>1300.09575483042</v>
      </c>
      <c r="K7" t="n">
        <v>1215.71650924282</v>
      </c>
      <c r="L7" t="n">
        <v>1165.14944473358</v>
      </c>
      <c r="M7" t="n">
        <v>1206.1509532819</v>
      </c>
      <c r="N7" t="n">
        <v>1183.43821471947</v>
      </c>
      <c r="O7" t="n">
        <v>1246.34465372125</v>
      </c>
      <c r="P7" t="n">
        <v>1330.62920273474</v>
      </c>
      <c r="Q7" t="n">
        <v>1347.96074559029</v>
      </c>
      <c r="R7" t="n">
        <v>1340.00817481984</v>
      </c>
      <c r="S7" t="n">
        <v>1130.3434643107</v>
      </c>
      <c r="T7" t="n">
        <v>852.045431993918</v>
      </c>
      <c r="U7" t="n">
        <v>818.325487291456</v>
      </c>
      <c r="V7" t="n">
        <v>799.795269477534</v>
      </c>
      <c r="W7" t="n">
        <v>770.223213640762</v>
      </c>
      <c r="X7" t="n">
        <v>773.125906400673</v>
      </c>
      <c r="Y7" t="n">
        <v>814.386344100096</v>
      </c>
      <c r="Z7" t="n">
        <v>768.200683507372</v>
      </c>
      <c r="AA7" t="n">
        <v>735.867403934147</v>
      </c>
      <c r="AB7" t="n">
        <v>766.002000396444</v>
      </c>
      <c r="AC7" t="n">
        <v>822.201142134072</v>
      </c>
      <c r="AD7" t="n">
        <v>878.52288313506</v>
      </c>
      <c r="AE7" t="n">
        <v>847.2</v>
      </c>
      <c r="AF7" t="n">
        <v>909.4</v>
      </c>
    </row>
    <row r="8">
      <c r="A8" t="s">
        <v>34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177</v>
      </c>
      <c r="C10" t="s">
        <v>131</v>
      </c>
      <c r="D10" t="s">
        <v>178</v>
      </c>
      <c r="E10" t="s">
        <v>132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181</v>
      </c>
      <c r="C12" t="s">
        <v>131</v>
      </c>
      <c r="D12" t="s">
        <v>182</v>
      </c>
      <c r="E12" t="s">
        <v>132</v>
      </c>
      <c r="F12" t="n">
        <v>1885.04070407784</v>
      </c>
      <c r="G12" t="n">
        <v>1924.69595555356</v>
      </c>
      <c r="H12" t="n">
        <v>2036.62928694555</v>
      </c>
      <c r="I12" t="n">
        <v>2057.99634294819</v>
      </c>
      <c r="J12" t="n">
        <v>2095.44540791499</v>
      </c>
      <c r="K12" t="n">
        <v>2232.80252443853</v>
      </c>
      <c r="L12" t="n">
        <v>2243.06634915524</v>
      </c>
      <c r="M12" t="n">
        <v>2115.51509492784</v>
      </c>
      <c r="N12" t="n">
        <v>2236.92198703274</v>
      </c>
      <c r="O12" t="n">
        <v>2242.20771951628</v>
      </c>
      <c r="P12" t="n">
        <v>2270.67466556014</v>
      </c>
      <c r="Q12" t="n">
        <v>2300.24285153693</v>
      </c>
      <c r="R12" t="n">
        <v>2382.31245798512</v>
      </c>
      <c r="S12" t="n">
        <v>2045.64942044431</v>
      </c>
      <c r="T12" t="n">
        <v>1391.81980293421</v>
      </c>
      <c r="U12" t="n">
        <v>1299.45713864948</v>
      </c>
      <c r="V12" t="n">
        <v>1289.64859305515</v>
      </c>
      <c r="W12" t="n">
        <v>1171.20018150416</v>
      </c>
      <c r="X12" t="n">
        <v>1190.71518068329</v>
      </c>
      <c r="Y12" t="n">
        <v>1195.11039468212</v>
      </c>
      <c r="Z12" t="n">
        <v>1319.73087379391</v>
      </c>
      <c r="AA12" t="n">
        <v>1390.10449071815</v>
      </c>
      <c r="AB12" t="n">
        <v>1496.74400995587</v>
      </c>
      <c r="AC12" t="n">
        <v>1620.27874215184</v>
      </c>
      <c r="AD12" t="n">
        <v>1680.15930113052</v>
      </c>
      <c r="AE12" t="n">
        <v>1761</v>
      </c>
      <c r="AF12" t="n">
        <v>1827.5</v>
      </c>
    </row>
    <row r="13">
      <c r="A13" t="s">
        <v>34</v>
      </c>
      <c r="B13" t="s">
        <v>183</v>
      </c>
      <c r="C13" t="s">
        <v>131</v>
      </c>
      <c r="D13" t="s">
        <v>184</v>
      </c>
      <c r="E13" t="s">
        <v>132</v>
      </c>
      <c r="F13" t="n">
        <v>1117.0366019649</v>
      </c>
      <c r="G13" t="n">
        <v>1138.88459209904</v>
      </c>
      <c r="H13" t="n">
        <v>1173.28999540086</v>
      </c>
      <c r="I13" t="n">
        <v>1219.97588003461</v>
      </c>
      <c r="J13" t="n">
        <v>1260.62942344685</v>
      </c>
      <c r="K13" t="n">
        <v>1352.35746560687</v>
      </c>
      <c r="L13" t="n">
        <v>1237.98061811238</v>
      </c>
      <c r="M13" t="n">
        <v>1214.26506836697</v>
      </c>
      <c r="N13" t="n">
        <v>1211.39106820516</v>
      </c>
      <c r="O13" t="n">
        <v>1269.6705796368</v>
      </c>
      <c r="P13" t="n">
        <v>1262.82462743507</v>
      </c>
      <c r="Q13" t="n">
        <v>1282.87129153266</v>
      </c>
      <c r="R13" t="n">
        <v>1432.60207890361</v>
      </c>
      <c r="S13" t="n">
        <v>1382.97704235182</v>
      </c>
      <c r="T13" t="n">
        <v>881.299091050977</v>
      </c>
      <c r="U13" t="n">
        <v>917.061346525518</v>
      </c>
      <c r="V13" t="n">
        <v>1031.1000631919</v>
      </c>
      <c r="W13" t="n">
        <v>896.333228928772</v>
      </c>
      <c r="X13" t="n">
        <v>982.894634007308</v>
      </c>
      <c r="Y13" t="n">
        <v>1085.24621128901</v>
      </c>
      <c r="Z13" t="n">
        <v>1191.66441033372</v>
      </c>
      <c r="AA13" t="n">
        <v>1301.19639610155</v>
      </c>
      <c r="AB13" t="n">
        <v>1316.53620388624</v>
      </c>
      <c r="AC13" t="n">
        <v>1262.67350121069</v>
      </c>
      <c r="AD13" t="n">
        <v>1487.59321145021</v>
      </c>
      <c r="AE13" t="n">
        <v>1355.4</v>
      </c>
      <c r="AF13" t="n">
        <v>1186.7</v>
      </c>
    </row>
    <row r="14">
      <c r="A14" t="s">
        <v>34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187</v>
      </c>
      <c r="C15" t="s">
        <v>131</v>
      </c>
      <c r="D15" t="s">
        <v>188</v>
      </c>
      <c r="E15" t="s">
        <v>132</v>
      </c>
      <c r="F15" t="n">
        <v>3225.00077564771</v>
      </c>
      <c r="G15" t="n">
        <v>3333.76507022594</v>
      </c>
      <c r="H15" t="n">
        <v>3841.53512943684</v>
      </c>
      <c r="I15" t="n">
        <v>3931.72402739611</v>
      </c>
      <c r="J15" t="n">
        <v>4552.92340273719</v>
      </c>
      <c r="K15" t="n">
        <v>6412.95304046899</v>
      </c>
      <c r="L15" t="n">
        <v>5760.8447943003</v>
      </c>
      <c r="M15" t="n">
        <v>6053.47487855662</v>
      </c>
      <c r="N15" t="n">
        <v>4889.59569421225</v>
      </c>
      <c r="O15" t="n">
        <v>6205.39392714925</v>
      </c>
      <c r="P15" t="n">
        <v>6922.6321678869</v>
      </c>
      <c r="Q15" t="n">
        <v>7932.35212415495</v>
      </c>
      <c r="R15" t="n">
        <v>8482.51233693898</v>
      </c>
      <c r="S15" t="n">
        <v>8174.35340045126</v>
      </c>
      <c r="T15" t="n">
        <v>5330.41588210435</v>
      </c>
      <c r="U15" t="n">
        <v>3875.80272475413</v>
      </c>
      <c r="V15" t="n">
        <v>3135.16597853031</v>
      </c>
      <c r="W15" t="n">
        <v>3392.28087193376</v>
      </c>
      <c r="X15" t="n">
        <v>2852.14904826187</v>
      </c>
      <c r="Y15" t="n">
        <v>2810.66938653076</v>
      </c>
      <c r="Z15" t="n">
        <v>309.055320867205</v>
      </c>
      <c r="AA15" t="n">
        <v>349.704926920561</v>
      </c>
      <c r="AB15" t="n">
        <v>400.338793199993</v>
      </c>
      <c r="AC15" t="n">
        <v>401.638269931978</v>
      </c>
      <c r="AD15" t="n">
        <v>429.965856804988</v>
      </c>
      <c r="AE15" t="n">
        <v>466.8</v>
      </c>
      <c r="AF15" t="n">
        <v>440</v>
      </c>
    </row>
    <row r="16">
      <c r="A16" t="s">
        <v>34</v>
      </c>
      <c r="B16" t="s">
        <v>189</v>
      </c>
      <c r="C16" t="s">
        <v>131</v>
      </c>
      <c r="D16" t="s">
        <v>190</v>
      </c>
      <c r="E16" t="s">
        <v>132</v>
      </c>
      <c r="F16" t="n">
        <v>109.059564726303</v>
      </c>
      <c r="G16" t="n">
        <v>121.999568636289</v>
      </c>
      <c r="H16" t="n">
        <v>154.532786939299</v>
      </c>
      <c r="I16" t="n">
        <v>204.682568332482</v>
      </c>
      <c r="J16" t="n">
        <v>217.031373007569</v>
      </c>
      <c r="K16" t="n">
        <v>307.902597452608</v>
      </c>
      <c r="L16" t="n">
        <v>368.961616425214</v>
      </c>
      <c r="M16" t="n">
        <v>399.301796819624</v>
      </c>
      <c r="N16" t="n">
        <v>399.301796819624</v>
      </c>
      <c r="O16" t="n">
        <v>443.756867638509</v>
      </c>
      <c r="P16" t="n">
        <v>488.132554402359</v>
      </c>
      <c r="Q16" t="n">
        <v>571.538957255424</v>
      </c>
      <c r="R16" t="n">
        <v>539.807291455574</v>
      </c>
      <c r="S16" t="n">
        <v>528.329430232614</v>
      </c>
      <c r="T16" t="n">
        <v>325.350461735286</v>
      </c>
      <c r="U16" t="n">
        <v>279.22266407541</v>
      </c>
      <c r="V16" t="n">
        <v>326.055718224783</v>
      </c>
      <c r="W16" t="n">
        <v>328.240346152587</v>
      </c>
      <c r="X16" t="n">
        <v>333.135802471045</v>
      </c>
      <c r="Y16" t="n">
        <v>311.945376468534</v>
      </c>
      <c r="Z16" t="n">
        <v>309.055320867205</v>
      </c>
      <c r="AA16" t="n">
        <v>349.704926920561</v>
      </c>
      <c r="AB16" t="n">
        <v>400.338793199993</v>
      </c>
      <c r="AC16" t="n">
        <v>401.638269931978</v>
      </c>
      <c r="AD16" t="n">
        <v>429.965856804988</v>
      </c>
      <c r="AE16" t="n">
        <v>466.8</v>
      </c>
      <c r="AF16" t="n">
        <v>440</v>
      </c>
    </row>
    <row r="17">
      <c r="A17" t="s">
        <v>34</v>
      </c>
      <c r="B17" t="s">
        <v>191</v>
      </c>
      <c r="C17" t="s">
        <v>131</v>
      </c>
      <c r="D17" t="s">
        <v>192</v>
      </c>
      <c r="E17" t="s">
        <v>132</v>
      </c>
      <c r="F17" t="n">
        <v>1042.21732754189</v>
      </c>
      <c r="G17" t="n">
        <v>1041.06506957888</v>
      </c>
      <c r="H17" t="n">
        <v>1035.18032355351</v>
      </c>
      <c r="I17" t="n">
        <v>1121.69182202191</v>
      </c>
      <c r="J17" t="n">
        <v>1045.64957172821</v>
      </c>
      <c r="K17" t="n">
        <v>1081.47240234999</v>
      </c>
      <c r="L17" t="n">
        <v>1024.05794073799</v>
      </c>
      <c r="M17" t="n">
        <v>1003.78785880943</v>
      </c>
      <c r="N17" t="n">
        <v>1069.68136451528</v>
      </c>
      <c r="O17" t="n">
        <v>910.42778591038</v>
      </c>
      <c r="P17" t="n">
        <v>884.106929131889</v>
      </c>
      <c r="Q17" t="n">
        <v>1003.79073773437</v>
      </c>
      <c r="R17" t="n">
        <v>1029.81608614309</v>
      </c>
      <c r="S17" t="n">
        <v>943.473663781657</v>
      </c>
      <c r="T17" t="n">
        <v>723.397151773202</v>
      </c>
      <c r="U17" t="n">
        <v>843.12407777577</v>
      </c>
      <c r="V17" t="n">
        <v>930.408676635198</v>
      </c>
      <c r="W17" t="n">
        <v>985.031938771393</v>
      </c>
      <c r="X17" t="n">
        <v>995.239523629128</v>
      </c>
      <c r="Y17" t="n">
        <v>1125.75426958942</v>
      </c>
      <c r="Z17" t="n">
        <v>1450.71989167492</v>
      </c>
      <c r="AA17" t="n">
        <v>1425.51190050767</v>
      </c>
      <c r="AB17" t="n">
        <v>1408.66349280322</v>
      </c>
      <c r="AC17" t="n">
        <v>1441.09609294343</v>
      </c>
      <c r="AD17" t="n">
        <v>1414.75457025921</v>
      </c>
      <c r="AE17" t="n">
        <v>1841.4</v>
      </c>
      <c r="AF17" t="n">
        <v>1501</v>
      </c>
    </row>
    <row r="18">
      <c r="A18" t="s">
        <v>34</v>
      </c>
      <c r="B18" t="s">
        <v>193</v>
      </c>
      <c r="C18" t="s">
        <v>131</v>
      </c>
      <c r="D18" t="s">
        <v>194</v>
      </c>
      <c r="E18" t="s">
        <v>132</v>
      </c>
      <c r="F18" t="n">
        <v>265.727584903177</v>
      </c>
      <c r="G18" t="n">
        <v>309.916878903408</v>
      </c>
      <c r="H18" t="n">
        <v>354.843892779079</v>
      </c>
      <c r="I18" t="n">
        <v>400.601540298635</v>
      </c>
      <c r="J18" t="n">
        <v>423.195897540187</v>
      </c>
      <c r="K18" t="n">
        <v>524.337970714337</v>
      </c>
      <c r="L18" t="n">
        <v>547.721825325954</v>
      </c>
      <c r="M18" t="n">
        <v>480.492431603635</v>
      </c>
      <c r="N18" t="n">
        <v>470.019983997706</v>
      </c>
      <c r="O18" t="n">
        <v>489.556466810828</v>
      </c>
      <c r="P18" t="n">
        <v>490.987918468169</v>
      </c>
      <c r="Q18" t="n">
        <v>492.976147464524</v>
      </c>
      <c r="R18" t="n">
        <v>526.1483742098</v>
      </c>
      <c r="S18" t="n">
        <v>555.340225883263</v>
      </c>
      <c r="T18" t="n">
        <v>362.285370021303</v>
      </c>
      <c r="U18" t="n">
        <v>400.711841377257</v>
      </c>
      <c r="V18" t="n">
        <v>420.249416817257</v>
      </c>
      <c r="W18" t="n">
        <v>393.65374007972</v>
      </c>
      <c r="X18" t="n">
        <v>372.351368635334</v>
      </c>
      <c r="Y18" t="n">
        <v>325.51098945987</v>
      </c>
      <c r="Z18" t="n">
        <v>313.922844587678</v>
      </c>
      <c r="AA18" t="n">
        <v>368.449229410657</v>
      </c>
      <c r="AB18" t="n">
        <v>370.839058027815</v>
      </c>
      <c r="AC18" t="n">
        <v>355.684088294918</v>
      </c>
      <c r="AD18" t="n">
        <v>375.30320569902</v>
      </c>
      <c r="AE18" t="n">
        <v>328.5</v>
      </c>
      <c r="AF18" t="n">
        <v>335</v>
      </c>
    </row>
    <row r="19">
      <c r="A19" t="s">
        <v>34</v>
      </c>
      <c r="B19" t="s">
        <v>195</v>
      </c>
      <c r="C19" t="s">
        <v>131</v>
      </c>
      <c r="D19" t="s">
        <v>196</v>
      </c>
      <c r="E19" t="s">
        <v>132</v>
      </c>
      <c r="F19" t="n">
        <v>9297.37191775442</v>
      </c>
      <c r="G19" t="n">
        <v>10017.2272410173</v>
      </c>
      <c r="H19" t="n">
        <v>11653.8727265647</v>
      </c>
      <c r="I19" t="n">
        <v>12738.4623498118</v>
      </c>
      <c r="J19" t="n">
        <v>15188.1666478526</v>
      </c>
      <c r="K19" t="n">
        <v>20771.9068782605</v>
      </c>
      <c r="L19" t="n">
        <v>20018.294194759</v>
      </c>
      <c r="M19" t="n">
        <v>17434.6821966343</v>
      </c>
      <c r="N19" t="n">
        <v>13746.5298384893</v>
      </c>
      <c r="O19" t="n">
        <v>13862.8294770834</v>
      </c>
      <c r="P19" t="n">
        <v>20598.434386786</v>
      </c>
      <c r="Q19" t="n">
        <v>22022.4479467087</v>
      </c>
      <c r="R19" t="n">
        <v>22329.5443813383</v>
      </c>
      <c r="S19" t="n">
        <v>22371.3153088288</v>
      </c>
      <c r="T19" t="n">
        <v>14297.9585353374</v>
      </c>
      <c r="U19" t="n">
        <v>6965.99755242875</v>
      </c>
      <c r="V19" t="n">
        <v>7513.02067311028</v>
      </c>
      <c r="W19" t="n">
        <v>7661.74350068022</v>
      </c>
      <c r="X19" t="n">
        <v>7646.16598026908</v>
      </c>
      <c r="Y19" t="n">
        <v>10932.5538780465</v>
      </c>
      <c r="Z19" t="n">
        <v>12896.7062151535</v>
      </c>
      <c r="AA19" t="n">
        <v>16464.5166885905</v>
      </c>
      <c r="AB19" t="n">
        <v>12654.1854332659</v>
      </c>
      <c r="AC19" t="n">
        <v>11515.2753647272</v>
      </c>
      <c r="AD19" t="n">
        <v>12238.8387076016</v>
      </c>
      <c r="AE19" t="n">
        <v>9170.4</v>
      </c>
      <c r="AF19" t="n">
        <v>12594.1</v>
      </c>
    </row>
    <row r="20">
      <c r="A20" t="s">
        <v>34</v>
      </c>
      <c r="B20" t="s">
        <v>197</v>
      </c>
      <c r="C20" t="s">
        <v>131</v>
      </c>
      <c r="D20" t="s">
        <v>198</v>
      </c>
      <c r="E20" t="s">
        <v>132</v>
      </c>
      <c r="F20" t="n">
        <v>1179.85042995821</v>
      </c>
      <c r="G20" t="n">
        <v>1244.27425589638</v>
      </c>
      <c r="H20" t="n">
        <v>1299.80030133949</v>
      </c>
      <c r="I20" t="n">
        <v>1340.32340145975</v>
      </c>
      <c r="J20" t="n">
        <v>1432.14460350574</v>
      </c>
      <c r="K20" t="n">
        <v>1495.61915656971</v>
      </c>
      <c r="L20" t="n">
        <v>1614.91340268075</v>
      </c>
      <c r="M20" t="n">
        <v>1685.84543184183</v>
      </c>
      <c r="N20" t="n">
        <v>1748.33416799152</v>
      </c>
      <c r="O20" t="n">
        <v>1825.95020705209</v>
      </c>
      <c r="P20" t="n">
        <v>1874.36950617612</v>
      </c>
      <c r="Q20" t="n">
        <v>1891.28351671901</v>
      </c>
      <c r="R20" t="n">
        <v>1972.30152329662</v>
      </c>
      <c r="S20" t="n">
        <v>2051.73191646123</v>
      </c>
      <c r="T20" t="n">
        <v>1942.80988688027</v>
      </c>
      <c r="U20" t="n">
        <v>2006.90970311408</v>
      </c>
      <c r="V20" t="n">
        <v>1947.97208307746</v>
      </c>
      <c r="W20" t="n">
        <v>1902.49043770313</v>
      </c>
      <c r="X20" t="n">
        <v>1792.99590465495</v>
      </c>
      <c r="Y20" t="n">
        <v>2058.22029044105</v>
      </c>
      <c r="Z20" t="n">
        <v>2058.42208993354</v>
      </c>
      <c r="AA20" t="n">
        <v>2118.44239630919</v>
      </c>
      <c r="AB20" t="n">
        <v>2316.67278709895</v>
      </c>
      <c r="AC20" t="n">
        <v>2423.71268698624</v>
      </c>
      <c r="AD20" t="n">
        <v>2426.08833244674</v>
      </c>
      <c r="AE20" t="n">
        <v>3158.9</v>
      </c>
      <c r="AF20" t="n">
        <v>1490.6</v>
      </c>
    </row>
    <row r="21">
      <c r="A21" t="s">
        <v>34</v>
      </c>
      <c r="B21" t="s">
        <v>199</v>
      </c>
      <c r="C21" t="s">
        <v>131</v>
      </c>
      <c r="D21" t="s">
        <v>200</v>
      </c>
      <c r="E21" t="s">
        <v>132</v>
      </c>
      <c r="F21" t="n">
        <v>1827.0729413041</v>
      </c>
      <c r="G21" t="n">
        <v>1961.78799688412</v>
      </c>
      <c r="H21" t="n">
        <v>1932.18033010132</v>
      </c>
      <c r="I21" t="n">
        <v>2014.08598507957</v>
      </c>
      <c r="J21" t="n">
        <v>2136.25498214586</v>
      </c>
      <c r="K21" t="n">
        <v>2251.8169544396</v>
      </c>
      <c r="L21" t="n">
        <v>2442.4427173978</v>
      </c>
      <c r="M21" t="n">
        <v>2563.9584408283</v>
      </c>
      <c r="N21" t="n">
        <v>2703.93677707754</v>
      </c>
      <c r="O21" t="n">
        <v>2809.45296865298</v>
      </c>
      <c r="P21" t="n">
        <v>2904.46117730551</v>
      </c>
      <c r="Q21" t="n">
        <v>2994.29913515598</v>
      </c>
      <c r="R21" t="n">
        <v>3102.26785921235</v>
      </c>
      <c r="S21" t="n">
        <v>3167.42603618731</v>
      </c>
      <c r="T21" t="n">
        <v>2943.77565881089</v>
      </c>
      <c r="U21" t="n">
        <v>3013.01154938206</v>
      </c>
      <c r="V21" t="n">
        <v>2941.52145249532</v>
      </c>
      <c r="W21" t="n">
        <v>2874.75002160341</v>
      </c>
      <c r="X21" t="n">
        <v>2741.06948824766</v>
      </c>
      <c r="Y21" t="n">
        <v>3115.52458807434</v>
      </c>
      <c r="Z21" t="n">
        <v>3128.10440869865</v>
      </c>
      <c r="AA21" t="n">
        <v>3221.667644162</v>
      </c>
      <c r="AB21" t="n">
        <v>3460.32459768955</v>
      </c>
      <c r="AC21" t="n">
        <v>3695.34179056914</v>
      </c>
      <c r="AD21" t="n">
        <v>3895.89368254754</v>
      </c>
      <c r="AE21" t="n">
        <v>4547.2</v>
      </c>
      <c r="AF21" t="n">
        <v>2890.9</v>
      </c>
    </row>
    <row r="22">
      <c r="A22" t="s">
        <v>34</v>
      </c>
      <c r="B22" t="s">
        <v>201</v>
      </c>
      <c r="C22" t="s">
        <v>131</v>
      </c>
      <c r="D22" t="s">
        <v>202</v>
      </c>
      <c r="E22" t="s">
        <v>132</v>
      </c>
      <c r="F22" t="n">
        <v>681.465426672684</v>
      </c>
      <c r="G22" t="n">
        <v>763.771572504267</v>
      </c>
      <c r="H22" t="n">
        <v>663.003832475364</v>
      </c>
      <c r="I22" t="n">
        <v>708.783089369824</v>
      </c>
      <c r="J22" t="n">
        <v>739.893797491018</v>
      </c>
      <c r="K22" t="n">
        <v>791.242893846862</v>
      </c>
      <c r="L22" t="n">
        <v>865.405151524373</v>
      </c>
      <c r="M22" t="n">
        <v>917.96591062398</v>
      </c>
      <c r="N22" t="n">
        <v>996.713277843505</v>
      </c>
      <c r="O22" t="n">
        <v>1025.05349961431</v>
      </c>
      <c r="P22" t="n">
        <v>1074.12881023859</v>
      </c>
      <c r="Q22" t="n">
        <v>1148.13620580823</v>
      </c>
      <c r="R22" t="n">
        <v>1177.24192550903</v>
      </c>
      <c r="S22" t="n">
        <v>1162.40966606491</v>
      </c>
      <c r="T22" t="n">
        <v>1041.90438796441</v>
      </c>
      <c r="U22" t="n">
        <v>1044.73300766534</v>
      </c>
      <c r="V22" t="n">
        <v>1036.54544490934</v>
      </c>
      <c r="W22" t="n">
        <v>1015.59812663025</v>
      </c>
      <c r="X22" t="n">
        <v>1010.02656863085</v>
      </c>
      <c r="Y22" t="n">
        <v>1105.67953276908</v>
      </c>
      <c r="Z22" t="n">
        <v>1124.14042174422</v>
      </c>
      <c r="AA22" t="n">
        <v>1160.18964385959</v>
      </c>
      <c r="AB22" t="n">
        <v>1184.82189200013</v>
      </c>
      <c r="AC22" t="n">
        <v>1325.38731198088</v>
      </c>
      <c r="AD22" t="n">
        <v>1561.89065084227</v>
      </c>
      <c r="AE22" t="n">
        <v>1388.3</v>
      </c>
      <c r="AF22" t="n">
        <v>1400.3</v>
      </c>
    </row>
    <row r="23">
      <c r="A23" t="s">
        <v>34</v>
      </c>
      <c r="B23" t="s">
        <v>203</v>
      </c>
      <c r="C23" t="s">
        <v>131</v>
      </c>
      <c r="D23" t="s">
        <v>204</v>
      </c>
      <c r="E23" t="s">
        <v>132</v>
      </c>
      <c r="F23" t="n">
        <v>5584.62651781699</v>
      </c>
      <c r="G23" t="n">
        <v>6544.05434938776</v>
      </c>
      <c r="H23" t="n">
        <v>7482.32303325479</v>
      </c>
      <c r="I23" t="n">
        <v>8096.98149856802</v>
      </c>
      <c r="J23" t="n">
        <v>9032.1293139156</v>
      </c>
      <c r="K23" t="n">
        <v>9633.14957939047</v>
      </c>
      <c r="L23" t="n">
        <v>9940.44857982378</v>
      </c>
      <c r="M23" t="n">
        <v>10123.9706091887</v>
      </c>
      <c r="N23" t="n">
        <v>10756.850111396</v>
      </c>
      <c r="O23" t="n">
        <v>11834.906738823</v>
      </c>
      <c r="P23" t="n">
        <v>13074.5550461915</v>
      </c>
      <c r="Q23" t="n">
        <v>13685.0943831864</v>
      </c>
      <c r="R23" t="n">
        <v>13815.9952859821</v>
      </c>
      <c r="S23" t="n">
        <v>13021.8944618048</v>
      </c>
      <c r="T23" t="n">
        <v>9475.5578378848</v>
      </c>
      <c r="U23" t="n">
        <v>7001.07515205808</v>
      </c>
      <c r="V23" t="n">
        <v>7437.46544032196</v>
      </c>
      <c r="W23" t="n">
        <v>5896.72183879046</v>
      </c>
      <c r="X23" t="n">
        <v>6946.42141679599</v>
      </c>
      <c r="Y23" t="n">
        <v>7234.21630452773</v>
      </c>
      <c r="Z23" t="n">
        <v>7533.52883440334</v>
      </c>
      <c r="AA23" t="n">
        <v>7995.96959662664</v>
      </c>
      <c r="AB23" t="n">
        <v>8728.83118751404</v>
      </c>
      <c r="AC23" t="n">
        <v>9497.15774054922</v>
      </c>
      <c r="AD23" t="n">
        <v>9947.33705671836</v>
      </c>
      <c r="AE23" t="n">
        <v>8725.5</v>
      </c>
      <c r="AF23" t="n">
        <v>9442.1</v>
      </c>
    </row>
    <row r="24">
      <c r="A24" t="s">
        <v>34</v>
      </c>
      <c r="B24" t="s">
        <v>205</v>
      </c>
      <c r="C24" t="s">
        <v>131</v>
      </c>
      <c r="D24" t="s">
        <v>206</v>
      </c>
      <c r="E24" t="s">
        <v>132</v>
      </c>
      <c r="F24" t="n">
        <v>14959.3781732239</v>
      </c>
      <c r="G24" t="n">
        <v>15753.5703497645</v>
      </c>
      <c r="H24" t="n">
        <v>16945.8011010881</v>
      </c>
      <c r="I24" t="n">
        <v>18094.125008125</v>
      </c>
      <c r="J24" t="n">
        <v>19056.8574448736</v>
      </c>
      <c r="K24" t="n">
        <v>19604.5405113462</v>
      </c>
      <c r="L24" t="n">
        <v>18724.7099057506</v>
      </c>
      <c r="M24" t="n">
        <v>18966.281112768</v>
      </c>
      <c r="N24" t="n">
        <v>18918.2188788681</v>
      </c>
      <c r="O24" t="n">
        <v>19372.5095211638</v>
      </c>
      <c r="P24" t="n">
        <v>20432.5158691528</v>
      </c>
      <c r="Q24" t="n">
        <v>21866.015777856</v>
      </c>
      <c r="R24" t="n">
        <v>24687.175868711</v>
      </c>
      <c r="S24" t="n">
        <v>23454.0743712247</v>
      </c>
      <c r="T24" t="n">
        <v>20425.9646002514</v>
      </c>
      <c r="U24" t="n">
        <v>20639.1619770603</v>
      </c>
      <c r="V24" t="n">
        <v>20306.7714659812</v>
      </c>
      <c r="W24" t="n">
        <v>20027.5926772516</v>
      </c>
      <c r="X24" t="n">
        <v>20179.6915776044</v>
      </c>
      <c r="Y24" t="n">
        <v>21574.3800835584</v>
      </c>
      <c r="Z24" t="n">
        <v>23192.7941710093</v>
      </c>
      <c r="AA24" t="n">
        <v>24799.7196600235</v>
      </c>
      <c r="AB24" t="n">
        <v>25969.591305603</v>
      </c>
      <c r="AC24" t="n">
        <v>26899.3515104585</v>
      </c>
      <c r="AD24" t="n">
        <v>27534.016377579</v>
      </c>
      <c r="AE24" t="n">
        <v>26217.1</v>
      </c>
      <c r="AF24" t="n">
        <v>30775.2</v>
      </c>
    </row>
    <row r="25">
      <c r="A25" t="s">
        <v>34</v>
      </c>
      <c r="B25" t="s">
        <v>207</v>
      </c>
      <c r="C25" t="s">
        <v>131</v>
      </c>
      <c r="D25" t="s">
        <v>208</v>
      </c>
      <c r="E25" t="s">
        <v>132</v>
      </c>
      <c r="F25" t="n">
        <v>1681.08734756397</v>
      </c>
      <c r="G25" t="n">
        <v>1833.79501857195</v>
      </c>
      <c r="H25" t="n">
        <v>1988.93279923721</v>
      </c>
      <c r="I25" t="n">
        <v>2120.53389288457</v>
      </c>
      <c r="J25" t="n">
        <v>2289.44667649695</v>
      </c>
      <c r="K25" t="n">
        <v>2842.99263857681</v>
      </c>
      <c r="L25" t="n">
        <v>2065.47978854986</v>
      </c>
      <c r="M25" t="n">
        <v>1966.9770266518</v>
      </c>
      <c r="N25" t="n">
        <v>1872.32451893936</v>
      </c>
      <c r="O25" t="n">
        <v>1947.24216394221</v>
      </c>
      <c r="P25" t="n">
        <v>2131.27732884045</v>
      </c>
      <c r="Q25" t="n">
        <v>2261.58766673481</v>
      </c>
      <c r="R25" t="n">
        <v>2416.52987646083</v>
      </c>
      <c r="S25" t="n">
        <v>1986.59433394953</v>
      </c>
      <c r="T25" t="n">
        <v>1141.32233268808</v>
      </c>
      <c r="U25" t="n">
        <v>1335.18600380109</v>
      </c>
      <c r="V25" t="n">
        <v>1415.22281923688</v>
      </c>
      <c r="W25" t="n">
        <v>1329.28923400225</v>
      </c>
      <c r="X25" t="n">
        <v>1347.26103474362</v>
      </c>
      <c r="Y25" t="n">
        <v>1585.83736913666</v>
      </c>
      <c r="Z25" t="n">
        <v>1834.73971443682</v>
      </c>
      <c r="AA25" t="n">
        <v>2078.76913458359</v>
      </c>
      <c r="AB25" t="n">
        <v>2083.31814004496</v>
      </c>
      <c r="AC25" t="n">
        <v>2158.44814686893</v>
      </c>
      <c r="AD25" t="n">
        <v>2110.02466747279</v>
      </c>
      <c r="AE25" t="n">
        <v>1756.8</v>
      </c>
      <c r="AF25" t="n">
        <v>2155.3</v>
      </c>
    </row>
    <row r="26">
      <c r="A26" t="s">
        <v>34</v>
      </c>
      <c r="B26" t="s">
        <v>209</v>
      </c>
      <c r="C26" t="s">
        <v>131</v>
      </c>
      <c r="D26" t="s">
        <v>210</v>
      </c>
      <c r="E26" t="s">
        <v>132</v>
      </c>
      <c r="F26" t="n">
        <v>7818.40631973958</v>
      </c>
      <c r="G26" t="n">
        <v>8232.46146444274</v>
      </c>
      <c r="H26" t="n">
        <v>8795.72360200764</v>
      </c>
      <c r="I26" t="n">
        <v>9363.09757652957</v>
      </c>
      <c r="J26" t="n">
        <v>10168.5532811942</v>
      </c>
      <c r="K26" t="n">
        <v>11138.7590607556</v>
      </c>
      <c r="L26" t="n">
        <v>10255.580860216</v>
      </c>
      <c r="M26" t="n">
        <v>10943.440572037</v>
      </c>
      <c r="N26" t="n">
        <v>11055.1060586374</v>
      </c>
      <c r="O26" t="n">
        <v>11662.5402870935</v>
      </c>
      <c r="P26" t="n">
        <v>11922.3239367355</v>
      </c>
      <c r="Q26" t="n">
        <v>12876.3326753391</v>
      </c>
      <c r="R26" t="n">
        <v>13931.4719482789</v>
      </c>
      <c r="S26" t="n">
        <v>13275.368975662</v>
      </c>
      <c r="T26" t="n">
        <v>11363.6105483824</v>
      </c>
      <c r="U26" t="n">
        <v>11564.0664907703</v>
      </c>
      <c r="V26" t="n">
        <v>11450.9728628692</v>
      </c>
      <c r="W26" t="n">
        <v>11228.3505682991</v>
      </c>
      <c r="X26" t="n">
        <v>11310.484301514</v>
      </c>
      <c r="Y26" t="n">
        <v>12251.1506775988</v>
      </c>
      <c r="Z26" t="n">
        <v>13121.3427036694</v>
      </c>
      <c r="AA26" t="n">
        <v>14132.1603783758</v>
      </c>
      <c r="AB26" t="n">
        <v>14801.498437201</v>
      </c>
      <c r="AC26" t="n">
        <v>15293.20824378</v>
      </c>
      <c r="AD26" t="n">
        <v>15488.254711332</v>
      </c>
      <c r="AE26" t="n">
        <v>14848.4</v>
      </c>
      <c r="AF26" t="n">
        <v>18510.3</v>
      </c>
    </row>
    <row r="27">
      <c r="A27" t="s">
        <v>34</v>
      </c>
      <c r="B27" t="s">
        <v>211</v>
      </c>
      <c r="C27" t="s">
        <v>131</v>
      </c>
      <c r="D27" t="s">
        <v>212</v>
      </c>
      <c r="E27" t="s">
        <v>132</v>
      </c>
      <c r="F27" t="n">
        <v>5511.56931224275</v>
      </c>
      <c r="G27" t="n">
        <v>5756.27615143234</v>
      </c>
      <c r="H27" t="n">
        <v>6215.4350877091</v>
      </c>
      <c r="I27" t="n">
        <v>6656.5951157087</v>
      </c>
      <c r="J27" t="n">
        <v>6750.37835500433</v>
      </c>
      <c r="K27" t="n">
        <v>6170.04953691024</v>
      </c>
      <c r="L27" t="n">
        <v>6508.98830604219</v>
      </c>
      <c r="M27" t="n">
        <v>6409.62890547995</v>
      </c>
      <c r="N27" t="n">
        <v>6383.59655388539</v>
      </c>
      <c r="O27" t="n">
        <v>6321.14371210545</v>
      </c>
      <c r="P27" t="n">
        <v>6800.35312953142</v>
      </c>
      <c r="Q27" t="n">
        <v>7225.43263640449</v>
      </c>
      <c r="R27" t="n">
        <v>8595.6557236782</v>
      </c>
      <c r="S27" t="n">
        <v>8378.11997399607</v>
      </c>
      <c r="T27" t="n">
        <v>7829.85282479934</v>
      </c>
      <c r="U27" t="n">
        <v>7708.20722350016</v>
      </c>
      <c r="V27" t="n">
        <v>7449.34951823337</v>
      </c>
      <c r="W27" t="n">
        <v>7445.27278876518</v>
      </c>
      <c r="X27" t="n">
        <v>7498.3647779911</v>
      </c>
      <c r="Y27" t="n">
        <v>7770.23634855055</v>
      </c>
      <c r="Z27" t="n">
        <v>8286.47951795485</v>
      </c>
      <c r="AA27" t="n">
        <v>8691.0589020038</v>
      </c>
      <c r="AB27" t="n">
        <v>9169.95848555255</v>
      </c>
      <c r="AC27" t="n">
        <v>9528.45300092828</v>
      </c>
      <c r="AD27" t="n">
        <v>9956.85355818528</v>
      </c>
      <c r="AE27" t="n">
        <v>9611.9</v>
      </c>
      <c r="AF27" t="n">
        <v>10109.6</v>
      </c>
    </row>
    <row r="28">
      <c r="A28" t="s">
        <v>34</v>
      </c>
      <c r="B28" t="s">
        <v>213</v>
      </c>
      <c r="C28" t="s">
        <v>131</v>
      </c>
      <c r="D28" t="s">
        <v>214</v>
      </c>
      <c r="E28" t="s">
        <v>132</v>
      </c>
      <c r="F28" t="n">
        <v>2925.62291068873</v>
      </c>
      <c r="G28" t="n">
        <v>3054.17326523642</v>
      </c>
      <c r="H28" t="n">
        <v>3270.6069952254</v>
      </c>
      <c r="I28" t="n">
        <v>3474.15727732351</v>
      </c>
      <c r="J28" t="n">
        <v>3818.9258812242</v>
      </c>
      <c r="K28" t="n">
        <v>4059.43600100947</v>
      </c>
      <c r="L28" t="n">
        <v>4196.41015053204</v>
      </c>
      <c r="M28" t="n">
        <v>4354.75513666841</v>
      </c>
      <c r="N28" t="n">
        <v>4528.77300559828</v>
      </c>
      <c r="O28" t="n">
        <v>4616.16415679624</v>
      </c>
      <c r="P28" t="n">
        <v>4823.41177816063</v>
      </c>
      <c r="Q28" t="n">
        <v>5106.11292368756</v>
      </c>
      <c r="R28" t="n">
        <v>5348.42777715292</v>
      </c>
      <c r="S28" t="n">
        <v>5324.75622474603</v>
      </c>
      <c r="T28" t="n">
        <v>4734.77991230952</v>
      </c>
      <c r="U28" t="n">
        <v>4535.50582967977</v>
      </c>
      <c r="V28" t="n">
        <v>4805.27124397411</v>
      </c>
      <c r="W28" t="n">
        <v>4834.22322414623</v>
      </c>
      <c r="X28" t="n">
        <v>4814.60692694692</v>
      </c>
      <c r="Y28" t="n">
        <v>5020.52614735427</v>
      </c>
      <c r="Z28" t="n">
        <v>5297.57912829189</v>
      </c>
      <c r="AA28" t="n">
        <v>5596.24057932794</v>
      </c>
      <c r="AB28" t="n">
        <v>5736.12806839322</v>
      </c>
      <c r="AC28" t="n">
        <v>6056.12698208418</v>
      </c>
      <c r="AD28" t="n">
        <v>6333.90656010656</v>
      </c>
      <c r="AE28" t="n">
        <v>3737.3</v>
      </c>
      <c r="AF28" t="n">
        <v>3833.3</v>
      </c>
    </row>
    <row r="29">
      <c r="A29" t="s">
        <v>34</v>
      </c>
      <c r="B29" t="s">
        <v>215</v>
      </c>
      <c r="C29" t="s">
        <v>131</v>
      </c>
      <c r="D29" t="s">
        <v>216</v>
      </c>
      <c r="E29" t="s">
        <v>132</v>
      </c>
      <c r="F29" t="n">
        <v>1639.99574236185</v>
      </c>
      <c r="G29" t="n">
        <v>1693.7489838776</v>
      </c>
      <c r="H29" t="n">
        <v>1775.31830355476</v>
      </c>
      <c r="I29" t="n">
        <v>1793.82636599078</v>
      </c>
      <c r="J29" t="n">
        <v>1980.05413125919</v>
      </c>
      <c r="K29" t="n">
        <v>2049.79672545929</v>
      </c>
      <c r="L29" t="n">
        <v>2159.77552747022</v>
      </c>
      <c r="M29" t="n">
        <v>2314.45545011328</v>
      </c>
      <c r="N29" t="n">
        <v>2449.14973337486</v>
      </c>
      <c r="O29" t="n">
        <v>2510.25255982176</v>
      </c>
      <c r="P29" t="n">
        <v>2617.03154429145</v>
      </c>
      <c r="Q29" t="n">
        <v>2622.17349931611</v>
      </c>
      <c r="R29" t="n">
        <v>2801.98842161225</v>
      </c>
      <c r="S29" t="n">
        <v>2767.44993013033</v>
      </c>
      <c r="T29" t="n">
        <v>2423.75423630627</v>
      </c>
      <c r="U29" t="n">
        <v>2266.03693408966</v>
      </c>
      <c r="V29" t="n">
        <v>2641.70422719685</v>
      </c>
      <c r="W29" t="n">
        <v>2620.95397891889</v>
      </c>
      <c r="X29" t="n">
        <v>2552.01765660683</v>
      </c>
      <c r="Y29" t="n">
        <v>2672.20224119591</v>
      </c>
      <c r="Z29" t="n">
        <v>2751.14614886737</v>
      </c>
      <c r="AA29" t="n">
        <v>2976.5344662349</v>
      </c>
      <c r="AB29" t="n">
        <v>3057.64099388807</v>
      </c>
      <c r="AC29" t="n">
        <v>3130.19183520795</v>
      </c>
      <c r="AD29" t="n">
        <v>3288.19704883782</v>
      </c>
      <c r="AE29" t="n">
        <v>2607</v>
      </c>
      <c r="AF29" t="n">
        <v>2723.6</v>
      </c>
    </row>
    <row r="30">
      <c r="A30" t="s">
        <v>34</v>
      </c>
      <c r="B30" t="s">
        <v>217</v>
      </c>
      <c r="C30" t="s">
        <v>131</v>
      </c>
      <c r="D30" t="s">
        <v>218</v>
      </c>
      <c r="E30" t="s">
        <v>132</v>
      </c>
      <c r="F30" t="n">
        <v>115.891803608663</v>
      </c>
      <c r="G30" t="n">
        <v>114.028591331996</v>
      </c>
      <c r="H30" t="n">
        <v>116.218440822597</v>
      </c>
      <c r="I30" t="n">
        <v>131.458031124306</v>
      </c>
      <c r="J30" t="n">
        <v>138.107235020311</v>
      </c>
      <c r="K30" t="n">
        <v>137.807869626481</v>
      </c>
      <c r="L30" t="n">
        <v>123.225978784228</v>
      </c>
      <c r="M30" t="n">
        <v>126.116464706327</v>
      </c>
      <c r="N30" t="n">
        <v>128.862291532844</v>
      </c>
      <c r="O30" t="n">
        <v>126.824698997826</v>
      </c>
      <c r="P30" t="n">
        <v>124.061086301756</v>
      </c>
      <c r="Q30" t="n">
        <v>123.982116800609</v>
      </c>
      <c r="R30" t="n">
        <v>126.000054899577</v>
      </c>
      <c r="S30" t="n">
        <v>114.803047879593</v>
      </c>
      <c r="T30" t="n">
        <v>108.206629658887</v>
      </c>
      <c r="U30" t="n">
        <v>118.763374015852</v>
      </c>
      <c r="V30" t="n">
        <v>105.042168668389</v>
      </c>
      <c r="W30" t="n">
        <v>98.6927077501951</v>
      </c>
      <c r="X30" t="n">
        <v>100.286668036874</v>
      </c>
      <c r="Y30" t="n">
        <v>94.7216274984115</v>
      </c>
      <c r="Z30" t="n">
        <v>96.942533184189</v>
      </c>
      <c r="AA30" t="n">
        <v>92.9684914511726</v>
      </c>
      <c r="AB30" t="n">
        <v>92.5915921615057</v>
      </c>
      <c r="AC30" t="n">
        <v>82.9600118395738</v>
      </c>
      <c r="AD30" t="n">
        <v>89.6275862068966</v>
      </c>
      <c r="AE30" t="n">
        <v>57.6</v>
      </c>
      <c r="AF30" t="n">
        <v>77.4</v>
      </c>
    </row>
    <row r="31">
      <c r="A31" t="s">
        <v>34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223</v>
      </c>
      <c r="C33" t="s">
        <v>131</v>
      </c>
      <c r="D33" t="s">
        <v>224</v>
      </c>
      <c r="E33" t="s">
        <v>132</v>
      </c>
      <c r="F33" t="n">
        <v>961.377784387066</v>
      </c>
      <c r="G33" t="n">
        <v>1007.28286580395</v>
      </c>
      <c r="H33" t="n">
        <v>1102.36283724899</v>
      </c>
      <c r="I33" t="n">
        <v>1132.25495122202</v>
      </c>
      <c r="J33" t="n">
        <v>1167.85456080868</v>
      </c>
      <c r="K33" t="n">
        <v>1166.73485365546</v>
      </c>
      <c r="L33" t="n">
        <v>1184.06429780534</v>
      </c>
      <c r="M33" t="n">
        <v>1200.79696388429</v>
      </c>
      <c r="N33" t="n">
        <v>1128.25255338555</v>
      </c>
      <c r="O33" t="n">
        <v>1079.4911617304</v>
      </c>
      <c r="P33" t="n">
        <v>960.53459821324</v>
      </c>
      <c r="Q33" t="n">
        <v>1038.80478590665</v>
      </c>
      <c r="R33" t="n">
        <v>1003.02396672129</v>
      </c>
      <c r="S33" t="n">
        <v>1037.99177473543</v>
      </c>
      <c r="T33" t="n">
        <v>1040.19533269296</v>
      </c>
      <c r="U33" t="n">
        <v>1102.93417345853</v>
      </c>
      <c r="V33" t="n">
        <v>1070.6884076575</v>
      </c>
      <c r="W33" t="n">
        <v>1035.7449818084</v>
      </c>
      <c r="X33" t="n">
        <v>1015.08385770073</v>
      </c>
      <c r="Y33" t="n">
        <v>997.838260750465</v>
      </c>
      <c r="Z33" t="n">
        <v>976.066786528012</v>
      </c>
      <c r="AA33" t="n">
        <v>960.69665623521</v>
      </c>
      <c r="AB33" t="n">
        <v>956.082009169487</v>
      </c>
      <c r="AC33" t="n">
        <v>997.829242735578</v>
      </c>
      <c r="AD33" t="n">
        <v>992.788543920381</v>
      </c>
      <c r="AE33" t="n">
        <v>982.9</v>
      </c>
      <c r="AF33" t="n">
        <v>1025.8</v>
      </c>
    </row>
    <row r="34">
      <c r="A34" t="s">
        <v>34</v>
      </c>
      <c r="B34" t="s">
        <v>225</v>
      </c>
      <c r="C34" t="s">
        <v>131</v>
      </c>
      <c r="D34" t="s">
        <v>226</v>
      </c>
      <c r="E34" t="s">
        <v>132</v>
      </c>
      <c r="F34" t="n">
        <v>2604.92942941973</v>
      </c>
      <c r="G34" t="n">
        <v>2622.57908985929</v>
      </c>
      <c r="H34" t="n">
        <v>2878.0939121128</v>
      </c>
      <c r="I34" t="n">
        <v>3208.57363499428</v>
      </c>
      <c r="J34" t="n">
        <v>3408.20079155265</v>
      </c>
      <c r="K34" t="n">
        <v>3391.90049236672</v>
      </c>
      <c r="L34" t="n">
        <v>3519.03147563115</v>
      </c>
      <c r="M34" t="n">
        <v>3505.81339217471</v>
      </c>
      <c r="N34" t="n">
        <v>3754.28729297856</v>
      </c>
      <c r="O34" t="n">
        <v>3695.04449048709</v>
      </c>
      <c r="P34" t="n">
        <v>3796.79630572474</v>
      </c>
      <c r="Q34" t="n">
        <v>3957.67381285525</v>
      </c>
      <c r="R34" t="n">
        <v>4293.67293011239</v>
      </c>
      <c r="S34" t="n">
        <v>4312.01729841961</v>
      </c>
      <c r="T34" t="n">
        <v>3929.13366368018</v>
      </c>
      <c r="U34" t="n">
        <v>3776.68464210804</v>
      </c>
      <c r="V34" t="n">
        <v>3818.4628785483</v>
      </c>
      <c r="W34" t="n">
        <v>3760.33149450145</v>
      </c>
      <c r="X34" t="n">
        <v>4085.70403362545</v>
      </c>
      <c r="Y34" t="n">
        <v>4323.71766547063</v>
      </c>
      <c r="Z34" t="n">
        <v>4571.79631766274</v>
      </c>
      <c r="AA34" t="n">
        <v>4852.39247528778</v>
      </c>
      <c r="AB34" t="n">
        <v>5121.33103951252</v>
      </c>
      <c r="AC34" t="n">
        <v>5609.22063758244</v>
      </c>
      <c r="AD34" t="n">
        <v>5716.84121502572</v>
      </c>
      <c r="AE34" t="n">
        <v>2841.2</v>
      </c>
      <c r="AF34" t="n">
        <v>2283.4</v>
      </c>
    </row>
    <row r="35">
      <c r="A35" t="s">
        <v>34</v>
      </c>
      <c r="B35" t="s">
        <v>227</v>
      </c>
      <c r="C35" t="s">
        <v>131</v>
      </c>
      <c r="D35" t="s">
        <v>228</v>
      </c>
      <c r="E35" t="s">
        <v>132</v>
      </c>
      <c r="F35" t="n">
        <v>4023.41482797098</v>
      </c>
      <c r="G35" t="n">
        <v>4273.75623739823</v>
      </c>
      <c r="H35" t="n">
        <v>5054.2807807129</v>
      </c>
      <c r="I35" t="n">
        <v>5896.62444100186</v>
      </c>
      <c r="J35" t="n">
        <v>6692.01477586853</v>
      </c>
      <c r="K35" t="n">
        <v>6754.92875501655</v>
      </c>
      <c r="L35" t="n">
        <v>7033.07083314163</v>
      </c>
      <c r="M35" t="n">
        <v>7808.11722947096</v>
      </c>
      <c r="N35" t="n">
        <v>6992.38121278091</v>
      </c>
      <c r="O35" t="n">
        <v>8334.95685490641</v>
      </c>
      <c r="P35" t="n">
        <v>9320.87898006368</v>
      </c>
      <c r="Q35" t="n">
        <v>10504.9479767106</v>
      </c>
      <c r="R35" t="n">
        <v>12413.5099535768</v>
      </c>
      <c r="S35" t="n">
        <v>13961.0952519071</v>
      </c>
      <c r="T35" t="n">
        <v>14845.1800732184</v>
      </c>
      <c r="U35" t="n">
        <v>16074.9445277013</v>
      </c>
      <c r="V35" t="n">
        <v>16581.1163982339</v>
      </c>
      <c r="W35" t="n">
        <v>16831.2256002557</v>
      </c>
      <c r="X35" t="n">
        <v>18673.1018792119</v>
      </c>
      <c r="Y35" t="n">
        <v>21109.389438412</v>
      </c>
      <c r="Z35" t="n">
        <v>24519.4160889461</v>
      </c>
      <c r="AA35" t="n">
        <v>26771.9890400807</v>
      </c>
      <c r="AB35" t="n">
        <v>34316.0102340519</v>
      </c>
      <c r="AC35" t="n">
        <v>42620.1620365468</v>
      </c>
      <c r="AD35" t="n">
        <v>51172.2403191056</v>
      </c>
      <c r="AE35" t="n">
        <v>60896.2</v>
      </c>
      <c r="AF35" t="n">
        <v>75154.7</v>
      </c>
    </row>
    <row r="36">
      <c r="A36" t="s">
        <v>34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231</v>
      </c>
      <c r="C37" t="s">
        <v>131</v>
      </c>
      <c r="D37" t="s">
        <v>232</v>
      </c>
      <c r="E37" t="s">
        <v>132</v>
      </c>
      <c r="F37" t="n">
        <v>1873.74490860307</v>
      </c>
      <c r="G37" t="n">
        <v>1931.20868930762</v>
      </c>
      <c r="H37" t="n">
        <v>1983.36542033272</v>
      </c>
      <c r="I37" t="n">
        <v>1977.73148714585</v>
      </c>
      <c r="J37" t="n">
        <v>2077.44904111959</v>
      </c>
      <c r="K37" t="n">
        <v>2235.21851664624</v>
      </c>
      <c r="L37" t="n">
        <v>2358.43402924317</v>
      </c>
      <c r="M37" t="n">
        <v>2453.4115705254</v>
      </c>
      <c r="N37" t="n">
        <v>2563.18123106684</v>
      </c>
      <c r="O37" t="n">
        <v>2694.82427367683</v>
      </c>
      <c r="P37" t="n">
        <v>2858.25403621746</v>
      </c>
      <c r="Q37" t="n">
        <v>3028.13036680475</v>
      </c>
      <c r="R37" t="n">
        <v>3123.80545116492</v>
      </c>
      <c r="S37" t="n">
        <v>3099.47133347278</v>
      </c>
      <c r="T37" t="n">
        <v>3014.62647199022</v>
      </c>
      <c r="U37" t="n">
        <v>2934.24575224088</v>
      </c>
      <c r="V37" t="n">
        <v>2991.87669597241</v>
      </c>
      <c r="W37" t="n">
        <v>3095.07295125693</v>
      </c>
      <c r="X37" t="n">
        <v>3112.44302541847</v>
      </c>
      <c r="Y37" t="n">
        <v>3138.69309019588</v>
      </c>
      <c r="Z37" t="n">
        <v>3137.05682020829</v>
      </c>
      <c r="AA37" t="n">
        <v>3172.60226982442</v>
      </c>
      <c r="AB37" t="n">
        <v>3242.64281850862</v>
      </c>
      <c r="AC37" t="n">
        <v>3291.38880521479</v>
      </c>
      <c r="AD37" t="n">
        <v>3356.33091084105</v>
      </c>
      <c r="AE37" t="n">
        <v>3390.6</v>
      </c>
      <c r="AF37" t="n">
        <v>3498.5</v>
      </c>
    </row>
    <row r="38">
      <c r="A38" t="s">
        <v>34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235</v>
      </c>
      <c r="C39" t="s">
        <v>131</v>
      </c>
      <c r="D39" t="s">
        <v>236</v>
      </c>
      <c r="E39" t="s">
        <v>132</v>
      </c>
      <c r="F39" t="n">
        <v>8237.72490596944</v>
      </c>
      <c r="G39" t="n">
        <v>9210.86872893669</v>
      </c>
      <c r="H39" t="n">
        <v>10495.1995044906</v>
      </c>
      <c r="I39" t="n">
        <v>11136.3853263084</v>
      </c>
      <c r="J39" t="n">
        <v>11955.1538040985</v>
      </c>
      <c r="K39" t="n">
        <v>14194.0507706801</v>
      </c>
      <c r="L39" t="n">
        <v>15531.7100056133</v>
      </c>
      <c r="M39" t="n">
        <v>16216.5289986471</v>
      </c>
      <c r="N39" t="n">
        <v>16196.9599429134</v>
      </c>
      <c r="O39" t="n">
        <v>18627.4521843951</v>
      </c>
      <c r="P39" t="n">
        <v>19066.2131978267</v>
      </c>
      <c r="Q39" t="n">
        <v>21231.9411734143</v>
      </c>
      <c r="R39" t="n">
        <v>22389.6335202025</v>
      </c>
      <c r="S39" t="n">
        <v>22254.9630947066</v>
      </c>
      <c r="T39" t="n">
        <v>21253.014734614</v>
      </c>
      <c r="U39" t="n">
        <v>22731.2422720496</v>
      </c>
      <c r="V39" t="n">
        <v>22510.031672567</v>
      </c>
      <c r="W39" t="n">
        <v>19314.6882011338</v>
      </c>
      <c r="X39" t="n">
        <v>17739.2518036792</v>
      </c>
      <c r="Y39" t="n">
        <v>18214.1214378999</v>
      </c>
      <c r="Z39" t="n">
        <v>18489.5225237968</v>
      </c>
      <c r="AA39" t="n">
        <v>15391.211904245</v>
      </c>
      <c r="AB39" t="n">
        <v>15911.8836117108</v>
      </c>
      <c r="AC39" t="n">
        <v>16946.7031476754</v>
      </c>
      <c r="AD39" t="n">
        <v>16554.0558956524</v>
      </c>
      <c r="AE39" t="n">
        <v>16006.6</v>
      </c>
      <c r="AF39" t="n">
        <v>20807.6</v>
      </c>
    </row>
    <row r="40">
      <c r="A40" t="s">
        <v>34</v>
      </c>
      <c r="B40" t="s">
        <v>237</v>
      </c>
      <c r="C40" t="s">
        <v>131</v>
      </c>
      <c r="D40" t="s">
        <v>238</v>
      </c>
      <c r="E40" t="s">
        <v>132</v>
      </c>
      <c r="F40" t="n">
        <v>11474.0435005392</v>
      </c>
      <c r="G40" t="n">
        <v>12168.5522295954</v>
      </c>
      <c r="H40" t="n">
        <v>12841.8942829476</v>
      </c>
      <c r="I40" t="n">
        <v>14253.56089574</v>
      </c>
      <c r="J40" t="n">
        <v>15375.3092972583</v>
      </c>
      <c r="K40" t="n">
        <v>16286.1098268768</v>
      </c>
      <c r="L40" t="n">
        <v>16964.5594062864</v>
      </c>
      <c r="M40" t="n">
        <v>18059.21033636</v>
      </c>
      <c r="N40" t="n">
        <v>20191.1043366921</v>
      </c>
      <c r="O40" t="n">
        <v>20294.7558445652</v>
      </c>
      <c r="P40" t="n">
        <v>21317.2693254452</v>
      </c>
      <c r="Q40" t="n">
        <v>23587.9807412941</v>
      </c>
      <c r="R40" t="n">
        <v>23264.4816234772</v>
      </c>
      <c r="S40" t="n">
        <v>20876.6771421057</v>
      </c>
      <c r="T40" t="n">
        <v>19184.441230364</v>
      </c>
      <c r="U40" t="n">
        <v>18202.9537284686</v>
      </c>
      <c r="V40" t="n">
        <v>18438.8399509809</v>
      </c>
      <c r="W40" t="n">
        <v>18606.3597847849</v>
      </c>
      <c r="X40" t="n">
        <v>18753.4436841956</v>
      </c>
      <c r="Y40" t="n">
        <v>19278.7632904757</v>
      </c>
      <c r="Z40" t="n">
        <v>19433.6203862804</v>
      </c>
      <c r="AA40" t="n">
        <v>19171.7135474846</v>
      </c>
      <c r="AB40" t="n">
        <v>19757.7414747511</v>
      </c>
      <c r="AC40" t="n">
        <v>20044.6734944203</v>
      </c>
      <c r="AD40" t="n">
        <v>20510.8188099332</v>
      </c>
      <c r="AE40" t="n">
        <v>20371.4</v>
      </c>
      <c r="AF40" t="n">
        <v>22881</v>
      </c>
    </row>
    <row r="41">
      <c r="A41" t="s">
        <v>34</v>
      </c>
      <c r="B41" t="s">
        <v>239</v>
      </c>
      <c r="C41" t="s">
        <v>131</v>
      </c>
      <c r="D41" t="s">
        <v>240</v>
      </c>
      <c r="E41" t="s">
        <v>132</v>
      </c>
      <c r="F41" t="n">
        <v>8104.71306211508</v>
      </c>
      <c r="G41" t="n">
        <v>8587.85482495207</v>
      </c>
      <c r="H41" t="n">
        <v>9098.20165115839</v>
      </c>
      <c r="I41" t="n">
        <v>10100.0787951926</v>
      </c>
      <c r="J41" t="n">
        <v>10903.5861052092</v>
      </c>
      <c r="K41" t="n">
        <v>11556.3856842909</v>
      </c>
      <c r="L41" t="n">
        <v>12023.8243335856</v>
      </c>
      <c r="M41" t="n">
        <v>12800.3334591528</v>
      </c>
      <c r="N41" t="n">
        <v>14313.5003936718</v>
      </c>
      <c r="O41" t="n">
        <v>14371.445979577</v>
      </c>
      <c r="P41" t="n">
        <v>15066.5493394307</v>
      </c>
      <c r="Q41" t="n">
        <v>16655.7497402484</v>
      </c>
      <c r="R41" t="n">
        <v>16383.0473178919</v>
      </c>
      <c r="S41" t="n">
        <v>14688.5751696235</v>
      </c>
      <c r="T41" t="n">
        <v>13420.8740895016</v>
      </c>
      <c r="U41" t="n">
        <v>12701.529178675</v>
      </c>
      <c r="V41" t="n">
        <v>12862.4919703435</v>
      </c>
      <c r="W41" t="n">
        <v>13067.4091218318</v>
      </c>
      <c r="X41" t="n">
        <v>13244.6861403955</v>
      </c>
      <c r="Y41" t="n">
        <v>13704.65837345</v>
      </c>
      <c r="Z41" t="n">
        <v>13942.1733685117</v>
      </c>
      <c r="AA41" t="n">
        <v>13809.3337196332</v>
      </c>
      <c r="AB41" t="n">
        <v>14124.9189608436</v>
      </c>
      <c r="AC41" t="n">
        <v>14233.5505887408</v>
      </c>
      <c r="AD41" t="n">
        <v>14501.926470821</v>
      </c>
      <c r="AE41" t="n">
        <v>14411.2</v>
      </c>
      <c r="AF41" t="n">
        <v>14674.1</v>
      </c>
    </row>
    <row r="42">
      <c r="A42" t="s">
        <v>34</v>
      </c>
      <c r="B42" t="s">
        <v>241</v>
      </c>
      <c r="C42" t="s">
        <v>131</v>
      </c>
      <c r="D42" t="s">
        <v>242</v>
      </c>
      <c r="E42" t="s">
        <v>132</v>
      </c>
      <c r="F42" t="n">
        <v>4463.34209090227</v>
      </c>
      <c r="G42" t="n">
        <v>4761.34022596838</v>
      </c>
      <c r="H42" t="n">
        <v>6366.83256884836</v>
      </c>
      <c r="I42" t="n">
        <v>6800.8458523034</v>
      </c>
      <c r="J42" t="n">
        <v>6916.19243212719</v>
      </c>
      <c r="K42" t="n">
        <v>7377.71310509109</v>
      </c>
      <c r="L42" t="n">
        <v>7692.25377867798</v>
      </c>
      <c r="M42" t="n">
        <v>7729.17809628031</v>
      </c>
      <c r="N42" t="n">
        <v>7688.96704002167</v>
      </c>
      <c r="O42" t="n">
        <v>8160.82817778663</v>
      </c>
      <c r="P42" t="n">
        <v>8934.2617761407</v>
      </c>
      <c r="Q42" t="n">
        <v>9219.677623873</v>
      </c>
      <c r="R42" t="n">
        <v>9468.55314390551</v>
      </c>
      <c r="S42" t="n">
        <v>8656.5243533856</v>
      </c>
      <c r="T42" t="n">
        <v>7877.32731882713</v>
      </c>
      <c r="U42" t="n">
        <v>8848.71902034661</v>
      </c>
      <c r="V42" t="n">
        <v>8776.59476174835</v>
      </c>
      <c r="W42" t="n">
        <v>8536.27673639892</v>
      </c>
      <c r="X42" t="n">
        <v>9287.33175342749</v>
      </c>
      <c r="Y42" t="n">
        <v>10440.1335349092</v>
      </c>
      <c r="Z42" t="n">
        <v>11475.934482715</v>
      </c>
      <c r="AA42" t="n">
        <v>10863.1275526328</v>
      </c>
      <c r="AB42" t="n">
        <v>13765.6449383873</v>
      </c>
      <c r="AC42" t="n">
        <v>16317.9096919061</v>
      </c>
      <c r="AD42" t="n">
        <v>18466.2763304608</v>
      </c>
      <c r="AE42" t="n">
        <v>21641.5</v>
      </c>
      <c r="AF42" t="n">
        <v>23924.6</v>
      </c>
    </row>
    <row r="43">
      <c r="A43" t="s">
        <v>34</v>
      </c>
      <c r="B43" t="s">
        <v>243</v>
      </c>
      <c r="C43" t="s">
        <v>131</v>
      </c>
      <c r="D43" t="s">
        <v>244</v>
      </c>
      <c r="E43" t="s">
        <v>132</v>
      </c>
      <c r="F43" t="n">
        <v>6267.26479345709</v>
      </c>
      <c r="G43" t="n">
        <v>6610.31922162213</v>
      </c>
      <c r="H43" t="n">
        <v>7864.24487403914</v>
      </c>
      <c r="I43" t="n">
        <v>9080.9095446453</v>
      </c>
      <c r="J43" t="n">
        <v>9903.12469456288</v>
      </c>
      <c r="K43" t="n">
        <v>11059.4081061063</v>
      </c>
      <c r="L43" t="n">
        <v>12577.1542313662</v>
      </c>
      <c r="M43" t="n">
        <v>12873.0637643235</v>
      </c>
      <c r="N43" t="n">
        <v>12806.0612483826</v>
      </c>
      <c r="O43" t="n">
        <v>13830.721678948</v>
      </c>
      <c r="P43" t="n">
        <v>16451.3742148547</v>
      </c>
      <c r="Q43" t="n">
        <v>14453.1922312152</v>
      </c>
      <c r="R43" t="n">
        <v>18249.6070949033</v>
      </c>
      <c r="S43" t="n">
        <v>18892.6379580964</v>
      </c>
      <c r="T43" t="n">
        <v>17753.8218004461</v>
      </c>
      <c r="U43" t="n">
        <v>18644.7975626576</v>
      </c>
      <c r="V43" t="n">
        <v>20234.2309885384</v>
      </c>
      <c r="W43" t="n">
        <v>19659.0991363689</v>
      </c>
      <c r="X43" t="n">
        <v>23871.2298013257</v>
      </c>
      <c r="Y43" t="n">
        <v>28364.6093641812</v>
      </c>
      <c r="Z43" t="n">
        <v>30770.8253331974</v>
      </c>
      <c r="AA43" t="n">
        <v>31850.2858684677</v>
      </c>
      <c r="AB43" t="n">
        <v>36592.7285720369</v>
      </c>
      <c r="AC43" t="n">
        <v>39991.3466787278</v>
      </c>
      <c r="AD43" t="n">
        <v>42838.8817584311</v>
      </c>
      <c r="AE43" t="n">
        <v>42882.5</v>
      </c>
      <c r="AF43" t="n">
        <v>43629</v>
      </c>
    </row>
    <row r="44">
      <c r="A44" t="s">
        <v>34</v>
      </c>
      <c r="B44" t="s">
        <v>245</v>
      </c>
      <c r="C44" t="s">
        <v>131</v>
      </c>
      <c r="D44" t="s">
        <v>246</v>
      </c>
      <c r="E44" t="s">
        <v>132</v>
      </c>
      <c r="F44" t="n">
        <v>71896.8806832682</v>
      </c>
      <c r="G44" t="n">
        <v>76670.3501923459</v>
      </c>
      <c r="H44" t="n">
        <v>86687.8129006572</v>
      </c>
      <c r="I44" t="n">
        <v>95502.9523530383</v>
      </c>
      <c r="J44" t="n">
        <v>104224.985650012</v>
      </c>
      <c r="K44" t="n">
        <v>113662.613141685</v>
      </c>
      <c r="L44" t="n">
        <v>118189.320802794</v>
      </c>
      <c r="M44" t="n">
        <v>125929.275531278</v>
      </c>
      <c r="N44" t="n">
        <v>126052.689954419</v>
      </c>
      <c r="O44" t="n">
        <v>133367.762613043</v>
      </c>
      <c r="P44" t="n">
        <v>142161.769359784</v>
      </c>
      <c r="Q44" t="n">
        <v>147735.976217269</v>
      </c>
      <c r="R44" t="n">
        <v>161057.708762142</v>
      </c>
      <c r="S44" t="n">
        <v>157097.001821453</v>
      </c>
      <c r="T44" t="n">
        <v>145247.482130441</v>
      </c>
      <c r="U44" t="n">
        <v>149254.367023766</v>
      </c>
      <c r="V44" t="n">
        <v>153092.250436624</v>
      </c>
      <c r="W44" t="n">
        <v>147536.027507061</v>
      </c>
      <c r="X44" t="n">
        <v>151370.284427182</v>
      </c>
      <c r="Y44" t="n">
        <v>167756.273251785</v>
      </c>
      <c r="Z44" t="n">
        <v>215207.192060013</v>
      </c>
      <c r="AA44" t="n">
        <v>217475.501569656</v>
      </c>
      <c r="AB44" t="n">
        <v>236137.546076319</v>
      </c>
      <c r="AC44" t="n">
        <v>261082.368329496</v>
      </c>
      <c r="AD44" t="n">
        <v>275993.047231901</v>
      </c>
      <c r="AE44" t="n">
        <v>302658.6</v>
      </c>
      <c r="AF44" t="n">
        <v>357386.9</v>
      </c>
    </row>
    <row r="45">
      <c r="A45" t="s">
        <v>34</v>
      </c>
      <c r="B45" t="s">
        <v>247</v>
      </c>
      <c r="C45" t="s">
        <v>131</v>
      </c>
      <c r="D45" t="s">
        <v>248</v>
      </c>
      <c r="E45" t="s">
        <v>132</v>
      </c>
      <c r="F45" t="n">
        <v>68041.1235964939</v>
      </c>
      <c r="G45" t="n">
        <v>72946.9689929717</v>
      </c>
      <c r="H45" t="n">
        <v>82944.1876300168</v>
      </c>
      <c r="I45" t="n">
        <v>91863.600113554</v>
      </c>
      <c r="J45" t="n">
        <v>101296.874612279</v>
      </c>
      <c r="K45" t="n">
        <v>110787.063581657</v>
      </c>
      <c r="L45" t="n">
        <v>115873.329510061</v>
      </c>
      <c r="M45" t="n">
        <v>123690.243971302</v>
      </c>
      <c r="N45" t="n">
        <v>123655.297491129</v>
      </c>
      <c r="O45" t="n">
        <v>130448.879345135</v>
      </c>
      <c r="P45" t="n">
        <v>139954.345912312</v>
      </c>
      <c r="Q45" t="n">
        <v>145834.049898797</v>
      </c>
      <c r="R45" t="n">
        <v>158993.984481002</v>
      </c>
      <c r="S45" t="n">
        <v>154888.696780999</v>
      </c>
      <c r="T45" t="n">
        <v>143370.099017212</v>
      </c>
      <c r="U45" t="n">
        <v>147135.978457668</v>
      </c>
      <c r="V45" t="n">
        <v>150614.714794177</v>
      </c>
      <c r="W45" t="n">
        <v>145538.82295722</v>
      </c>
      <c r="X45" t="n">
        <v>149333.014326758</v>
      </c>
      <c r="Y45" t="n">
        <v>165134.141793228</v>
      </c>
      <c r="Z45" t="n">
        <v>212485.916997424</v>
      </c>
      <c r="AA45" t="n">
        <v>214512.182068971</v>
      </c>
      <c r="AB45" t="n">
        <v>232892.547826056</v>
      </c>
      <c r="AC45" t="n">
        <v>258336.36103919</v>
      </c>
      <c r="AD45" t="n">
        <v>272458.911153417</v>
      </c>
      <c r="AE45" t="n">
        <v>299067.5</v>
      </c>
      <c r="AF45" t="n">
        <v>353684.6</v>
      </c>
    </row>
    <row r="46">
      <c r="A46" t="s">
        <v>34</v>
      </c>
      <c r="B46" t="s">
        <v>249</v>
      </c>
      <c r="C46" t="s">
        <v>131</v>
      </c>
      <c r="D46" t="s">
        <v>250</v>
      </c>
      <c r="E46" t="s">
        <v>132</v>
      </c>
      <c r="F46" t="n">
        <v>2201.84627382341</v>
      </c>
      <c r="G46" t="n">
        <v>2295.64534197303</v>
      </c>
      <c r="H46" t="n">
        <v>2385.92533132277</v>
      </c>
      <c r="I46" t="n">
        <v>2974.91826281906</v>
      </c>
      <c r="J46" t="n">
        <v>3489.71300560024</v>
      </c>
      <c r="K46" t="n">
        <v>4093.2024299104</v>
      </c>
      <c r="L46" t="n">
        <v>5234.65016211456</v>
      </c>
      <c r="M46" t="n">
        <v>5500.48529340572</v>
      </c>
      <c r="N46" t="n">
        <v>5471.83589628305</v>
      </c>
      <c r="O46" t="n">
        <v>6062.4770233855</v>
      </c>
      <c r="P46" t="n">
        <v>8136.13691345853</v>
      </c>
      <c r="Q46" t="n">
        <v>5677.37265400206</v>
      </c>
      <c r="R46" t="n">
        <v>8720.97496130259</v>
      </c>
      <c r="S46" t="n">
        <v>10233.0694004323</v>
      </c>
      <c r="T46" t="n">
        <v>9948.7928343546</v>
      </c>
      <c r="U46" t="n">
        <v>9717.45022215293</v>
      </c>
      <c r="V46" t="n">
        <v>11316.6681336034</v>
      </c>
      <c r="W46" t="n">
        <v>10984.5701750605</v>
      </c>
      <c r="X46" t="n">
        <v>14511.6446369091</v>
      </c>
      <c r="Y46" t="n">
        <v>17888.1822204681</v>
      </c>
      <c r="Z46" t="n">
        <v>19243.5781815128</v>
      </c>
      <c r="AA46" t="n">
        <v>20911.2567517594</v>
      </c>
      <c r="AB46" t="n">
        <v>22782.5173970596</v>
      </c>
      <c r="AC46" t="n">
        <v>23629.6831013001</v>
      </c>
      <c r="AD46" t="n">
        <v>24308.1517630638</v>
      </c>
      <c r="AE46" t="n">
        <v>21241</v>
      </c>
      <c r="AF46" t="n">
        <v>19704.4</v>
      </c>
    </row>
    <row r="47">
      <c r="A47" t="s">
        <v>34</v>
      </c>
      <c r="B47" t="s">
        <v>251</v>
      </c>
      <c r="C47" t="s">
        <v>131</v>
      </c>
      <c r="D47" t="s">
        <v>252</v>
      </c>
      <c r="E47" t="s">
        <v>132</v>
      </c>
      <c r="F47" t="n">
        <v>8439.05138021102</v>
      </c>
      <c r="G47" t="n">
        <v>8232.40842923004</v>
      </c>
      <c r="H47" t="n">
        <v>7939.05564765032</v>
      </c>
      <c r="I47" t="n">
        <v>8135.1952197212</v>
      </c>
      <c r="J47" t="n">
        <v>8689.39329298382</v>
      </c>
      <c r="K47" t="n">
        <v>8413.07998295119</v>
      </c>
      <c r="L47" t="n">
        <v>8156.71357461362</v>
      </c>
      <c r="M47" t="n">
        <v>7913.24372691609</v>
      </c>
      <c r="N47" t="n">
        <v>7743.93345064966</v>
      </c>
      <c r="O47" t="n">
        <v>7986.12268106352</v>
      </c>
      <c r="P47" t="n">
        <v>8276.55991011654</v>
      </c>
      <c r="Q47" t="n">
        <v>8279.3080000676</v>
      </c>
      <c r="R47" t="n">
        <v>8655.91570759892</v>
      </c>
      <c r="S47" t="n">
        <v>8898.87067992873</v>
      </c>
      <c r="T47" t="n">
        <v>7967.86639499318</v>
      </c>
      <c r="U47" t="n">
        <v>7837.21145541545</v>
      </c>
      <c r="V47" t="n">
        <v>7526.2667758299</v>
      </c>
      <c r="W47" t="n">
        <v>7328.34581760093</v>
      </c>
      <c r="X47" t="n">
        <v>7261.41432579238</v>
      </c>
      <c r="Y47" t="n">
        <v>7481.93470401286</v>
      </c>
      <c r="Z47" t="n">
        <v>7695.28574510289</v>
      </c>
      <c r="AA47" t="n">
        <v>7754.37899036415</v>
      </c>
      <c r="AB47" t="n">
        <v>8232.02350707919</v>
      </c>
      <c r="AC47" t="n">
        <v>8820.3255352842</v>
      </c>
      <c r="AD47" t="n">
        <v>9585.1009885812</v>
      </c>
      <c r="AE47" t="n">
        <v>10145.4</v>
      </c>
      <c r="AF47" t="n">
        <v>11143.5</v>
      </c>
    </row>
    <row r="48">
      <c r="A48" t="s">
        <v>34</v>
      </c>
      <c r="B48" t="s">
        <v>253</v>
      </c>
      <c r="C48" t="s">
        <v>131</v>
      </c>
      <c r="D48" t="s">
        <v>254</v>
      </c>
      <c r="E48" t="s">
        <v>132</v>
      </c>
      <c r="F48" t="n">
        <v>19912.8043976254</v>
      </c>
      <c r="G48" t="n">
        <v>20558.9453567683</v>
      </c>
      <c r="H48" t="n">
        <v>20640.8028539577</v>
      </c>
      <c r="I48" t="n">
        <v>21074.4287651518</v>
      </c>
      <c r="J48" t="n">
        <v>22011.1837964909</v>
      </c>
      <c r="K48" t="n">
        <v>22971.6632141092</v>
      </c>
      <c r="L48" t="n">
        <v>23566.7377271548</v>
      </c>
      <c r="M48" t="n">
        <v>24346.9882561957</v>
      </c>
      <c r="N48" t="n">
        <v>24878.6436789273</v>
      </c>
      <c r="O48" t="n">
        <v>25983.7105042419</v>
      </c>
      <c r="P48" t="n">
        <v>27000.5877584767</v>
      </c>
      <c r="Q48" t="n">
        <v>28396.814875095</v>
      </c>
      <c r="R48" t="n">
        <v>30020.3843416294</v>
      </c>
      <c r="S48" t="n">
        <v>30814.242110139</v>
      </c>
      <c r="T48" t="n">
        <v>30629.8993575343</v>
      </c>
      <c r="U48" t="n">
        <v>30800.3609364296</v>
      </c>
      <c r="V48" t="n">
        <v>31428.7596437989</v>
      </c>
      <c r="W48" t="n">
        <v>31242.7191176458</v>
      </c>
      <c r="X48" t="n">
        <v>31546.9208965557</v>
      </c>
      <c r="Y48" t="n">
        <v>31858.1643079667</v>
      </c>
      <c r="Z48" t="n">
        <v>32892.4721935967</v>
      </c>
      <c r="AA48" t="n">
        <v>33419.1274001308</v>
      </c>
      <c r="AB48" t="n">
        <v>34698.145961173</v>
      </c>
      <c r="AC48" t="n">
        <v>35878.5179917584</v>
      </c>
      <c r="AD48" t="n">
        <v>37421.9343198358</v>
      </c>
      <c r="AE48" t="n">
        <v>36849.8</v>
      </c>
      <c r="AF48" t="n">
        <v>38373</v>
      </c>
    </row>
    <row r="49">
      <c r="A49" t="s">
        <v>34</v>
      </c>
      <c r="B49" t="s">
        <v>255</v>
      </c>
      <c r="C49" t="s">
        <v>131</v>
      </c>
      <c r="D49" t="s">
        <v>256</v>
      </c>
      <c r="E49" t="s">
        <v>132</v>
      </c>
      <c r="F49" t="n">
        <v>7177.49692033547</v>
      </c>
      <c r="G49" t="n">
        <v>7264.06481508233</v>
      </c>
      <c r="H49" t="n">
        <v>7245.54646925025</v>
      </c>
      <c r="I49" t="n">
        <v>7259.88080924493</v>
      </c>
      <c r="J49" t="n">
        <v>7266.91792147029</v>
      </c>
      <c r="K49" t="n">
        <v>7693.10122261984</v>
      </c>
      <c r="L49" t="n">
        <v>7759.83395093088</v>
      </c>
      <c r="M49" t="n">
        <v>7847.07417040851</v>
      </c>
      <c r="N49" t="n">
        <v>7928.06878937785</v>
      </c>
      <c r="O49" t="n">
        <v>8022.72427021771</v>
      </c>
      <c r="P49" t="n">
        <v>8176.2309590838</v>
      </c>
      <c r="Q49" t="n">
        <v>8304.94047717459</v>
      </c>
      <c r="R49" t="n">
        <v>8585.86982929925</v>
      </c>
      <c r="S49" t="n">
        <v>8561.65945518468</v>
      </c>
      <c r="T49" t="n">
        <v>8674.32020757523</v>
      </c>
      <c r="U49" t="n">
        <v>8729.14486876801</v>
      </c>
      <c r="V49" t="n">
        <v>9147.35393506008</v>
      </c>
      <c r="W49" t="n">
        <v>9175.82607395671</v>
      </c>
      <c r="X49" t="n">
        <v>9269.49871819972</v>
      </c>
      <c r="Y49" t="n">
        <v>9441.64688958027</v>
      </c>
      <c r="Z49" t="n">
        <v>9635.42351134721</v>
      </c>
      <c r="AA49" t="n">
        <v>9852.96259675527</v>
      </c>
      <c r="AB49" t="n">
        <v>10012.7384869966</v>
      </c>
      <c r="AC49" t="n">
        <v>10160.9281208488</v>
      </c>
      <c r="AD49" t="n">
        <v>10362.1272519447</v>
      </c>
      <c r="AE49" t="n">
        <v>10174</v>
      </c>
      <c r="AF49" t="n">
        <v>10116.3</v>
      </c>
    </row>
    <row r="50">
      <c r="A50" t="s">
        <v>34</v>
      </c>
      <c r="B50" t="s">
        <v>257</v>
      </c>
      <c r="C50" t="s">
        <v>131</v>
      </c>
      <c r="D50" t="s">
        <v>258</v>
      </c>
      <c r="E50" t="s">
        <v>132</v>
      </c>
      <c r="F50" t="n">
        <v>5531.37940618561</v>
      </c>
      <c r="G50" t="n">
        <v>6111.07172122233</v>
      </c>
      <c r="H50" t="n">
        <v>6379.7143245862</v>
      </c>
      <c r="I50" t="n">
        <v>6598.80277486002</v>
      </c>
      <c r="J50" t="n">
        <v>7009.92124162357</v>
      </c>
      <c r="K50" t="n">
        <v>7653.35504866122</v>
      </c>
      <c r="L50" t="n">
        <v>8267.68351148783</v>
      </c>
      <c r="M50" t="n">
        <v>9039.06184329631</v>
      </c>
      <c r="N50" t="n">
        <v>9588.96124269851</v>
      </c>
      <c r="O50" t="n">
        <v>10328.0952615068</v>
      </c>
      <c r="P50" t="n">
        <v>10897.716134483</v>
      </c>
      <c r="Q50" t="n">
        <v>12089.087562189</v>
      </c>
      <c r="R50" t="n">
        <v>13064.2859445922</v>
      </c>
      <c r="S50" t="n">
        <v>13669.9929484317</v>
      </c>
      <c r="T50" t="n">
        <v>14156.1037406479</v>
      </c>
      <c r="U50" t="n">
        <v>14391.9531125121</v>
      </c>
      <c r="V50" t="n">
        <v>14872.7015715132</v>
      </c>
      <c r="W50" t="n">
        <v>14896.9322623116</v>
      </c>
      <c r="X50" t="n">
        <v>15214.6695787663</v>
      </c>
      <c r="Y50" t="n">
        <v>15083.6774329264</v>
      </c>
      <c r="Z50" t="n">
        <v>15729.3363109912</v>
      </c>
      <c r="AA50" t="n">
        <v>15995.5203722743</v>
      </c>
      <c r="AB50" t="n">
        <v>16601.1153349447</v>
      </c>
      <c r="AC50" t="n">
        <v>16993.9849106837</v>
      </c>
      <c r="AD50" t="n">
        <v>17531.005549511</v>
      </c>
      <c r="AE50" t="n">
        <v>16530.4</v>
      </c>
      <c r="AF50" t="n">
        <v>17113.3</v>
      </c>
    </row>
    <row r="51">
      <c r="A51" t="s">
        <v>34</v>
      </c>
      <c r="B51" t="s">
        <v>259</v>
      </c>
      <c r="C51" t="s">
        <v>131</v>
      </c>
      <c r="D51" t="s">
        <v>260</v>
      </c>
      <c r="E51" t="s">
        <v>132</v>
      </c>
      <c r="F51" t="n">
        <v>4526.92453731991</v>
      </c>
      <c r="G51" t="n">
        <v>5001.31611576001</v>
      </c>
      <c r="H51" t="n">
        <v>5221.22526278341</v>
      </c>
      <c r="I51" t="n">
        <v>5400.60819344432</v>
      </c>
      <c r="J51" t="n">
        <v>5736.70354857319</v>
      </c>
      <c r="K51" t="n">
        <v>6263.00662642394</v>
      </c>
      <c r="L51" t="n">
        <v>6762.65200598878</v>
      </c>
      <c r="M51" t="n">
        <v>7331.80491146</v>
      </c>
      <c r="N51" t="n">
        <v>7836.71145885041</v>
      </c>
      <c r="O51" t="n">
        <v>8424.76611208894</v>
      </c>
      <c r="P51" t="n">
        <v>8926.03455813614</v>
      </c>
      <c r="Q51" t="n">
        <v>9797.13592899684</v>
      </c>
      <c r="R51" t="n">
        <v>10535.9389555678</v>
      </c>
      <c r="S51" t="n">
        <v>11013.8315601445</v>
      </c>
      <c r="T51" t="n">
        <v>11331.6648357215</v>
      </c>
      <c r="U51" t="n">
        <v>11720.4503683798</v>
      </c>
      <c r="V51" t="n">
        <v>12132.5768759285</v>
      </c>
      <c r="W51" t="n">
        <v>12009.244085031</v>
      </c>
      <c r="X51" t="n">
        <v>12105.0213682435</v>
      </c>
      <c r="Y51" t="n">
        <v>11922.5720138745</v>
      </c>
      <c r="Z51" t="n">
        <v>12334.922349401</v>
      </c>
      <c r="AA51" t="n">
        <v>12689.6406312928</v>
      </c>
      <c r="AB51" t="n">
        <v>12692.0722439118</v>
      </c>
      <c r="AC51" t="n">
        <v>12752.2487075299</v>
      </c>
      <c r="AD51" t="n">
        <v>12935.4124201182</v>
      </c>
      <c r="AE51" t="n">
        <v>12066</v>
      </c>
      <c r="AF51" t="n">
        <v>12736.6</v>
      </c>
    </row>
    <row r="52">
      <c r="A52" t="s">
        <v>34</v>
      </c>
      <c r="B52" t="s">
        <v>261</v>
      </c>
      <c r="C52" t="s">
        <v>131</v>
      </c>
      <c r="D52" t="s">
        <v>262</v>
      </c>
      <c r="E52" t="s">
        <v>132</v>
      </c>
      <c r="F52" t="n">
        <v>1118.22972947478</v>
      </c>
      <c r="G52" t="n">
        <v>1235.46166630294</v>
      </c>
      <c r="H52" t="n">
        <v>1289.70998309527</v>
      </c>
      <c r="I52" t="n">
        <v>1333.90432847976</v>
      </c>
      <c r="J52" t="n">
        <v>1417.43571564149</v>
      </c>
      <c r="K52" t="n">
        <v>1547.80984606672</v>
      </c>
      <c r="L52" t="n">
        <v>1676.42499452402</v>
      </c>
      <c r="M52" t="n">
        <v>1937.38805647539</v>
      </c>
      <c r="N52" t="n">
        <v>1966.36082283652</v>
      </c>
      <c r="O52" t="n">
        <v>2138.15992007994</v>
      </c>
      <c r="P52" t="n">
        <v>2216.08510416397</v>
      </c>
      <c r="Q52" t="n">
        <v>2568.54087873951</v>
      </c>
      <c r="R52" t="n">
        <v>2828.13915896012</v>
      </c>
      <c r="S52" t="n">
        <v>2969.26665651693</v>
      </c>
      <c r="T52" t="n">
        <v>3143.76808010999</v>
      </c>
      <c r="U52" t="n">
        <v>3007.45901726091</v>
      </c>
      <c r="V52" t="n">
        <v>3091.50682998452</v>
      </c>
      <c r="W52" t="n">
        <v>3194.92154200007</v>
      </c>
      <c r="X52" t="n">
        <v>3373.06273282095</v>
      </c>
      <c r="Y52" t="n">
        <v>3397.28036967315</v>
      </c>
      <c r="Z52" t="n">
        <v>3607.98003319627</v>
      </c>
      <c r="AA52" t="n">
        <v>3570.580579691</v>
      </c>
      <c r="AB52" t="n">
        <v>4021.99734250686</v>
      </c>
      <c r="AC52" t="n">
        <v>4298.02327310901</v>
      </c>
      <c r="AD52" t="n">
        <v>4610.18687991446</v>
      </c>
      <c r="AE52" t="n">
        <v>4464.4</v>
      </c>
      <c r="AF52" t="n">
        <v>4376.7</v>
      </c>
    </row>
    <row r="53">
      <c r="A53" t="s">
        <v>34</v>
      </c>
      <c r="B53" t="s">
        <v>263</v>
      </c>
      <c r="C53" t="s">
        <v>131</v>
      </c>
      <c r="D53" t="s">
        <v>264</v>
      </c>
      <c r="E53" t="s">
        <v>132</v>
      </c>
      <c r="F53" t="n">
        <v>1129.88431163061</v>
      </c>
      <c r="G53" t="n">
        <v>1149.72573229497</v>
      </c>
      <c r="H53" t="n">
        <v>1192.55133711893</v>
      </c>
      <c r="I53" t="n">
        <v>1235.2080820632</v>
      </c>
      <c r="J53" t="n">
        <v>1313.95497635498</v>
      </c>
      <c r="K53" t="n">
        <v>1273.59533936352</v>
      </c>
      <c r="L53" t="n">
        <v>1347.16008238675</v>
      </c>
      <c r="M53" t="n">
        <v>1423.64254007834</v>
      </c>
      <c r="N53" t="n">
        <v>1424.42658015059</v>
      </c>
      <c r="O53" t="n">
        <v>1492.80520239083</v>
      </c>
      <c r="P53" t="n">
        <v>1549.55135127583</v>
      </c>
      <c r="Q53" t="n">
        <v>1793.11415476828</v>
      </c>
      <c r="R53" t="n">
        <v>1815.27844971205</v>
      </c>
      <c r="S53" t="n">
        <v>1830.13255276535</v>
      </c>
      <c r="T53" t="n">
        <v>1807.63836687366</v>
      </c>
      <c r="U53" t="n">
        <v>1809.24529256914</v>
      </c>
      <c r="V53" t="n">
        <v>1719.63406260513</v>
      </c>
      <c r="W53" t="n">
        <v>1797.30142826025</v>
      </c>
      <c r="X53" t="n">
        <v>1828.23460072043</v>
      </c>
      <c r="Y53" t="n">
        <v>1951.93961415481</v>
      </c>
      <c r="Z53" t="n">
        <v>2163.96209760798</v>
      </c>
      <c r="AA53" t="n">
        <v>2625.07570905316</v>
      </c>
      <c r="AB53" t="n">
        <v>2655.85991107872</v>
      </c>
      <c r="AC53" t="n">
        <v>2724.91778457136</v>
      </c>
      <c r="AD53" t="n">
        <v>2721.7228991398</v>
      </c>
      <c r="AE53" t="n">
        <v>2143.7</v>
      </c>
      <c r="AF53" t="n">
        <v>2327.6</v>
      </c>
    </row>
    <row r="54">
      <c r="A54" t="s">
        <v>34</v>
      </c>
      <c r="B54" t="s">
        <v>265</v>
      </c>
      <c r="C54" t="s">
        <v>131</v>
      </c>
      <c r="D54" t="s">
        <v>266</v>
      </c>
      <c r="E54" t="s">
        <v>132</v>
      </c>
      <c r="F54" t="n">
        <v>2029.82498853148</v>
      </c>
      <c r="G54" t="n">
        <v>2085.48398932405</v>
      </c>
      <c r="H54" t="n">
        <v>2281.90767473689</v>
      </c>
      <c r="I54" t="n">
        <v>2259.70885901699</v>
      </c>
      <c r="J54" t="n">
        <v>2426.31438555299</v>
      </c>
      <c r="K54" t="n">
        <v>2455.86129334116</v>
      </c>
      <c r="L54" t="n">
        <v>2597.40271419074</v>
      </c>
      <c r="M54" t="n">
        <v>2757.19012868749</v>
      </c>
      <c r="N54" t="n">
        <v>2764.47795173555</v>
      </c>
      <c r="O54" t="n">
        <v>2939.95116253145</v>
      </c>
      <c r="P54" t="n">
        <v>3031.13281327599</v>
      </c>
      <c r="Q54" t="n">
        <v>3390.85099075748</v>
      </c>
      <c r="R54" t="n">
        <v>3406.575600744</v>
      </c>
      <c r="S54" t="n">
        <v>3382.38595451284</v>
      </c>
      <c r="T54" t="n">
        <v>3337.58914934481</v>
      </c>
      <c r="U54" t="n">
        <v>3262.68577227526</v>
      </c>
      <c r="V54" t="n">
        <v>3184.60644706001</v>
      </c>
      <c r="W54" t="n">
        <v>3250.08022748609</v>
      </c>
      <c r="X54" t="n">
        <v>3258.13095879024</v>
      </c>
      <c r="Y54" t="n">
        <v>3397.05749585754</v>
      </c>
      <c r="Z54" t="n">
        <v>3777.70050645608</v>
      </c>
      <c r="AA54" t="n">
        <v>4191.27439206261</v>
      </c>
      <c r="AB54" t="n">
        <v>4470.7004273449</v>
      </c>
      <c r="AC54" t="n">
        <v>4566.16986394784</v>
      </c>
      <c r="AD54" t="n">
        <v>4634.92455880296</v>
      </c>
      <c r="AE54" t="n">
        <v>3645.2</v>
      </c>
      <c r="AF54" t="n">
        <v>3930.7</v>
      </c>
    </row>
    <row r="55">
      <c r="A55" t="s">
        <v>34</v>
      </c>
      <c r="B55" t="s">
        <v>267</v>
      </c>
      <c r="C55" t="s">
        <v>131</v>
      </c>
      <c r="D55" t="s">
        <v>268</v>
      </c>
      <c r="E55" t="s">
        <v>132</v>
      </c>
      <c r="F55" t="n">
        <v>959.651167544808</v>
      </c>
      <c r="G55" t="n">
        <v>1001.77367728694</v>
      </c>
      <c r="H55" t="n">
        <v>1187.04170945378</v>
      </c>
      <c r="I55" t="n">
        <v>1075.22597016931</v>
      </c>
      <c r="J55" t="n">
        <v>1178.00659150012</v>
      </c>
      <c r="K55" t="n">
        <v>1299.42025232164</v>
      </c>
      <c r="L55" t="n">
        <v>1373.92326847499</v>
      </c>
      <c r="M55" t="n">
        <v>1472.08735611099</v>
      </c>
      <c r="N55" t="n">
        <v>1481.5678209849</v>
      </c>
      <c r="O55" t="n">
        <v>1622.2590236583</v>
      </c>
      <c r="P55" t="n">
        <v>1651.86918836196</v>
      </c>
      <c r="Q55" t="n">
        <v>1727.63442293576</v>
      </c>
      <c r="R55" t="n">
        <v>1706.92916201079</v>
      </c>
      <c r="S55" t="n">
        <v>1632.26232433005</v>
      </c>
      <c r="T55" t="n">
        <v>1606.94789865796</v>
      </c>
      <c r="U55" t="n">
        <v>1487.31382694243</v>
      </c>
      <c r="V55" t="n">
        <v>1524.3808382058</v>
      </c>
      <c r="W55" t="n">
        <v>1495.20608532148</v>
      </c>
      <c r="X55" t="n">
        <v>1466.47853423332</v>
      </c>
      <c r="Y55" t="n">
        <v>1475.31591115244</v>
      </c>
      <c r="Z55" t="n">
        <v>1647.97350958072</v>
      </c>
      <c r="AA55" t="n">
        <v>1590.03999903014</v>
      </c>
      <c r="AB55" t="n">
        <v>1816.14228486972</v>
      </c>
      <c r="AC55" t="n">
        <v>1843.09742616777</v>
      </c>
      <c r="AD55" t="n">
        <v>1913.26299924642</v>
      </c>
      <c r="AE55" t="n">
        <v>1501.5</v>
      </c>
      <c r="AF55" t="n">
        <v>1603.1</v>
      </c>
    </row>
    <row r="56">
      <c r="A56" t="s">
        <v>34</v>
      </c>
      <c r="B56" t="s">
        <v>269</v>
      </c>
      <c r="C56" t="s">
        <v>131</v>
      </c>
      <c r="D56" t="s">
        <v>270</v>
      </c>
      <c r="E56" t="s">
        <v>132</v>
      </c>
      <c r="F56" t="n">
        <v>140.422580402085</v>
      </c>
      <c r="G56" t="n">
        <v>134.8345187943</v>
      </c>
      <c r="H56" t="n">
        <v>176.089856634347</v>
      </c>
      <c r="I56" t="n">
        <v>168.318754980061</v>
      </c>
      <c r="J56" t="n">
        <v>173.837402684325</v>
      </c>
      <c r="K56" t="n">
        <v>131.958392037647</v>
      </c>
      <c r="L56" t="n">
        <v>136.687536723389</v>
      </c>
      <c r="M56" t="n">
        <v>134.320652970603</v>
      </c>
      <c r="N56" t="n">
        <v>148.527645111725</v>
      </c>
      <c r="O56" t="n">
        <v>143.931298888108</v>
      </c>
      <c r="P56" t="n">
        <v>182.667426821055</v>
      </c>
      <c r="Q56" t="n">
        <v>244.695866975121</v>
      </c>
      <c r="R56" t="n">
        <v>296.033284701908</v>
      </c>
      <c r="S56" t="n">
        <v>276.49809332564</v>
      </c>
      <c r="T56" t="n">
        <v>227.560377692783</v>
      </c>
      <c r="U56" t="n">
        <v>41.6123992646155</v>
      </c>
      <c r="V56" t="n">
        <v>65.8664834074199</v>
      </c>
      <c r="W56" t="n">
        <v>76.4521682407553</v>
      </c>
      <c r="X56" t="n">
        <v>67.1406862114325</v>
      </c>
      <c r="Y56" t="n">
        <v>73.930193805847</v>
      </c>
      <c r="Z56" t="n">
        <v>72.0911342584379</v>
      </c>
      <c r="AA56" t="n">
        <v>81.7750179647953</v>
      </c>
      <c r="AB56" t="n">
        <v>180.698292193249</v>
      </c>
      <c r="AC56" t="n">
        <v>199.881637429141</v>
      </c>
      <c r="AD56" t="n">
        <v>198.471728971963</v>
      </c>
      <c r="AE56" t="n">
        <v>179.4</v>
      </c>
      <c r="AF56" t="n">
        <v>201.3</v>
      </c>
    </row>
    <row r="57">
      <c r="A57" t="s">
        <v>34</v>
      </c>
      <c r="B57" t="s">
        <v>271</v>
      </c>
      <c r="C57" t="s">
        <v>131</v>
      </c>
      <c r="D57" t="s">
        <v>272</v>
      </c>
      <c r="E57" t="s">
        <v>132</v>
      </c>
      <c r="F57" t="n">
        <v>100728.476199647</v>
      </c>
      <c r="G57" t="n">
        <v>106778.197828275</v>
      </c>
      <c r="H57" t="n">
        <v>117947.985483293</v>
      </c>
      <c r="I57" t="n">
        <v>128458.523018271</v>
      </c>
      <c r="J57" t="n">
        <v>139216.825665168</v>
      </c>
      <c r="K57" t="n">
        <v>150579.873297901</v>
      </c>
      <c r="L57" t="n">
        <v>156317.133114503</v>
      </c>
      <c r="M57" t="n">
        <v>165840.799586181</v>
      </c>
      <c r="N57" t="n">
        <v>167991.831409066</v>
      </c>
      <c r="O57" t="n">
        <v>176725.826055125</v>
      </c>
      <c r="P57" t="n">
        <v>187491.080111908</v>
      </c>
      <c r="Q57" t="n">
        <v>196097.94546515</v>
      </c>
      <c r="R57" t="n">
        <v>211430.735918965</v>
      </c>
      <c r="S57" t="n">
        <v>206684.395726343</v>
      </c>
      <c r="T57" t="n">
        <v>193510.959066025</v>
      </c>
      <c r="U57" t="n">
        <v>196990.924198065</v>
      </c>
      <c r="V57" t="n">
        <v>201726.894132525</v>
      </c>
      <c r="W57" t="n">
        <v>196101.228308459</v>
      </c>
      <c r="X57" t="n">
        <v>200381.320743884</v>
      </c>
      <c r="Y57" t="n">
        <v>217677.79579692</v>
      </c>
      <c r="Z57" t="n">
        <v>266656.235254931</v>
      </c>
      <c r="AA57" t="n">
        <v>269274.172784271</v>
      </c>
      <c r="AB57" t="n">
        <v>290060.878876528</v>
      </c>
      <c r="AC57" t="n">
        <v>316843.218760461</v>
      </c>
      <c r="AD57" t="n">
        <v>333805.579877515</v>
      </c>
      <c r="AE57" t="n">
        <v>360059.2</v>
      </c>
      <c r="AF57" t="n">
        <v>418842.3</v>
      </c>
    </row>
    <row r="58">
      <c r="A58" t="s">
        <v>34</v>
      </c>
      <c r="B58" t="s">
        <v>273</v>
      </c>
      <c r="C58" t="s">
        <v>131</v>
      </c>
      <c r="D58" t="s">
        <v>274</v>
      </c>
      <c r="E58" t="s">
        <v>132</v>
      </c>
      <c r="F58" t="n">
        <v>100576.801799318</v>
      </c>
      <c r="G58" t="n">
        <v>106633.259682682</v>
      </c>
      <c r="H58" t="n">
        <v>117755.578875722</v>
      </c>
      <c r="I58" t="n">
        <v>128276.036515744</v>
      </c>
      <c r="J58" t="n">
        <v>139028.387219524</v>
      </c>
      <c r="K58" t="n">
        <v>150435.79799996</v>
      </c>
      <c r="L58" t="n">
        <v>156167.873113616</v>
      </c>
      <c r="M58" t="n">
        <v>165692.830374976</v>
      </c>
      <c r="N58" t="n">
        <v>167830.000493063</v>
      </c>
      <c r="O58" t="n">
        <v>176567.797043548</v>
      </c>
      <c r="P58" t="n">
        <v>187292.983481791</v>
      </c>
      <c r="Q58" t="n">
        <v>195837.623550623</v>
      </c>
      <c r="R58" t="n">
        <v>211118.964931336</v>
      </c>
      <c r="S58" t="n">
        <v>206392.053262332</v>
      </c>
      <c r="T58" t="n">
        <v>193268.861979935</v>
      </c>
      <c r="U58" t="n">
        <v>196947.520526735</v>
      </c>
      <c r="V58" t="n">
        <v>201657.152859943</v>
      </c>
      <c r="W58" t="n">
        <v>196019.970895422</v>
      </c>
      <c r="X58" t="n">
        <v>200309.174276741</v>
      </c>
      <c r="Y58" t="n">
        <v>217598.48493291</v>
      </c>
      <c r="Z58" t="n">
        <v>266576.696439946</v>
      </c>
      <c r="AA58" t="n">
        <v>269185.992012073</v>
      </c>
      <c r="AB58" t="n">
        <v>289882.736744141</v>
      </c>
      <c r="AC58" t="n">
        <v>316646.335232062</v>
      </c>
      <c r="AD58" t="n">
        <v>333609.396943134</v>
      </c>
      <c r="AE58" t="n">
        <v>359879.8</v>
      </c>
      <c r="AF58" t="n">
        <v>418641</v>
      </c>
    </row>
    <row r="59">
      <c r="A59" t="s">
        <v>34</v>
      </c>
      <c r="B59" t="s">
        <v>275</v>
      </c>
      <c r="C59" t="s">
        <v>131</v>
      </c>
      <c r="D59" t="s">
        <v>276</v>
      </c>
      <c r="E59" t="s">
        <v>132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36</v>
      </c>
      <c r="B2" t="s">
        <v>84</v>
      </c>
      <c r="C2" t="s">
        <v>131</v>
      </c>
      <c r="D2" t="s">
        <v>86</v>
      </c>
      <c r="E2" t="s">
        <v>132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9662.3</v>
      </c>
      <c r="AF2"/>
    </row>
    <row r="3">
      <c r="A3" t="s">
        <v>36</v>
      </c>
      <c r="B3" t="s">
        <v>163</v>
      </c>
      <c r="C3" t="s">
        <v>131</v>
      </c>
      <c r="D3" t="s">
        <v>164</v>
      </c>
      <c r="E3" t="s">
        <v>132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 t="n">
        <v>773.1</v>
      </c>
      <c r="AF3"/>
    </row>
    <row r="4">
      <c r="A4" t="s">
        <v>36</v>
      </c>
      <c r="B4" t="s">
        <v>165</v>
      </c>
      <c r="C4" t="s">
        <v>131</v>
      </c>
      <c r="D4" t="s">
        <v>166</v>
      </c>
      <c r="E4" t="s">
        <v>132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e">
        <v>#NUM!</v>
      </c>
      <c r="T4" t="e">
        <v>#NUM!</v>
      </c>
      <c r="U4" t="e">
        <v>#NUM!</v>
      </c>
      <c r="V4" t="e">
        <v>#NUM!</v>
      </c>
      <c r="W4" t="e">
        <v>#NUM!</v>
      </c>
      <c r="X4" t="e">
        <v>#NUM!</v>
      </c>
      <c r="Y4" t="e">
        <v>#NUM!</v>
      </c>
      <c r="Z4" t="e">
        <v>#NUM!</v>
      </c>
      <c r="AA4" t="e">
        <v>#NUM!</v>
      </c>
      <c r="AB4" t="e">
        <v>#NUM!</v>
      </c>
      <c r="AC4" t="e">
        <v>#NUM!</v>
      </c>
      <c r="AD4" t="e">
        <v>#NUM!</v>
      </c>
      <c r="AE4" t="n">
        <v>245542.3</v>
      </c>
      <c r="AF4" t="n">
        <v>0</v>
      </c>
    </row>
    <row r="5">
      <c r="A5" t="s">
        <v>36</v>
      </c>
      <c r="B5" t="s">
        <v>167</v>
      </c>
      <c r="C5" t="s">
        <v>131</v>
      </c>
      <c r="D5" t="s">
        <v>168</v>
      </c>
      <c r="E5" t="s">
        <v>132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n">
        <v>23947.5</v>
      </c>
      <c r="AF5"/>
    </row>
    <row r="6">
      <c r="A6" t="s">
        <v>36</v>
      </c>
      <c r="B6" t="s">
        <v>169</v>
      </c>
      <c r="C6" t="s">
        <v>131</v>
      </c>
      <c r="D6" t="s">
        <v>170</v>
      </c>
      <c r="E6" t="s">
        <v>132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 t="n">
        <v>298.4</v>
      </c>
      <c r="AF6"/>
    </row>
    <row r="7">
      <c r="A7" t="s">
        <v>36</v>
      </c>
      <c r="B7" t="s">
        <v>171</v>
      </c>
      <c r="C7" t="s">
        <v>131</v>
      </c>
      <c r="D7" t="s">
        <v>172</v>
      </c>
      <c r="E7" t="s">
        <v>132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2185.1</v>
      </c>
      <c r="AF7"/>
    </row>
    <row r="8">
      <c r="A8" t="s">
        <v>36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177</v>
      </c>
      <c r="C10" t="s">
        <v>131</v>
      </c>
      <c r="D10" t="s">
        <v>178</v>
      </c>
      <c r="E10" t="s">
        <v>132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n">
        <v>0</v>
      </c>
      <c r="AF10" t="e">
        <v>#NUM!</v>
      </c>
    </row>
    <row r="11">
      <c r="A11" t="s">
        <v>36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181</v>
      </c>
      <c r="C12" t="s">
        <v>131</v>
      </c>
      <c r="D12" t="s">
        <v>182</v>
      </c>
      <c r="E12" t="s">
        <v>132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 t="n">
        <v>4014.3</v>
      </c>
      <c r="AF12"/>
    </row>
    <row r="13">
      <c r="A13" t="s">
        <v>36</v>
      </c>
      <c r="B13" t="s">
        <v>183</v>
      </c>
      <c r="C13" t="s">
        <v>131</v>
      </c>
      <c r="D13" t="s">
        <v>184</v>
      </c>
      <c r="E13" t="s">
        <v>132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n">
        <v>3855.9</v>
      </c>
      <c r="AF13"/>
    </row>
    <row r="14">
      <c r="A14" t="s">
        <v>36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187</v>
      </c>
      <c r="C15" t="s">
        <v>131</v>
      </c>
      <c r="D15" t="s">
        <v>188</v>
      </c>
      <c r="E15" t="s">
        <v>132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e">
        <v>#NUM!</v>
      </c>
      <c r="AE15" t="n">
        <v>1013.6</v>
      </c>
      <c r="AF15" t="n">
        <v>0</v>
      </c>
    </row>
    <row r="16">
      <c r="A16" t="s">
        <v>36</v>
      </c>
      <c r="B16" t="s">
        <v>189</v>
      </c>
      <c r="C16" t="s">
        <v>131</v>
      </c>
      <c r="D16" t="s">
        <v>190</v>
      </c>
      <c r="E16" t="s">
        <v>132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>
        <v>1013.6</v>
      </c>
      <c r="AF16"/>
    </row>
    <row r="17">
      <c r="A17" t="s">
        <v>36</v>
      </c>
      <c r="B17" t="s">
        <v>191</v>
      </c>
      <c r="C17" t="s">
        <v>131</v>
      </c>
      <c r="D17" t="s">
        <v>192</v>
      </c>
      <c r="E17" t="s">
        <v>132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3068.9</v>
      </c>
      <c r="AF17"/>
    </row>
    <row r="18">
      <c r="A18" t="s">
        <v>36</v>
      </c>
      <c r="B18" t="s">
        <v>193</v>
      </c>
      <c r="C18" t="s">
        <v>131</v>
      </c>
      <c r="D18" t="s">
        <v>194</v>
      </c>
      <c r="E18" t="s">
        <v>132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1065.2</v>
      </c>
      <c r="AF18"/>
    </row>
    <row r="19">
      <c r="A19" t="s">
        <v>36</v>
      </c>
      <c r="B19" t="s">
        <v>195</v>
      </c>
      <c r="C19" t="s">
        <v>131</v>
      </c>
      <c r="D19" t="s">
        <v>196</v>
      </c>
      <c r="E19" t="s">
        <v>132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 t="n">
        <v>20870.1</v>
      </c>
      <c r="AF19"/>
    </row>
    <row r="20">
      <c r="A20" t="s">
        <v>36</v>
      </c>
      <c r="B20" t="s">
        <v>197</v>
      </c>
      <c r="C20" t="s">
        <v>131</v>
      </c>
      <c r="D20" t="s">
        <v>198</v>
      </c>
      <c r="E20" t="s">
        <v>132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n">
        <v>8094.2</v>
      </c>
      <c r="AF20"/>
    </row>
    <row r="21">
      <c r="A21" t="s">
        <v>36</v>
      </c>
      <c r="B21" t="s">
        <v>199</v>
      </c>
      <c r="C21" t="s">
        <v>131</v>
      </c>
      <c r="D21" t="s">
        <v>200</v>
      </c>
      <c r="E21" t="s">
        <v>132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e">
        <v>#NUM!</v>
      </c>
      <c r="AE21" t="n">
        <v>10713.3</v>
      </c>
      <c r="AF21" t="n">
        <v>0</v>
      </c>
    </row>
    <row r="22">
      <c r="A22" t="s">
        <v>36</v>
      </c>
      <c r="B22" t="s">
        <v>201</v>
      </c>
      <c r="C22" t="s">
        <v>131</v>
      </c>
      <c r="D22" t="s">
        <v>202</v>
      </c>
      <c r="E22" t="s">
        <v>132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 t="n">
        <v>2619.1</v>
      </c>
      <c r="AF22"/>
    </row>
    <row r="23">
      <c r="A23" t="s">
        <v>36</v>
      </c>
      <c r="B23" t="s">
        <v>203</v>
      </c>
      <c r="C23" t="s">
        <v>131</v>
      </c>
      <c r="D23" t="s">
        <v>204</v>
      </c>
      <c r="E23" t="s">
        <v>132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n">
        <v>28008.1</v>
      </c>
      <c r="AF23"/>
    </row>
    <row r="24">
      <c r="A24" t="s">
        <v>36</v>
      </c>
      <c r="B24" t="s">
        <v>205</v>
      </c>
      <c r="C24" t="s">
        <v>131</v>
      </c>
      <c r="D24" t="s">
        <v>206</v>
      </c>
      <c r="E24" t="s">
        <v>132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n">
        <v>45858.2</v>
      </c>
      <c r="AF24" t="n">
        <v>0</v>
      </c>
    </row>
    <row r="25">
      <c r="A25" t="s">
        <v>36</v>
      </c>
      <c r="B25" t="s">
        <v>207</v>
      </c>
      <c r="C25" t="s">
        <v>131</v>
      </c>
      <c r="D25" t="s">
        <v>208</v>
      </c>
      <c r="E25" t="s">
        <v>132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 t="n">
        <v>2445.3</v>
      </c>
      <c r="AF25"/>
    </row>
    <row r="26">
      <c r="A26" t="s">
        <v>36</v>
      </c>
      <c r="B26" t="s">
        <v>209</v>
      </c>
      <c r="C26" t="s">
        <v>131</v>
      </c>
      <c r="D26" t="s">
        <v>210</v>
      </c>
      <c r="E26" t="s">
        <v>132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 t="n">
        <v>28185.5</v>
      </c>
      <c r="AF26"/>
    </row>
    <row r="27">
      <c r="A27" t="s">
        <v>36</v>
      </c>
      <c r="B27" t="s">
        <v>211</v>
      </c>
      <c r="C27" t="s">
        <v>131</v>
      </c>
      <c r="D27" t="s">
        <v>212</v>
      </c>
      <c r="E27" t="s">
        <v>132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 t="n">
        <v>15227.4</v>
      </c>
      <c r="AF27"/>
    </row>
    <row r="28">
      <c r="A28" t="s">
        <v>36</v>
      </c>
      <c r="B28" t="s">
        <v>213</v>
      </c>
      <c r="C28" t="s">
        <v>131</v>
      </c>
      <c r="D28" t="s">
        <v>214</v>
      </c>
      <c r="E28" t="s">
        <v>132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e">
        <v>#NUM!</v>
      </c>
      <c r="AD28" t="e">
        <v>#NUM!</v>
      </c>
      <c r="AE28" t="n">
        <v>12477</v>
      </c>
      <c r="AF28" t="n">
        <v>0</v>
      </c>
    </row>
    <row r="29">
      <c r="A29" t="s">
        <v>36</v>
      </c>
      <c r="B29" t="s">
        <v>215</v>
      </c>
      <c r="C29" t="s">
        <v>131</v>
      </c>
      <c r="D29" t="s">
        <v>216</v>
      </c>
      <c r="E29" t="s">
        <v>132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 t="n">
        <v>5073.3</v>
      </c>
      <c r="AF29"/>
    </row>
    <row r="30">
      <c r="A30" t="s">
        <v>36</v>
      </c>
      <c r="B30" t="s">
        <v>217</v>
      </c>
      <c r="C30" t="s">
        <v>131</v>
      </c>
      <c r="D30" t="s">
        <v>218</v>
      </c>
      <c r="E30" t="s">
        <v>132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 t="n">
        <v>554.8</v>
      </c>
      <c r="AF30"/>
    </row>
    <row r="31">
      <c r="A31" t="s">
        <v>36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223</v>
      </c>
      <c r="C33" t="s">
        <v>131</v>
      </c>
      <c r="D33" t="s">
        <v>224</v>
      </c>
      <c r="E33" t="s">
        <v>132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 t="n">
        <v>1791.8</v>
      </c>
      <c r="AF33"/>
    </row>
    <row r="34">
      <c r="A34" t="s">
        <v>36</v>
      </c>
      <c r="B34" t="s">
        <v>225</v>
      </c>
      <c r="C34" t="s">
        <v>131</v>
      </c>
      <c r="D34" t="s">
        <v>226</v>
      </c>
      <c r="E34" t="s">
        <v>132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4691</v>
      </c>
      <c r="AF34"/>
    </row>
    <row r="35">
      <c r="A35" t="s">
        <v>36</v>
      </c>
      <c r="B35" t="s">
        <v>227</v>
      </c>
      <c r="C35" t="s">
        <v>131</v>
      </c>
      <c r="D35" t="s">
        <v>228</v>
      </c>
      <c r="E35" t="s">
        <v>132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e">
        <v>#NUM!</v>
      </c>
      <c r="T35" t="e">
        <v>#NUM!</v>
      </c>
      <c r="U35" t="e">
        <v>#NUM!</v>
      </c>
      <c r="V35" t="e">
        <v>#NUM!</v>
      </c>
      <c r="W35" t="e">
        <v>#NUM!</v>
      </c>
      <c r="X35" t="e">
        <v>#NUM!</v>
      </c>
      <c r="Y35" t="e">
        <v>#NUM!</v>
      </c>
      <c r="Z35" t="e">
        <v>#NUM!</v>
      </c>
      <c r="AA35" t="e">
        <v>#NUM!</v>
      </c>
      <c r="AB35" t="e">
        <v>#NUM!</v>
      </c>
      <c r="AC35" t="e">
        <v>#NUM!</v>
      </c>
      <c r="AD35" t="e">
        <v>#NUM!</v>
      </c>
      <c r="AE35" t="n">
        <v>157718.2</v>
      </c>
      <c r="AF35" t="n">
        <v>0</v>
      </c>
    </row>
    <row r="36">
      <c r="A36" t="s">
        <v>36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231</v>
      </c>
      <c r="C37" t="s">
        <v>131</v>
      </c>
      <c r="D37" t="s">
        <v>232</v>
      </c>
      <c r="E37" t="s">
        <v>132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5529.3</v>
      </c>
      <c r="AF37"/>
    </row>
    <row r="38">
      <c r="A38" t="s">
        <v>36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235</v>
      </c>
      <c r="C39" t="s">
        <v>131</v>
      </c>
      <c r="D39" t="s">
        <v>236</v>
      </c>
      <c r="E39" t="s">
        <v>132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 t="n">
        <v>43285.1</v>
      </c>
      <c r="AF39"/>
    </row>
    <row r="40">
      <c r="A40" t="s">
        <v>36</v>
      </c>
      <c r="B40" t="s">
        <v>237</v>
      </c>
      <c r="C40" t="s">
        <v>131</v>
      </c>
      <c r="D40" t="s">
        <v>238</v>
      </c>
      <c r="E40" t="s">
        <v>132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 t="n">
        <v>25014.6</v>
      </c>
      <c r="AF40"/>
    </row>
    <row r="41">
      <c r="A41" t="s">
        <v>36</v>
      </c>
      <c r="B41" t="s">
        <v>239</v>
      </c>
      <c r="C41" t="s">
        <v>131</v>
      </c>
      <c r="D41" t="s">
        <v>240</v>
      </c>
      <c r="E41" t="s">
        <v>132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 t="n">
        <v>16402.1</v>
      </c>
      <c r="AF41"/>
    </row>
    <row r="42">
      <c r="A42" t="s">
        <v>36</v>
      </c>
      <c r="B42" t="s">
        <v>241</v>
      </c>
      <c r="C42" t="s">
        <v>131</v>
      </c>
      <c r="D42" t="s">
        <v>242</v>
      </c>
      <c r="E42" t="s">
        <v>132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 t="n">
        <v>32269.3</v>
      </c>
      <c r="AF42"/>
    </row>
    <row r="43">
      <c r="A43" t="s">
        <v>36</v>
      </c>
      <c r="B43" t="s">
        <v>243</v>
      </c>
      <c r="C43" t="s">
        <v>131</v>
      </c>
      <c r="D43" t="s">
        <v>244</v>
      </c>
      <c r="E43" t="s">
        <v>132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e">
        <v>#NUM!</v>
      </c>
      <c r="AA43" t="e">
        <v>#NUM!</v>
      </c>
      <c r="AB43" t="e">
        <v>#NUM!</v>
      </c>
      <c r="AC43" t="e">
        <v>#NUM!</v>
      </c>
      <c r="AD43" t="e">
        <v>#NUM!</v>
      </c>
      <c r="AE43" t="n">
        <v>62762</v>
      </c>
      <c r="AF43" t="n">
        <v>0</v>
      </c>
    </row>
    <row r="44">
      <c r="A44" t="s">
        <v>36</v>
      </c>
      <c r="B44" t="s">
        <v>245</v>
      </c>
      <c r="C44" t="s">
        <v>131</v>
      </c>
      <c r="D44" t="s">
        <v>246</v>
      </c>
      <c r="E44" t="s">
        <v>132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e">
        <v>#NUM!</v>
      </c>
      <c r="P44" t="e">
        <v>#NUM!</v>
      </c>
      <c r="Q44" t="e">
        <v>#NUM!</v>
      </c>
      <c r="R44" t="e">
        <v>#NUM!</v>
      </c>
      <c r="S44" t="e">
        <v>#NUM!</v>
      </c>
      <c r="T44" t="e">
        <v>#NUM!</v>
      </c>
      <c r="U44" t="e">
        <v>#NUM!</v>
      </c>
      <c r="V44" t="e">
        <v>#NUM!</v>
      </c>
      <c r="W44" t="e">
        <v>#NUM!</v>
      </c>
      <c r="X44" t="e">
        <v>#NUM!</v>
      </c>
      <c r="Y44" t="e">
        <v>#NUM!</v>
      </c>
      <c r="Z44" t="e">
        <v>#NUM!</v>
      </c>
      <c r="AA44" t="e">
        <v>#NUM!</v>
      </c>
      <c r="AB44" t="e">
        <v>#NUM!</v>
      </c>
      <c r="AC44" t="e">
        <v>#NUM!</v>
      </c>
      <c r="AD44" t="e">
        <v>#NUM!</v>
      </c>
      <c r="AE44" t="n">
        <v>629385.1</v>
      </c>
      <c r="AF44" t="n">
        <v>0</v>
      </c>
    </row>
    <row r="45">
      <c r="A45" t="s">
        <v>36</v>
      </c>
      <c r="B45" t="s">
        <v>247</v>
      </c>
      <c r="C45" t="s">
        <v>131</v>
      </c>
      <c r="D45" t="s">
        <v>248</v>
      </c>
      <c r="E45" t="s">
        <v>132</v>
      </c>
      <c r="F45" t="e">
        <v>#NUM!</v>
      </c>
      <c r="G45" t="e">
        <v>#NUM!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e">
        <v>#NUM!</v>
      </c>
      <c r="P45" t="e">
        <v>#NUM!</v>
      </c>
      <c r="Q45" t="e">
        <v>#NUM!</v>
      </c>
      <c r="R45" t="e">
        <v>#NUM!</v>
      </c>
      <c r="S45" t="e">
        <v>#NUM!</v>
      </c>
      <c r="T45" t="e">
        <v>#NUM!</v>
      </c>
      <c r="U45" t="e">
        <v>#NUM!</v>
      </c>
      <c r="V45" t="e">
        <v>#NUM!</v>
      </c>
      <c r="W45" t="e">
        <v>#NUM!</v>
      </c>
      <c r="X45" t="e">
        <v>#NUM!</v>
      </c>
      <c r="Y45" t="e">
        <v>#NUM!</v>
      </c>
      <c r="Z45" t="e">
        <v>#NUM!</v>
      </c>
      <c r="AA45" t="e">
        <v>#NUM!</v>
      </c>
      <c r="AB45" t="e">
        <v>#NUM!</v>
      </c>
      <c r="AC45" t="e">
        <v>#NUM!</v>
      </c>
      <c r="AD45" t="e">
        <v>#NUM!</v>
      </c>
      <c r="AE45" t="n">
        <v>619722.8</v>
      </c>
      <c r="AF45" t="n">
        <v>0</v>
      </c>
    </row>
    <row r="46">
      <c r="A46" t="s">
        <v>36</v>
      </c>
      <c r="B46" t="s">
        <v>249</v>
      </c>
      <c r="C46" t="s">
        <v>131</v>
      </c>
      <c r="D46" t="s">
        <v>250</v>
      </c>
      <c r="E46" t="s">
        <v>132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t="n">
        <v>30492.7</v>
      </c>
      <c r="AF46"/>
    </row>
    <row r="47">
      <c r="A47" t="s">
        <v>36</v>
      </c>
      <c r="B47" t="s">
        <v>251</v>
      </c>
      <c r="C47" t="s">
        <v>131</v>
      </c>
      <c r="D47" t="s">
        <v>252</v>
      </c>
      <c r="E47" t="s">
        <v>132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15994.7</v>
      </c>
      <c r="AF47"/>
    </row>
    <row r="48">
      <c r="A48" t="s">
        <v>36</v>
      </c>
      <c r="B48" t="s">
        <v>253</v>
      </c>
      <c r="C48" t="s">
        <v>131</v>
      </c>
      <c r="D48" t="s">
        <v>254</v>
      </c>
      <c r="E48" t="s">
        <v>132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e">
        <v>#NUM!</v>
      </c>
      <c r="W48" t="e">
        <v>#NUM!</v>
      </c>
      <c r="X48" t="e">
        <v>#NUM!</v>
      </c>
      <c r="Y48" t="e">
        <v>#NUM!</v>
      </c>
      <c r="Z48" t="e">
        <v>#NUM!</v>
      </c>
      <c r="AA48" t="e">
        <v>#NUM!</v>
      </c>
      <c r="AB48" t="e">
        <v>#NUM!</v>
      </c>
      <c r="AC48" t="e">
        <v>#NUM!</v>
      </c>
      <c r="AD48" t="e">
        <v>#NUM!</v>
      </c>
      <c r="AE48" t="n">
        <v>54181.3</v>
      </c>
      <c r="AF48" t="n">
        <v>0</v>
      </c>
    </row>
    <row r="49">
      <c r="A49" t="s">
        <v>36</v>
      </c>
      <c r="B49" t="s">
        <v>255</v>
      </c>
      <c r="C49" t="s">
        <v>131</v>
      </c>
      <c r="D49" t="s">
        <v>256</v>
      </c>
      <c r="E49" t="s">
        <v>132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 t="n">
        <v>11798.8</v>
      </c>
      <c r="AF49"/>
    </row>
    <row r="50">
      <c r="A50" t="s">
        <v>36</v>
      </c>
      <c r="B50" t="s">
        <v>257</v>
      </c>
      <c r="C50" t="s">
        <v>131</v>
      </c>
      <c r="D50" t="s">
        <v>258</v>
      </c>
      <c r="E50" t="s">
        <v>132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e">
        <v>#NUM!</v>
      </c>
      <c r="AC50" t="e">
        <v>#NUM!</v>
      </c>
      <c r="AD50" t="e">
        <v>#NUM!</v>
      </c>
      <c r="AE50" t="n">
        <v>26387.7</v>
      </c>
      <c r="AF50" t="n">
        <v>0</v>
      </c>
    </row>
    <row r="51">
      <c r="A51" t="s">
        <v>36</v>
      </c>
      <c r="B51" t="s">
        <v>259</v>
      </c>
      <c r="C51" t="s">
        <v>131</v>
      </c>
      <c r="D51" t="s">
        <v>260</v>
      </c>
      <c r="E51" t="s">
        <v>132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 t="n">
        <v>19261.1</v>
      </c>
      <c r="AF51"/>
    </row>
    <row r="52">
      <c r="A52" t="s">
        <v>36</v>
      </c>
      <c r="B52" t="s">
        <v>261</v>
      </c>
      <c r="C52" t="s">
        <v>131</v>
      </c>
      <c r="D52" t="s">
        <v>262</v>
      </c>
      <c r="E52" t="s">
        <v>132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7126.6</v>
      </c>
      <c r="AF52"/>
    </row>
    <row r="53">
      <c r="A53" t="s">
        <v>36</v>
      </c>
      <c r="B53" t="s">
        <v>263</v>
      </c>
      <c r="C53" t="s">
        <v>131</v>
      </c>
      <c r="D53" t="s">
        <v>264</v>
      </c>
      <c r="E53" t="s">
        <v>132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t="n">
        <v>3555.6</v>
      </c>
      <c r="AF53"/>
    </row>
    <row r="54">
      <c r="A54" t="s">
        <v>36</v>
      </c>
      <c r="B54" t="s">
        <v>265</v>
      </c>
      <c r="C54" t="s">
        <v>131</v>
      </c>
      <c r="D54" t="s">
        <v>266</v>
      </c>
      <c r="E54" t="s">
        <v>132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n">
        <v>7894.5</v>
      </c>
      <c r="AF54" t="n">
        <v>0</v>
      </c>
    </row>
    <row r="55">
      <c r="A55" t="s">
        <v>36</v>
      </c>
      <c r="B55" t="s">
        <v>267</v>
      </c>
      <c r="C55" t="s">
        <v>131</v>
      </c>
      <c r="D55" t="s">
        <v>268</v>
      </c>
      <c r="E55" t="s">
        <v>132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t="n">
        <v>4338.9</v>
      </c>
      <c r="AF55"/>
    </row>
    <row r="56">
      <c r="A56" t="s">
        <v>36</v>
      </c>
      <c r="B56" t="s">
        <v>269</v>
      </c>
      <c r="C56" t="s">
        <v>131</v>
      </c>
      <c r="D56" t="s">
        <v>270</v>
      </c>
      <c r="E56" t="s">
        <v>132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179.4</v>
      </c>
      <c r="AF56"/>
    </row>
    <row r="57">
      <c r="A57" t="s">
        <v>36</v>
      </c>
      <c r="B57" t="s">
        <v>271</v>
      </c>
      <c r="C57" t="s">
        <v>131</v>
      </c>
      <c r="D57" t="s">
        <v>272</v>
      </c>
      <c r="E57" t="s">
        <v>132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e">
        <v>#NUM!</v>
      </c>
      <c r="P57" t="e">
        <v>#NUM!</v>
      </c>
      <c r="Q57" t="e">
        <v>#NUM!</v>
      </c>
      <c r="R57" t="e">
        <v>#NUM!</v>
      </c>
      <c r="S57" t="e">
        <v>#NUM!</v>
      </c>
      <c r="T57" t="e">
        <v>#NUM!</v>
      </c>
      <c r="U57" t="e">
        <v>#NUM!</v>
      </c>
      <c r="V57" t="e">
        <v>#NUM!</v>
      </c>
      <c r="W57" t="e">
        <v>#NUM!</v>
      </c>
      <c r="X57" t="e">
        <v>#NUM!</v>
      </c>
      <c r="Y57" t="e">
        <v>#NUM!</v>
      </c>
      <c r="Z57" t="e">
        <v>#NUM!</v>
      </c>
      <c r="AA57" t="e">
        <v>#NUM!</v>
      </c>
      <c r="AB57" t="e">
        <v>#NUM!</v>
      </c>
      <c r="AC57" t="e">
        <v>#NUM!</v>
      </c>
      <c r="AD57" t="e">
        <v>#NUM!</v>
      </c>
      <c r="AE57" t="n">
        <v>708760.3</v>
      </c>
      <c r="AF57" t="n">
        <v>0</v>
      </c>
    </row>
    <row r="58">
      <c r="A58" t="s">
        <v>36</v>
      </c>
      <c r="B58" t="s">
        <v>273</v>
      </c>
      <c r="C58" t="s">
        <v>131</v>
      </c>
      <c r="D58" t="s">
        <v>274</v>
      </c>
      <c r="E58" t="s">
        <v>132</v>
      </c>
      <c r="F58" t="e">
        <v>#NUM!</v>
      </c>
      <c r="G58" t="e">
        <v>#NUM!</v>
      </c>
      <c r="H58" t="e">
        <v>#NUM!</v>
      </c>
      <c r="I58" t="e">
        <v>#NUM!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e">
        <v>#NUM!</v>
      </c>
      <c r="P58" t="e">
        <v>#NUM!</v>
      </c>
      <c r="Q58" t="e">
        <v>#NUM!</v>
      </c>
      <c r="R58" t="e">
        <v>#NUM!</v>
      </c>
      <c r="S58" t="e">
        <v>#NUM!</v>
      </c>
      <c r="T58" t="e">
        <v>#NUM!</v>
      </c>
      <c r="U58" t="e">
        <v>#NUM!</v>
      </c>
      <c r="V58" t="e">
        <v>#NUM!</v>
      </c>
      <c r="W58" t="e">
        <v>#NUM!</v>
      </c>
      <c r="X58" t="e">
        <v>#NUM!</v>
      </c>
      <c r="Y58" t="e">
        <v>#NUM!</v>
      </c>
      <c r="Z58" t="e">
        <v>#NUM!</v>
      </c>
      <c r="AA58" t="e">
        <v>#NUM!</v>
      </c>
      <c r="AB58" t="e">
        <v>#NUM!</v>
      </c>
      <c r="AC58" t="e">
        <v>#NUM!</v>
      </c>
      <c r="AD58" t="e">
        <v>#NUM!</v>
      </c>
      <c r="AE58" t="n">
        <v>708580.9</v>
      </c>
      <c r="AF58" t="n">
        <v>0</v>
      </c>
    </row>
    <row r="59">
      <c r="A59" t="s">
        <v>36</v>
      </c>
      <c r="B59" t="s">
        <v>275</v>
      </c>
      <c r="C59" t="s">
        <v>131</v>
      </c>
      <c r="D59" t="s">
        <v>276</v>
      </c>
      <c r="E59" t="s">
        <v>132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38</v>
      </c>
      <c r="B2" t="s">
        <v>84</v>
      </c>
      <c r="C2" t="s">
        <v>131</v>
      </c>
      <c r="D2" t="s">
        <v>86</v>
      </c>
      <c r="E2" t="s">
        <v>132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6071.2</v>
      </c>
      <c r="AF2"/>
    </row>
    <row r="3">
      <c r="A3" t="s">
        <v>38</v>
      </c>
      <c r="B3" t="s">
        <v>163</v>
      </c>
      <c r="C3" t="s">
        <v>131</v>
      </c>
      <c r="D3" t="s">
        <v>164</v>
      </c>
      <c r="E3" t="s">
        <v>132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 t="n">
        <v>452.2</v>
      </c>
      <c r="AF3"/>
    </row>
    <row r="4">
      <c r="A4" t="s">
        <v>38</v>
      </c>
      <c r="B4" t="s">
        <v>165</v>
      </c>
      <c r="C4" t="s">
        <v>131</v>
      </c>
      <c r="D4" t="s">
        <v>166</v>
      </c>
      <c r="E4" t="s">
        <v>132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e">
        <v>#NUM!</v>
      </c>
      <c r="T4" t="e">
        <v>#NUM!</v>
      </c>
      <c r="U4" t="e">
        <v>#NUM!</v>
      </c>
      <c r="V4" t="e">
        <v>#NUM!</v>
      </c>
      <c r="W4" t="e">
        <v>#NUM!</v>
      </c>
      <c r="X4" t="e">
        <v>#NUM!</v>
      </c>
      <c r="Y4" t="e">
        <v>#NUM!</v>
      </c>
      <c r="Z4" t="e">
        <v>#NUM!</v>
      </c>
      <c r="AA4" t="e">
        <v>#NUM!</v>
      </c>
      <c r="AB4" t="e">
        <v>#NUM!</v>
      </c>
      <c r="AC4" t="e">
        <v>#NUM!</v>
      </c>
      <c r="AD4" t="e">
        <v>#NUM!</v>
      </c>
      <c r="AE4" t="n">
        <v>116294.5</v>
      </c>
      <c r="AF4" t="n">
        <v>0</v>
      </c>
    </row>
    <row r="5">
      <c r="A5" t="s">
        <v>38</v>
      </c>
      <c r="B5" t="s">
        <v>167</v>
      </c>
      <c r="C5" t="s">
        <v>131</v>
      </c>
      <c r="D5" t="s">
        <v>168</v>
      </c>
      <c r="E5" t="s">
        <v>132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n">
        <v>16184.8</v>
      </c>
      <c r="AF5"/>
    </row>
    <row r="6">
      <c r="A6" t="s">
        <v>38</v>
      </c>
      <c r="B6" t="s">
        <v>169</v>
      </c>
      <c r="C6" t="s">
        <v>131</v>
      </c>
      <c r="D6" t="s">
        <v>170</v>
      </c>
      <c r="E6" t="s">
        <v>132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 t="n">
        <v>147.4</v>
      </c>
      <c r="AF6"/>
    </row>
    <row r="7">
      <c r="A7" t="s">
        <v>38</v>
      </c>
      <c r="B7" t="s">
        <v>171</v>
      </c>
      <c r="C7" t="s">
        <v>131</v>
      </c>
      <c r="D7" t="s">
        <v>172</v>
      </c>
      <c r="E7" t="s">
        <v>132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1337.9</v>
      </c>
      <c r="AF7"/>
    </row>
    <row r="8">
      <c r="A8" t="s">
        <v>38</v>
      </c>
      <c r="B8" t="s">
        <v>173</v>
      </c>
      <c r="C8" t="s">
        <v>131</v>
      </c>
      <c r="D8" t="s">
        <v>174</v>
      </c>
      <c r="E8" t="s">
        <v>132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38</v>
      </c>
      <c r="B9" t="s">
        <v>175</v>
      </c>
      <c r="C9" t="s">
        <v>131</v>
      </c>
      <c r="D9" t="s">
        <v>176</v>
      </c>
      <c r="E9" t="s">
        <v>132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38</v>
      </c>
      <c r="B10" t="s">
        <v>177</v>
      </c>
      <c r="C10" t="s">
        <v>131</v>
      </c>
      <c r="D10" t="s">
        <v>178</v>
      </c>
      <c r="E10" t="s">
        <v>132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n">
        <v>0</v>
      </c>
      <c r="AF10" t="e">
        <v>#NUM!</v>
      </c>
    </row>
    <row r="11">
      <c r="A11" t="s">
        <v>38</v>
      </c>
      <c r="B11" t="s">
        <v>179</v>
      </c>
      <c r="C11" t="s">
        <v>131</v>
      </c>
      <c r="D11" t="s">
        <v>180</v>
      </c>
      <c r="E11" t="s">
        <v>132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38</v>
      </c>
      <c r="B12" t="s">
        <v>181</v>
      </c>
      <c r="C12" t="s">
        <v>131</v>
      </c>
      <c r="D12" t="s">
        <v>182</v>
      </c>
      <c r="E12" t="s">
        <v>132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 t="n">
        <v>2253.2</v>
      </c>
      <c r="AF12"/>
    </row>
    <row r="13">
      <c r="A13" t="s">
        <v>38</v>
      </c>
      <c r="B13" t="s">
        <v>183</v>
      </c>
      <c r="C13" t="s">
        <v>131</v>
      </c>
      <c r="D13" t="s">
        <v>184</v>
      </c>
      <c r="E13" t="s">
        <v>132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n">
        <v>2500.5</v>
      </c>
      <c r="AF13"/>
    </row>
    <row r="14">
      <c r="A14" t="s">
        <v>38</v>
      </c>
      <c r="B14" t="s">
        <v>185</v>
      </c>
      <c r="C14" t="s">
        <v>131</v>
      </c>
      <c r="D14" t="s">
        <v>186</v>
      </c>
      <c r="E14" t="s">
        <v>132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38</v>
      </c>
      <c r="B15" t="s">
        <v>187</v>
      </c>
      <c r="C15" t="s">
        <v>131</v>
      </c>
      <c r="D15" t="s">
        <v>188</v>
      </c>
      <c r="E15" t="s">
        <v>132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e">
        <v>#NUM!</v>
      </c>
      <c r="AE15" t="n">
        <v>546.8</v>
      </c>
      <c r="AF15" t="n">
        <v>0</v>
      </c>
    </row>
    <row r="16">
      <c r="A16" t="s">
        <v>38</v>
      </c>
      <c r="B16" t="s">
        <v>189</v>
      </c>
      <c r="C16" t="s">
        <v>131</v>
      </c>
      <c r="D16" t="s">
        <v>190</v>
      </c>
      <c r="E16" t="s">
        <v>132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>
        <v>546.8</v>
      </c>
      <c r="AF16"/>
    </row>
    <row r="17">
      <c r="A17" t="s">
        <v>38</v>
      </c>
      <c r="B17" t="s">
        <v>191</v>
      </c>
      <c r="C17" t="s">
        <v>131</v>
      </c>
      <c r="D17" t="s">
        <v>192</v>
      </c>
      <c r="E17" t="s">
        <v>132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1227.5</v>
      </c>
      <c r="AF17"/>
    </row>
    <row r="18">
      <c r="A18" t="s">
        <v>38</v>
      </c>
      <c r="B18" t="s">
        <v>193</v>
      </c>
      <c r="C18" t="s">
        <v>131</v>
      </c>
      <c r="D18" t="s">
        <v>194</v>
      </c>
      <c r="E18" t="s">
        <v>132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736.7</v>
      </c>
      <c r="AF18"/>
    </row>
    <row r="19">
      <c r="A19" t="s">
        <v>38</v>
      </c>
      <c r="B19" t="s">
        <v>195</v>
      </c>
      <c r="C19" t="s">
        <v>131</v>
      </c>
      <c r="D19" t="s">
        <v>196</v>
      </c>
      <c r="E19" t="s">
        <v>132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 t="n">
        <v>11699.7</v>
      </c>
      <c r="AF19"/>
    </row>
    <row r="20">
      <c r="A20" t="s">
        <v>38</v>
      </c>
      <c r="B20" t="s">
        <v>197</v>
      </c>
      <c r="C20" t="s">
        <v>131</v>
      </c>
      <c r="D20" t="s">
        <v>198</v>
      </c>
      <c r="E20" t="s">
        <v>132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n">
        <v>4935.3</v>
      </c>
      <c r="AF20"/>
    </row>
    <row r="21">
      <c r="A21" t="s">
        <v>38</v>
      </c>
      <c r="B21" t="s">
        <v>199</v>
      </c>
      <c r="C21" t="s">
        <v>131</v>
      </c>
      <c r="D21" t="s">
        <v>200</v>
      </c>
      <c r="E21" t="s">
        <v>132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e">
        <v>#NUM!</v>
      </c>
      <c r="AE21" t="n">
        <v>6166.2</v>
      </c>
      <c r="AF21" t="n">
        <v>0</v>
      </c>
    </row>
    <row r="22">
      <c r="A22" t="s">
        <v>38</v>
      </c>
      <c r="B22" t="s">
        <v>201</v>
      </c>
      <c r="C22" t="s">
        <v>131</v>
      </c>
      <c r="D22" t="s">
        <v>202</v>
      </c>
      <c r="E22" t="s">
        <v>132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 t="n">
        <v>1230.9</v>
      </c>
      <c r="AF22"/>
    </row>
    <row r="23">
      <c r="A23" t="s">
        <v>38</v>
      </c>
      <c r="B23" t="s">
        <v>203</v>
      </c>
      <c r="C23" t="s">
        <v>131</v>
      </c>
      <c r="D23" t="s">
        <v>204</v>
      </c>
      <c r="E23" t="s">
        <v>132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n">
        <v>19282.6</v>
      </c>
      <c r="AF23"/>
    </row>
    <row r="24">
      <c r="A24" t="s">
        <v>38</v>
      </c>
      <c r="B24" t="s">
        <v>205</v>
      </c>
      <c r="C24" t="s">
        <v>131</v>
      </c>
      <c r="D24" t="s">
        <v>206</v>
      </c>
      <c r="E24" t="s">
        <v>132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n">
        <v>19641.2</v>
      </c>
      <c r="AF24" t="n">
        <v>0</v>
      </c>
    </row>
    <row r="25">
      <c r="A25" t="s">
        <v>38</v>
      </c>
      <c r="B25" t="s">
        <v>207</v>
      </c>
      <c r="C25" t="s">
        <v>131</v>
      </c>
      <c r="D25" t="s">
        <v>208</v>
      </c>
      <c r="E25" t="s">
        <v>132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 t="n">
        <v>688.6</v>
      </c>
      <c r="AF25"/>
    </row>
    <row r="26">
      <c r="A26" t="s">
        <v>38</v>
      </c>
      <c r="B26" t="s">
        <v>209</v>
      </c>
      <c r="C26" t="s">
        <v>131</v>
      </c>
      <c r="D26" t="s">
        <v>210</v>
      </c>
      <c r="E26" t="s">
        <v>132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 t="n">
        <v>13337.1</v>
      </c>
      <c r="AF26"/>
    </row>
    <row r="27">
      <c r="A27" t="s">
        <v>38</v>
      </c>
      <c r="B27" t="s">
        <v>211</v>
      </c>
      <c r="C27" t="s">
        <v>131</v>
      </c>
      <c r="D27" t="s">
        <v>212</v>
      </c>
      <c r="E27" t="s">
        <v>132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 t="n">
        <v>5615.5</v>
      </c>
      <c r="AF27"/>
    </row>
    <row r="28">
      <c r="A28" t="s">
        <v>38</v>
      </c>
      <c r="B28" t="s">
        <v>213</v>
      </c>
      <c r="C28" t="s">
        <v>131</v>
      </c>
      <c r="D28" t="s">
        <v>214</v>
      </c>
      <c r="E28" t="s">
        <v>132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e">
        <v>#NUM!</v>
      </c>
      <c r="AD28" t="e">
        <v>#NUM!</v>
      </c>
      <c r="AE28" t="n">
        <v>8739.7</v>
      </c>
      <c r="AF28" t="n">
        <v>0</v>
      </c>
    </row>
    <row r="29">
      <c r="A29" t="s">
        <v>38</v>
      </c>
      <c r="B29" t="s">
        <v>215</v>
      </c>
      <c r="C29" t="s">
        <v>131</v>
      </c>
      <c r="D29" t="s">
        <v>216</v>
      </c>
      <c r="E29" t="s">
        <v>132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 t="n">
        <v>2466.3</v>
      </c>
      <c r="AF29"/>
    </row>
    <row r="30">
      <c r="A30" t="s">
        <v>38</v>
      </c>
      <c r="B30" t="s">
        <v>217</v>
      </c>
      <c r="C30" t="s">
        <v>131</v>
      </c>
      <c r="D30" t="s">
        <v>218</v>
      </c>
      <c r="E30" t="s">
        <v>132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 t="n">
        <v>497.2</v>
      </c>
      <c r="AF30"/>
    </row>
    <row r="31">
      <c r="A31" t="s">
        <v>38</v>
      </c>
      <c r="B31" t="s">
        <v>219</v>
      </c>
      <c r="C31" t="s">
        <v>131</v>
      </c>
      <c r="D31" t="s">
        <v>220</v>
      </c>
      <c r="E31" t="s">
        <v>132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38</v>
      </c>
      <c r="B32" t="s">
        <v>221</v>
      </c>
      <c r="C32" t="s">
        <v>131</v>
      </c>
      <c r="D32" t="s">
        <v>222</v>
      </c>
      <c r="E32" t="s">
        <v>132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38</v>
      </c>
      <c r="B33" t="s">
        <v>223</v>
      </c>
      <c r="C33" t="s">
        <v>131</v>
      </c>
      <c r="D33" t="s">
        <v>224</v>
      </c>
      <c r="E33" t="s">
        <v>132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 t="n">
        <v>808.9</v>
      </c>
      <c r="AF33"/>
    </row>
    <row r="34">
      <c r="A34" t="s">
        <v>38</v>
      </c>
      <c r="B34" t="s">
        <v>225</v>
      </c>
      <c r="C34" t="s">
        <v>131</v>
      </c>
      <c r="D34" t="s">
        <v>226</v>
      </c>
      <c r="E34" t="s">
        <v>132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1849.8</v>
      </c>
      <c r="AF34"/>
    </row>
    <row r="35">
      <c r="A35" t="s">
        <v>38</v>
      </c>
      <c r="B35" t="s">
        <v>227</v>
      </c>
      <c r="C35" t="s">
        <v>131</v>
      </c>
      <c r="D35" t="s">
        <v>228</v>
      </c>
      <c r="E35" t="s">
        <v>132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e">
        <v>#NUM!</v>
      </c>
      <c r="T35" t="e">
        <v>#NUM!</v>
      </c>
      <c r="U35" t="e">
        <v>#NUM!</v>
      </c>
      <c r="V35" t="e">
        <v>#NUM!</v>
      </c>
      <c r="W35" t="e">
        <v>#NUM!</v>
      </c>
      <c r="X35" t="e">
        <v>#NUM!</v>
      </c>
      <c r="Y35" t="e">
        <v>#NUM!</v>
      </c>
      <c r="Z35" t="e">
        <v>#NUM!</v>
      </c>
      <c r="AA35" t="e">
        <v>#NUM!</v>
      </c>
      <c r="AB35" t="e">
        <v>#NUM!</v>
      </c>
      <c r="AC35" t="e">
        <v>#NUM!</v>
      </c>
      <c r="AD35" t="e">
        <v>#NUM!</v>
      </c>
      <c r="AE35" t="n">
        <v>96822</v>
      </c>
      <c r="AF35" t="n">
        <v>0</v>
      </c>
    </row>
    <row r="36">
      <c r="A36" t="s">
        <v>38</v>
      </c>
      <c r="B36" t="s">
        <v>229</v>
      </c>
      <c r="C36" t="s">
        <v>131</v>
      </c>
      <c r="D36" t="s">
        <v>230</v>
      </c>
      <c r="E36" t="s">
        <v>132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38</v>
      </c>
      <c r="B37" t="s">
        <v>231</v>
      </c>
      <c r="C37" t="s">
        <v>131</v>
      </c>
      <c r="D37" t="s">
        <v>232</v>
      </c>
      <c r="E37" t="s">
        <v>132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2138.7</v>
      </c>
      <c r="AF37"/>
    </row>
    <row r="38">
      <c r="A38" t="s">
        <v>38</v>
      </c>
      <c r="B38" t="s">
        <v>233</v>
      </c>
      <c r="C38" t="s">
        <v>131</v>
      </c>
      <c r="D38" t="s">
        <v>234</v>
      </c>
      <c r="E38" t="s">
        <v>132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38</v>
      </c>
      <c r="B39" t="s">
        <v>235</v>
      </c>
      <c r="C39" t="s">
        <v>131</v>
      </c>
      <c r="D39" t="s">
        <v>236</v>
      </c>
      <c r="E39" t="s">
        <v>132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 t="n">
        <v>27278.5</v>
      </c>
      <c r="AF39"/>
    </row>
    <row r="40">
      <c r="A40" t="s">
        <v>38</v>
      </c>
      <c r="B40" t="s">
        <v>237</v>
      </c>
      <c r="C40" t="s">
        <v>131</v>
      </c>
      <c r="D40" t="s">
        <v>238</v>
      </c>
      <c r="E40" t="s">
        <v>132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 t="n">
        <v>4643.2</v>
      </c>
      <c r="AF40"/>
    </row>
    <row r="41">
      <c r="A41" t="s">
        <v>38</v>
      </c>
      <c r="B41" t="s">
        <v>239</v>
      </c>
      <c r="C41" t="s">
        <v>131</v>
      </c>
      <c r="D41" t="s">
        <v>240</v>
      </c>
      <c r="E41" t="s">
        <v>132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 t="n">
        <v>1990.8</v>
      </c>
      <c r="AF41"/>
    </row>
    <row r="42">
      <c r="A42" t="s">
        <v>38</v>
      </c>
      <c r="B42" t="s">
        <v>241</v>
      </c>
      <c r="C42" t="s">
        <v>131</v>
      </c>
      <c r="D42" t="s">
        <v>242</v>
      </c>
      <c r="E42" t="s">
        <v>132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 t="n">
        <v>10627.8</v>
      </c>
      <c r="AF42"/>
    </row>
    <row r="43">
      <c r="A43" t="s">
        <v>38</v>
      </c>
      <c r="B43" t="s">
        <v>243</v>
      </c>
      <c r="C43" t="s">
        <v>131</v>
      </c>
      <c r="D43" t="s">
        <v>244</v>
      </c>
      <c r="E43" t="s">
        <v>132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e">
        <v>#NUM!</v>
      </c>
      <c r="AA43" t="e">
        <v>#NUM!</v>
      </c>
      <c r="AB43" t="e">
        <v>#NUM!</v>
      </c>
      <c r="AC43" t="e">
        <v>#NUM!</v>
      </c>
      <c r="AD43" t="e">
        <v>#NUM!</v>
      </c>
      <c r="AE43" t="n">
        <v>19879.5</v>
      </c>
      <c r="AF43" t="n">
        <v>0</v>
      </c>
    </row>
    <row r="44">
      <c r="A44" t="s">
        <v>38</v>
      </c>
      <c r="B44" t="s">
        <v>245</v>
      </c>
      <c r="C44" t="s">
        <v>131</v>
      </c>
      <c r="D44" t="s">
        <v>246</v>
      </c>
      <c r="E44" t="s">
        <v>132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e">
        <v>#NUM!</v>
      </c>
      <c r="P44" t="e">
        <v>#NUM!</v>
      </c>
      <c r="Q44" t="e">
        <v>#NUM!</v>
      </c>
      <c r="R44" t="e">
        <v>#NUM!</v>
      </c>
      <c r="S44" t="e">
        <v>#NUM!</v>
      </c>
      <c r="T44" t="e">
        <v>#NUM!</v>
      </c>
      <c r="U44" t="e">
        <v>#NUM!</v>
      </c>
      <c r="V44" t="e">
        <v>#NUM!</v>
      </c>
      <c r="W44" t="e">
        <v>#NUM!</v>
      </c>
      <c r="X44" t="e">
        <v>#NUM!</v>
      </c>
      <c r="Y44" t="e">
        <v>#NUM!</v>
      </c>
      <c r="Z44" t="e">
        <v>#NUM!</v>
      </c>
      <c r="AA44" t="e">
        <v>#NUM!</v>
      </c>
      <c r="AB44" t="e">
        <v>#NUM!</v>
      </c>
      <c r="AC44" t="e">
        <v>#NUM!</v>
      </c>
      <c r="AD44" t="e">
        <v>#NUM!</v>
      </c>
      <c r="AE44" t="n">
        <v>326726.6</v>
      </c>
      <c r="AF44" t="n">
        <v>0</v>
      </c>
    </row>
    <row r="45">
      <c r="A45" t="s">
        <v>38</v>
      </c>
      <c r="B45" t="s">
        <v>247</v>
      </c>
      <c r="C45" t="s">
        <v>131</v>
      </c>
      <c r="D45" t="s">
        <v>248</v>
      </c>
      <c r="E45" t="s">
        <v>132</v>
      </c>
      <c r="F45" t="e">
        <v>#NUM!</v>
      </c>
      <c r="G45" t="e">
        <v>#NUM!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e">
        <v>#NUM!</v>
      </c>
      <c r="P45" t="e">
        <v>#NUM!</v>
      </c>
      <c r="Q45" t="e">
        <v>#NUM!</v>
      </c>
      <c r="R45" t="e">
        <v>#NUM!</v>
      </c>
      <c r="S45" t="e">
        <v>#NUM!</v>
      </c>
      <c r="T45" t="e">
        <v>#NUM!</v>
      </c>
      <c r="U45" t="e">
        <v>#NUM!</v>
      </c>
      <c r="V45" t="e">
        <v>#NUM!</v>
      </c>
      <c r="W45" t="e">
        <v>#NUM!</v>
      </c>
      <c r="X45" t="e">
        <v>#NUM!</v>
      </c>
      <c r="Y45" t="e">
        <v>#NUM!</v>
      </c>
      <c r="Z45" t="e">
        <v>#NUM!</v>
      </c>
      <c r="AA45" t="e">
        <v>#NUM!</v>
      </c>
      <c r="AB45" t="e">
        <v>#NUM!</v>
      </c>
      <c r="AC45" t="e">
        <v>#NUM!</v>
      </c>
      <c r="AD45" t="e">
        <v>#NUM!</v>
      </c>
      <c r="AE45" t="n">
        <v>320655.4</v>
      </c>
      <c r="AF45" t="n">
        <v>0</v>
      </c>
    </row>
    <row r="46">
      <c r="A46" t="s">
        <v>38</v>
      </c>
      <c r="B46" t="s">
        <v>249</v>
      </c>
      <c r="C46" t="s">
        <v>131</v>
      </c>
      <c r="D46" t="s">
        <v>250</v>
      </c>
      <c r="E46" t="s">
        <v>132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t="n">
        <v>9251.7</v>
      </c>
      <c r="AF46"/>
    </row>
    <row r="47">
      <c r="A47" t="s">
        <v>38</v>
      </c>
      <c r="B47" t="s">
        <v>251</v>
      </c>
      <c r="C47" t="s">
        <v>131</v>
      </c>
      <c r="D47" t="s">
        <v>252</v>
      </c>
      <c r="E47" t="s">
        <v>132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5849.3</v>
      </c>
      <c r="AF47"/>
    </row>
    <row r="48">
      <c r="A48" t="s">
        <v>38</v>
      </c>
      <c r="B48" t="s">
        <v>253</v>
      </c>
      <c r="C48" t="s">
        <v>131</v>
      </c>
      <c r="D48" t="s">
        <v>254</v>
      </c>
      <c r="E48" t="s">
        <v>132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e">
        <v>#NUM!</v>
      </c>
      <c r="W48" t="e">
        <v>#NUM!</v>
      </c>
      <c r="X48" t="e">
        <v>#NUM!</v>
      </c>
      <c r="Y48" t="e">
        <v>#NUM!</v>
      </c>
      <c r="Z48" t="e">
        <v>#NUM!</v>
      </c>
      <c r="AA48" t="e">
        <v>#NUM!</v>
      </c>
      <c r="AB48" t="e">
        <v>#NUM!</v>
      </c>
      <c r="AC48" t="e">
        <v>#NUM!</v>
      </c>
      <c r="AD48" t="e">
        <v>#NUM!</v>
      </c>
      <c r="AE48" t="n">
        <v>17331.4</v>
      </c>
      <c r="AF48" t="n">
        <v>0</v>
      </c>
    </row>
    <row r="49">
      <c r="A49" t="s">
        <v>38</v>
      </c>
      <c r="B49" t="s">
        <v>255</v>
      </c>
      <c r="C49" t="s">
        <v>131</v>
      </c>
      <c r="D49" t="s">
        <v>256</v>
      </c>
      <c r="E49" t="s">
        <v>132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 t="n">
        <v>1624.8</v>
      </c>
      <c r="AF49"/>
    </row>
    <row r="50">
      <c r="A50" t="s">
        <v>38</v>
      </c>
      <c r="B50" t="s">
        <v>257</v>
      </c>
      <c r="C50" t="s">
        <v>131</v>
      </c>
      <c r="D50" t="s">
        <v>258</v>
      </c>
      <c r="E50" t="s">
        <v>132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e">
        <v>#NUM!</v>
      </c>
      <c r="AC50" t="e">
        <v>#NUM!</v>
      </c>
      <c r="AD50" t="e">
        <v>#NUM!</v>
      </c>
      <c r="AE50" t="n">
        <v>9857.3</v>
      </c>
      <c r="AF50" t="n">
        <v>0</v>
      </c>
    </row>
    <row r="51">
      <c r="A51" t="s">
        <v>38</v>
      </c>
      <c r="B51" t="s">
        <v>259</v>
      </c>
      <c r="C51" t="s">
        <v>131</v>
      </c>
      <c r="D51" t="s">
        <v>260</v>
      </c>
      <c r="E51" t="s">
        <v>132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 t="n">
        <v>7195.1</v>
      </c>
      <c r="AF51"/>
    </row>
    <row r="52">
      <c r="A52" t="s">
        <v>38</v>
      </c>
      <c r="B52" t="s">
        <v>261</v>
      </c>
      <c r="C52" t="s">
        <v>131</v>
      </c>
      <c r="D52" t="s">
        <v>262</v>
      </c>
      <c r="E52" t="s">
        <v>132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2662.2</v>
      </c>
      <c r="AF52"/>
    </row>
    <row r="53">
      <c r="A53" t="s">
        <v>38</v>
      </c>
      <c r="B53" t="s">
        <v>263</v>
      </c>
      <c r="C53" t="s">
        <v>131</v>
      </c>
      <c r="D53" t="s">
        <v>264</v>
      </c>
      <c r="E53" t="s">
        <v>132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t="n">
        <v>1411.9</v>
      </c>
      <c r="AF53"/>
    </row>
    <row r="54">
      <c r="A54" t="s">
        <v>38</v>
      </c>
      <c r="B54" t="s">
        <v>265</v>
      </c>
      <c r="C54" t="s">
        <v>131</v>
      </c>
      <c r="D54" t="s">
        <v>266</v>
      </c>
      <c r="E54" t="s">
        <v>132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n">
        <v>4249.2</v>
      </c>
      <c r="AF54" t="n">
        <v>0</v>
      </c>
    </row>
    <row r="55">
      <c r="A55" t="s">
        <v>38</v>
      </c>
      <c r="B55" t="s">
        <v>267</v>
      </c>
      <c r="C55" t="s">
        <v>131</v>
      </c>
      <c r="D55" t="s">
        <v>268</v>
      </c>
      <c r="E55" t="s">
        <v>132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t="n">
        <v>2837.3</v>
      </c>
      <c r="AF55"/>
    </row>
    <row r="56">
      <c r="A56" t="s">
        <v>38</v>
      </c>
      <c r="B56" t="s">
        <v>269</v>
      </c>
      <c r="C56" t="s">
        <v>131</v>
      </c>
      <c r="D56" t="s">
        <v>270</v>
      </c>
      <c r="E56" t="s">
        <v>132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</v>
      </c>
      <c r="AF56"/>
    </row>
    <row r="57">
      <c r="A57" t="s">
        <v>38</v>
      </c>
      <c r="B57" t="s">
        <v>271</v>
      </c>
      <c r="C57" t="s">
        <v>131</v>
      </c>
      <c r="D57" t="s">
        <v>272</v>
      </c>
      <c r="E57" t="s">
        <v>132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e">
        <v>#NUM!</v>
      </c>
      <c r="P57" t="e">
        <v>#NUM!</v>
      </c>
      <c r="Q57" t="e">
        <v>#NUM!</v>
      </c>
      <c r="R57" t="e">
        <v>#NUM!</v>
      </c>
      <c r="S57" t="e">
        <v>#NUM!</v>
      </c>
      <c r="T57" t="e">
        <v>#NUM!</v>
      </c>
      <c r="U57" t="e">
        <v>#NUM!</v>
      </c>
      <c r="V57" t="e">
        <v>#NUM!</v>
      </c>
      <c r="W57" t="e">
        <v>#NUM!</v>
      </c>
      <c r="X57" t="e">
        <v>#NUM!</v>
      </c>
      <c r="Y57" t="e">
        <v>#NUM!</v>
      </c>
      <c r="Z57" t="e">
        <v>#NUM!</v>
      </c>
      <c r="AA57" t="e">
        <v>#NUM!</v>
      </c>
      <c r="AB57" t="e">
        <v>#NUM!</v>
      </c>
      <c r="AC57" t="e">
        <v>#NUM!</v>
      </c>
      <c r="AD57" t="e">
        <v>#NUM!</v>
      </c>
      <c r="AE57" t="n">
        <v>348701.2</v>
      </c>
      <c r="AF57" t="n">
        <v>0</v>
      </c>
    </row>
    <row r="58">
      <c r="A58" t="s">
        <v>38</v>
      </c>
      <c r="B58" t="s">
        <v>273</v>
      </c>
      <c r="C58" t="s">
        <v>131</v>
      </c>
      <c r="D58" t="s">
        <v>274</v>
      </c>
      <c r="E58" t="s">
        <v>132</v>
      </c>
      <c r="F58" t="e">
        <v>#NUM!</v>
      </c>
      <c r="G58" t="e">
        <v>#NUM!</v>
      </c>
      <c r="H58" t="e">
        <v>#NUM!</v>
      </c>
      <c r="I58" t="e">
        <v>#NUM!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e">
        <v>#NUM!</v>
      </c>
      <c r="P58" t="e">
        <v>#NUM!</v>
      </c>
      <c r="Q58" t="e">
        <v>#NUM!</v>
      </c>
      <c r="R58" t="e">
        <v>#NUM!</v>
      </c>
      <c r="S58" t="e">
        <v>#NUM!</v>
      </c>
      <c r="T58" t="e">
        <v>#NUM!</v>
      </c>
      <c r="U58" t="e">
        <v>#NUM!</v>
      </c>
      <c r="V58" t="e">
        <v>#NUM!</v>
      </c>
      <c r="W58" t="e">
        <v>#NUM!</v>
      </c>
      <c r="X58" t="e">
        <v>#NUM!</v>
      </c>
      <c r="Y58" t="e">
        <v>#NUM!</v>
      </c>
      <c r="Z58" t="e">
        <v>#NUM!</v>
      </c>
      <c r="AA58" t="e">
        <v>#NUM!</v>
      </c>
      <c r="AB58" t="e">
        <v>#NUM!</v>
      </c>
      <c r="AC58" t="e">
        <v>#NUM!</v>
      </c>
      <c r="AD58" t="e">
        <v>#NUM!</v>
      </c>
      <c r="AE58" t="n">
        <v>348701.2</v>
      </c>
      <c r="AF58" t="n">
        <v>0</v>
      </c>
    </row>
    <row r="59">
      <c r="A59" t="s">
        <v>38</v>
      </c>
      <c r="B59" t="s">
        <v>275</v>
      </c>
      <c r="C59" t="s">
        <v>131</v>
      </c>
      <c r="D59" t="s">
        <v>276</v>
      </c>
      <c r="E59" t="s">
        <v>132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2025-01-07T18:46:43Z</dcterms:created>
</coreProperties>
</file>