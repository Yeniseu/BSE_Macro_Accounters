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ceta\OneDrive\Desktop\BSE\02_TERM_2\MACRO_I\BSE_Macro_Accounters\02_Input\"/>
    </mc:Choice>
  </mc:AlternateContent>
  <xr:revisionPtr revIDLastSave="0" documentId="13_ncr:1_{40EB64A8-26CE-4DCB-8181-BAF752DB93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1" r:id="rId1"/>
    <sheet name="Rstruc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</calcChain>
</file>

<file path=xl/sharedStrings.xml><?xml version="1.0" encoding="utf-8"?>
<sst xmlns="http://schemas.openxmlformats.org/spreadsheetml/2006/main" count="124" uniqueCount="72">
  <si>
    <t>Ip_GFCF</t>
  </si>
  <si>
    <t>TOT</t>
  </si>
  <si>
    <t>JP</t>
  </si>
  <si>
    <t>Total - all NACE activities</t>
  </si>
  <si>
    <t>Japan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</si>
  <si>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</si>
  <si>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</si>
  <si>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</si>
  <si>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</si>
  <si>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</si>
  <si>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</si>
  <si>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</si>
  <si>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</si>
  <si>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</si>
  <si>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</si>
  <si>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</si>
  <si>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</si>
  <si>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</si>
  <si>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</si>
  <si>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</si>
  <si>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</si>
  <si>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</si>
  <si>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</si>
  <si>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</si>
  <si>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</si>
  <si>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</si>
  <si>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</si>
  <si>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</si>
  <si>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</si>
  <si>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</si>
  <si>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</si>
  <si>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</si>
  <si>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</si>
  <si>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</si>
  <si>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</si>
  <si>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</si>
  <si>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</si>
  <si>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K_GFCF</t>
  </si>
  <si>
    <t>Kq_GFCF</t>
  </si>
  <si>
    <t>Kq_Rstruc</t>
  </si>
  <si>
    <t>K_Rstruc</t>
  </si>
  <si>
    <t>Ip_Rstruc</t>
  </si>
  <si>
    <t># 2 - CAPITAL</t>
  </si>
  <si>
    <t>### Load &amp; prepare EUKLEM Data</t>
  </si>
  <si>
    <t># Capital Accounts</t>
  </si>
  <si>
    <t>inp_path    &lt;- "02_Input/JP_capital_accounts.xlsx"</t>
  </si>
  <si>
    <t>sheet_names &lt;- c("Ip_IT", "Ip_CT", "Ip_Soft_DB", "Ip_TraEq", "Ip_OMach",</t>
  </si>
  <si>
    <t xml:space="preserve">                 "Ip_OCon", "Ip_Rstruc", "Ip_Cult", "Ip_RD", "Ip_OIPP",</t>
  </si>
  <si>
    <t xml:space="preserve">                 "Ip_GFCF", "K_IT", "K_CT", "K_Soft_DB", "K_TraEq", "K_OMach",</t>
  </si>
  <si>
    <t xml:space="preserve">                 "K_OCon", "K_Rstruc", "K_Cult", "K_RD", "K_OIPP", "K_GFCF",</t>
  </si>
  <si>
    <t xml:space="preserve">                 "Kq_IT", "Kq_CT", "Kq_Soft_DB", "Kq_TraEq", "Kq_OMach",</t>
  </si>
  <si>
    <t xml:space="preserve">                 "Kq_OCon", "Kq_Rstruc", "Kq_Cult", "Kq_RD", "Kq_OIPP", </t>
  </si>
  <si>
    <t xml:space="preserve">                 "Kq_GFCF")</t>
  </si>
  <si>
    <t>dt &lt;- data.table(NULL)</t>
  </si>
  <si>
    <t>for (i in sheet_names) { # Read every sheet, rowbind them</t>
  </si>
  <si>
    <t xml:space="preserve">  tmp &lt;- read_xlsx(inp_path, sheet = i) |&gt; as.data.table()</t>
  </si>
  <si>
    <t xml:space="preserve">  dt  &lt;- rbind(dt, tmp)</t>
  </si>
  <si>
    <t>}</t>
  </si>
  <si>
    <t># Melt the data table with relevant columns</t>
  </si>
  <si>
    <t>NACE_codes &lt;- unique(dt[, .(geo_name, nace_r2_code, nace_r2_name)])</t>
  </si>
  <si>
    <t>dt[, c("geo_code", "geo_name", "nace_r2_name") := NULL]</t>
  </si>
  <si>
    <t>dt &lt;- melt(dt, id.vars = c("nace_r2_code", "var"))</t>
  </si>
  <si>
    <t>dt &lt;- dcast(dt, "nace_r2_code + variable ~ var")</t>
  </si>
  <si>
    <t>setnames(dt, c("nace_r2_code", "variable"), c("nace", "year"))</t>
  </si>
  <si>
    <t>setkey(dt, "nace", "year")</t>
  </si>
  <si>
    <t># Select years</t>
  </si>
  <si>
    <t>dt[, year := as.numeric(as.character(year))]</t>
  </si>
  <si>
    <t>dt &lt;- dt[between(year, 1995, 2015)]</t>
  </si>
  <si>
    <t>colnames(dt)</t>
  </si>
  <si>
    <t xml:space="preserve"># Compute </t>
  </si>
  <si>
    <t xml:space="preserve">var_list &lt;- c("IT", "CT", "Soft_DB", "TraEq", "OMach", "OCon", "Rstruc", </t>
  </si>
  <si>
    <t xml:space="preserve">              "Cult", "RD", "OIPP", "GFCF")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</si>
</sst>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7" workbookViewId="0">
      <selection activeCell="B35" sqref="B35"/>
    </sheetView>
  </sheetViews>
  <sheetFormatPr defaultRowHeight="14.4" x14ac:dyDescent="0.3"/>
  <cols>
    <col min="2" max="2" width="25.21875" customWidth="1"/>
    <col min="3" max="4" width="21.6640625" bestFit="1" customWidth="1"/>
  </cols>
  <sheetData>
    <row r="1" spans="1:5" x14ac:dyDescent="0.3">
      <c r="A1" t="s">
        <v>5</v>
      </c>
      <c r="B1" t="s">
        <v>0</v>
      </c>
      <c r="C1" t="s">
        <v>37</v>
      </c>
      <c r="D1" t="s">
        <v>38</v>
      </c>
    </row>
    <row r="2" spans="1:5" x14ac:dyDescent="0.3">
      <c r="A2" t="s">
        <v>6</v>
      </c>
      <c r="B2" t="s">
        <v>1</v>
      </c>
      <c r="C2" t="s">
        <v>1</v>
      </c>
      <c r="D2" t="s">
        <v>1</v>
      </c>
    </row>
    <row r="3" spans="1:5" x14ac:dyDescent="0.3">
      <c r="A3" t="s">
        <v>7</v>
      </c>
      <c r="B3" t="s">
        <v>2</v>
      </c>
      <c r="C3" t="s">
        <v>2</v>
      </c>
      <c r="D3" t="s">
        <v>2</v>
      </c>
    </row>
    <row r="4" spans="1:5" x14ac:dyDescent="0.3">
      <c r="A4" t="s">
        <v>8</v>
      </c>
      <c r="B4" t="s">
        <v>3</v>
      </c>
      <c r="C4" t="s">
        <v>3</v>
      </c>
      <c r="D4" t="s">
        <v>3</v>
      </c>
    </row>
    <row r="5" spans="1:5" x14ac:dyDescent="0.3">
      <c r="A5" t="s">
        <v>9</v>
      </c>
      <c r="B5" t="s">
        <v>4</v>
      </c>
      <c r="C5" t="s">
        <v>4</v>
      </c>
      <c r="D5" t="s">
        <v>4</v>
      </c>
    </row>
    <row r="6" spans="1:5" x14ac:dyDescent="0.3">
      <c r="A6" t="s">
        <v>10</v>
      </c>
      <c r="B6">
        <v>105.01273078662599</v>
      </c>
      <c r="C6">
        <v>1567034549.63345</v>
      </c>
      <c r="D6">
        <v>1675374412.59236</v>
      </c>
      <c r="E6">
        <f t="shared" ref="E6:E29" si="0">C6/D6</f>
        <v>0.9353339395990462</v>
      </c>
    </row>
    <row r="7" spans="1:5" x14ac:dyDescent="0.3">
      <c r="A7" t="s">
        <v>11</v>
      </c>
      <c r="B7">
        <v>104.414623188973</v>
      </c>
      <c r="C7">
        <v>1622867058.3933599</v>
      </c>
      <c r="D7">
        <v>1733815473.6335299</v>
      </c>
      <c r="E7">
        <f t="shared" si="0"/>
        <v>0.93600909847248215</v>
      </c>
    </row>
    <row r="8" spans="1:5" x14ac:dyDescent="0.3">
      <c r="A8" t="s">
        <v>12</v>
      </c>
      <c r="B8">
        <v>104.772223010766</v>
      </c>
      <c r="C8">
        <v>1685441233.2560501</v>
      </c>
      <c r="D8">
        <v>1783156600.4488101</v>
      </c>
      <c r="E8">
        <f t="shared" si="0"/>
        <v>0.94520090542346891</v>
      </c>
    </row>
    <row r="9" spans="1:5" x14ac:dyDescent="0.3">
      <c r="A9" t="s">
        <v>13</v>
      </c>
      <c r="B9">
        <v>103.16268150581099</v>
      </c>
      <c r="C9">
        <v>1693237894.29177</v>
      </c>
      <c r="D9">
        <v>1820756484.2193301</v>
      </c>
      <c r="E9">
        <f t="shared" si="0"/>
        <v>0.92996395122973563</v>
      </c>
    </row>
    <row r="10" spans="1:5" x14ac:dyDescent="0.3">
      <c r="A10" t="s">
        <v>14</v>
      </c>
      <c r="B10">
        <v>101.440608112191</v>
      </c>
      <c r="C10">
        <v>1694582335.48191</v>
      </c>
      <c r="D10">
        <v>1853590462.09236</v>
      </c>
      <c r="E10">
        <f t="shared" si="0"/>
        <v>0.91421614975782761</v>
      </c>
    </row>
    <row r="11" spans="1:5" x14ac:dyDescent="0.3">
      <c r="A11" t="s">
        <v>15</v>
      </c>
      <c r="B11">
        <v>100.841921019602</v>
      </c>
      <c r="C11">
        <v>1720775509.0584099</v>
      </c>
      <c r="D11">
        <v>1885100657.0740199</v>
      </c>
      <c r="E11">
        <f t="shared" si="0"/>
        <v>0.91282950997923418</v>
      </c>
    </row>
    <row r="12" spans="1:5" x14ac:dyDescent="0.3">
      <c r="A12" t="s">
        <v>16</v>
      </c>
      <c r="B12">
        <v>99.349450504057302</v>
      </c>
      <c r="C12">
        <v>1723714727.4514101</v>
      </c>
      <c r="D12">
        <v>1911394170.7934599</v>
      </c>
      <c r="E12">
        <f t="shared" si="0"/>
        <v>0.90181018326317264</v>
      </c>
    </row>
    <row r="13" spans="1:5" x14ac:dyDescent="0.3">
      <c r="A13" t="s">
        <v>17</v>
      </c>
      <c r="B13">
        <v>97.554034851697494</v>
      </c>
      <c r="C13">
        <v>1713297873.8531499</v>
      </c>
      <c r="D13">
        <v>1927890470.79549</v>
      </c>
      <c r="E13">
        <f t="shared" si="0"/>
        <v>0.88869046235090599</v>
      </c>
    </row>
    <row r="14" spans="1:5" x14ac:dyDescent="0.3">
      <c r="A14" t="s">
        <v>18</v>
      </c>
      <c r="B14">
        <v>96.422566036180896</v>
      </c>
      <c r="C14">
        <v>1720029825.0961001</v>
      </c>
      <c r="D14">
        <v>1942185435.21244</v>
      </c>
      <c r="E14">
        <f t="shared" si="0"/>
        <v>0.88561565436101619</v>
      </c>
    </row>
    <row r="15" spans="1:5" x14ac:dyDescent="0.3">
      <c r="A15" t="s">
        <v>19</v>
      </c>
      <c r="B15">
        <v>95.857379072455799</v>
      </c>
      <c r="C15">
        <v>1735362761.5492101</v>
      </c>
      <c r="D15">
        <v>1955768251.02634</v>
      </c>
      <c r="E15">
        <f t="shared" si="0"/>
        <v>0.8873049046780126</v>
      </c>
    </row>
    <row r="16" spans="1:5" x14ac:dyDescent="0.3">
      <c r="A16" t="s">
        <v>20</v>
      </c>
      <c r="B16">
        <v>95.9704772096607</v>
      </c>
      <c r="C16">
        <v>1763652046.7372301</v>
      </c>
      <c r="D16">
        <v>1972174704.48366</v>
      </c>
      <c r="E16">
        <f t="shared" si="0"/>
        <v>0.89426765424363164</v>
      </c>
    </row>
    <row r="17" spans="1:5" x14ac:dyDescent="0.3">
      <c r="A17" t="s">
        <v>21</v>
      </c>
      <c r="B17">
        <v>96.598284751533498</v>
      </c>
      <c r="C17">
        <v>1798915658.8624499</v>
      </c>
      <c r="D17">
        <v>1987343132.78931</v>
      </c>
      <c r="E17">
        <f t="shared" si="0"/>
        <v>0.90518624045441254</v>
      </c>
    </row>
    <row r="18" spans="1:5" x14ac:dyDescent="0.3">
      <c r="A18" t="s">
        <v>22</v>
      </c>
      <c r="B18">
        <v>96.998924125764603</v>
      </c>
      <c r="C18">
        <v>1829853132.57743</v>
      </c>
      <c r="D18">
        <v>1997425169.08692</v>
      </c>
      <c r="E18">
        <f t="shared" si="0"/>
        <v>0.91610597528112059</v>
      </c>
    </row>
    <row r="19" spans="1:5" x14ac:dyDescent="0.3">
      <c r="A19" t="s">
        <v>23</v>
      </c>
      <c r="B19">
        <v>98.2094594334135</v>
      </c>
      <c r="C19">
        <v>1886009112.7697501</v>
      </c>
      <c r="D19">
        <v>2000127305.84566</v>
      </c>
      <c r="E19">
        <f t="shared" si="0"/>
        <v>0.94294453520914245</v>
      </c>
    </row>
    <row r="20" spans="1:5" x14ac:dyDescent="0.3">
      <c r="A20" t="s">
        <v>24</v>
      </c>
      <c r="B20">
        <v>95.729525021415995</v>
      </c>
      <c r="C20">
        <v>1829545828.1119399</v>
      </c>
      <c r="D20">
        <v>1987637431.2229099</v>
      </c>
      <c r="E20">
        <f t="shared" si="0"/>
        <v>0.92046255487666939</v>
      </c>
    </row>
    <row r="21" spans="1:5" x14ac:dyDescent="0.3">
      <c r="A21" t="s">
        <v>25</v>
      </c>
      <c r="B21">
        <v>94.890259844373105</v>
      </c>
      <c r="C21">
        <v>1806628134.3973401</v>
      </c>
      <c r="D21">
        <v>1974797115.8705201</v>
      </c>
      <c r="E21">
        <f t="shared" si="0"/>
        <v>0.91484240070957945</v>
      </c>
    </row>
    <row r="22" spans="1:5" x14ac:dyDescent="0.3">
      <c r="A22" t="s">
        <v>26</v>
      </c>
      <c r="B22">
        <v>94.624232599438898</v>
      </c>
      <c r="C22">
        <v>1805759202.3243799</v>
      </c>
      <c r="D22">
        <v>1965680396.19188</v>
      </c>
      <c r="E22">
        <f t="shared" si="0"/>
        <v>0.91864333887781757</v>
      </c>
    </row>
    <row r="23" spans="1:5" x14ac:dyDescent="0.3">
      <c r="A23" t="s">
        <v>27</v>
      </c>
      <c r="B23">
        <v>94.1115692163727</v>
      </c>
      <c r="C23">
        <v>1796403054.5680001</v>
      </c>
      <c r="D23">
        <v>1961234287.1791</v>
      </c>
      <c r="E23">
        <f t="shared" si="0"/>
        <v>0.91595535847571707</v>
      </c>
    </row>
    <row r="24" spans="1:5" x14ac:dyDescent="0.3">
      <c r="A24" t="s">
        <v>28</v>
      </c>
      <c r="B24">
        <v>94.864124651475905</v>
      </c>
      <c r="C24">
        <v>1817403691.7651899</v>
      </c>
      <c r="D24">
        <v>1962047070.3942599</v>
      </c>
      <c r="E24">
        <f t="shared" si="0"/>
        <v>0.92627935343059586</v>
      </c>
    </row>
    <row r="25" spans="1:5" x14ac:dyDescent="0.3">
      <c r="A25" t="s">
        <v>29</v>
      </c>
      <c r="B25">
        <v>96.8040644386531</v>
      </c>
      <c r="C25">
        <v>1869015819.0727501</v>
      </c>
      <c r="D25">
        <v>1965174728.4646699</v>
      </c>
      <c r="E25">
        <f t="shared" si="0"/>
        <v>0.95106851925220626</v>
      </c>
    </row>
    <row r="26" spans="1:5" x14ac:dyDescent="0.3">
      <c r="A26" t="s">
        <v>30</v>
      </c>
      <c r="B26">
        <v>97.542093980900006</v>
      </c>
      <c r="C26">
        <v>1891251835.72595</v>
      </c>
      <c r="D26">
        <v>1970537404.33497</v>
      </c>
      <c r="E26">
        <f t="shared" si="0"/>
        <v>0.9597644944802366</v>
      </c>
    </row>
    <row r="27" spans="1:5" x14ac:dyDescent="0.3">
      <c r="A27" t="s">
        <v>31</v>
      </c>
      <c r="B27">
        <v>96.911635739343197</v>
      </c>
      <c r="C27">
        <v>1884295847.4482901</v>
      </c>
      <c r="D27">
        <v>1975999849.1204901</v>
      </c>
      <c r="E27">
        <f t="shared" si="0"/>
        <v>0.95359108872755372</v>
      </c>
    </row>
    <row r="28" spans="1:5" x14ac:dyDescent="0.3">
      <c r="A28" t="s">
        <v>32</v>
      </c>
      <c r="B28">
        <v>97.818432346452894</v>
      </c>
      <c r="C28">
        <v>1917159797.3957</v>
      </c>
      <c r="D28">
        <v>1983305076.3977799</v>
      </c>
      <c r="E28">
        <f t="shared" si="0"/>
        <v>0.96664896399992195</v>
      </c>
    </row>
    <row r="29" spans="1:5" x14ac:dyDescent="0.3">
      <c r="A29" t="s">
        <v>33</v>
      </c>
      <c r="B29">
        <v>98.883157037498293</v>
      </c>
      <c r="C29">
        <v>1952690864.56534</v>
      </c>
      <c r="D29">
        <v>1990351644.8570099</v>
      </c>
      <c r="E29">
        <f t="shared" si="0"/>
        <v>0.98107832835017683</v>
      </c>
    </row>
    <row r="30" spans="1:5" x14ac:dyDescent="0.3">
      <c r="A30" t="s">
        <v>34</v>
      </c>
      <c r="B30">
        <v>99.721372667631002</v>
      </c>
      <c r="C30">
        <v>1986130387.5739501</v>
      </c>
      <c r="D30">
        <v>1997280850.6545</v>
      </c>
      <c r="E30">
        <f>C30/D30</f>
        <v>0.99441717819659869</v>
      </c>
    </row>
    <row r="31" spans="1:5" x14ac:dyDescent="0.3">
      <c r="A31" t="s">
        <v>35</v>
      </c>
      <c r="B31">
        <v>100</v>
      </c>
      <c r="C31">
        <v>1997890681.64692</v>
      </c>
      <c r="D31">
        <v>1997890681.64692</v>
      </c>
    </row>
    <row r="32" spans="1:5" x14ac:dyDescent="0.3">
      <c r="A3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E266-C25C-46DE-A715-AAC840672269}">
  <dimension ref="A1:E70"/>
  <sheetViews>
    <sheetView tabSelected="1" topLeftCell="A9" workbookViewId="0">
      <selection activeCell="P13" sqref="P13"/>
    </sheetView>
  </sheetViews>
  <sheetFormatPr defaultRowHeight="14.4" x14ac:dyDescent="0.3"/>
  <cols>
    <col min="2" max="2" width="11.5546875" customWidth="1"/>
    <col min="3" max="4" width="21.6640625" bestFit="1" customWidth="1"/>
  </cols>
  <sheetData>
    <row r="1" spans="1:5" x14ac:dyDescent="0.3">
      <c r="A1" t="s">
        <v>5</v>
      </c>
      <c r="B1" t="s">
        <v>41</v>
      </c>
      <c r="C1" t="s">
        <v>40</v>
      </c>
      <c r="D1" t="s">
        <v>39</v>
      </c>
    </row>
    <row r="2" spans="1:5" x14ac:dyDescent="0.3">
      <c r="A2" t="s">
        <v>6</v>
      </c>
      <c r="B2" t="s">
        <v>1</v>
      </c>
      <c r="C2" t="s">
        <v>1</v>
      </c>
      <c r="D2" t="s">
        <v>1</v>
      </c>
    </row>
    <row r="3" spans="1:5" x14ac:dyDescent="0.3">
      <c r="A3" t="s">
        <v>7</v>
      </c>
      <c r="B3" t="s">
        <v>2</v>
      </c>
      <c r="C3" t="s">
        <v>2</v>
      </c>
      <c r="D3" t="s">
        <v>2</v>
      </c>
    </row>
    <row r="4" spans="1:5" x14ac:dyDescent="0.3">
      <c r="A4" t="s">
        <v>8</v>
      </c>
      <c r="B4" t="s">
        <v>3</v>
      </c>
      <c r="C4" t="s">
        <v>3</v>
      </c>
      <c r="D4" t="s">
        <v>3</v>
      </c>
    </row>
    <row r="5" spans="1:5" x14ac:dyDescent="0.3">
      <c r="A5" t="s">
        <v>9</v>
      </c>
      <c r="B5" t="s">
        <v>4</v>
      </c>
      <c r="C5" t="s">
        <v>4</v>
      </c>
      <c r="D5" t="s">
        <v>4</v>
      </c>
    </row>
    <row r="6" spans="1:5" x14ac:dyDescent="0.3">
      <c r="A6" t="s">
        <v>10</v>
      </c>
      <c r="B6" s="1">
        <v>90.768480633337006</v>
      </c>
      <c r="C6">
        <v>384757689.89798498</v>
      </c>
      <c r="D6">
        <v>423889093.673639</v>
      </c>
      <c r="E6" s="1">
        <f t="shared" ref="E6:E29" si="0">C6/D6*100</f>
        <v>90.768480633337063</v>
      </c>
    </row>
    <row r="7" spans="1:5" x14ac:dyDescent="0.3">
      <c r="A7" t="s">
        <v>11</v>
      </c>
      <c r="B7" s="1">
        <v>91.105098014390805</v>
      </c>
      <c r="C7">
        <v>398196927.360358</v>
      </c>
      <c r="D7">
        <v>437074253.84412497</v>
      </c>
      <c r="E7" s="1">
        <f t="shared" si="0"/>
        <v>91.105098014390961</v>
      </c>
    </row>
    <row r="8" spans="1:5" x14ac:dyDescent="0.3">
      <c r="A8" t="s">
        <v>12</v>
      </c>
      <c r="B8" s="1">
        <v>92.598701965328303</v>
      </c>
      <c r="C8">
        <v>413059645.83457202</v>
      </c>
      <c r="D8">
        <v>446074984.92714798</v>
      </c>
      <c r="E8" s="1">
        <f t="shared" si="0"/>
        <v>92.598701965328104</v>
      </c>
    </row>
    <row r="9" spans="1:5" x14ac:dyDescent="0.3">
      <c r="A9" t="s">
        <v>13</v>
      </c>
      <c r="B9" s="1">
        <v>90.921905826137404</v>
      </c>
      <c r="C9">
        <v>409179856.631064</v>
      </c>
      <c r="D9">
        <v>450034403.60511798</v>
      </c>
      <c r="E9" s="1">
        <f t="shared" si="0"/>
        <v>90.921905826137291</v>
      </c>
    </row>
    <row r="10" spans="1:5" x14ac:dyDescent="0.3">
      <c r="A10" t="s">
        <v>14</v>
      </c>
      <c r="B10" s="1">
        <v>89.747147073382706</v>
      </c>
      <c r="C10">
        <v>407186792.12873399</v>
      </c>
      <c r="D10">
        <v>453704441.20724398</v>
      </c>
      <c r="E10" s="1">
        <f t="shared" si="0"/>
        <v>89.747147073382621</v>
      </c>
    </row>
    <row r="11" spans="1:5" x14ac:dyDescent="0.3">
      <c r="A11" t="s">
        <v>15</v>
      </c>
      <c r="B11" s="1">
        <v>89.646669278276505</v>
      </c>
      <c r="C11">
        <v>409964549.84301001</v>
      </c>
      <c r="D11">
        <v>457311524.39185399</v>
      </c>
      <c r="E11" s="1">
        <f t="shared" si="0"/>
        <v>89.646669278276477</v>
      </c>
    </row>
    <row r="12" spans="1:5" x14ac:dyDescent="0.3">
      <c r="A12" t="s">
        <v>16</v>
      </c>
      <c r="B12" s="1">
        <v>88.658864036473602</v>
      </c>
      <c r="C12">
        <v>407621090.96463102</v>
      </c>
      <c r="D12">
        <v>459763493.92085499</v>
      </c>
      <c r="E12" s="1">
        <f t="shared" si="0"/>
        <v>88.658864036473517</v>
      </c>
    </row>
    <row r="13" spans="1:5" x14ac:dyDescent="0.3">
      <c r="A13" t="s">
        <v>17</v>
      </c>
      <c r="B13" s="1">
        <v>87.519895332353599</v>
      </c>
      <c r="C13">
        <v>403735064.33398002</v>
      </c>
      <c r="D13">
        <v>461306612.40031201</v>
      </c>
      <c r="E13" s="1">
        <f t="shared" si="0"/>
        <v>87.519895332353784</v>
      </c>
    </row>
    <row r="14" spans="1:5" x14ac:dyDescent="0.3">
      <c r="A14" t="s">
        <v>18</v>
      </c>
      <c r="B14" s="1">
        <v>87.287499376088803</v>
      </c>
      <c r="C14">
        <v>403717380.25736302</v>
      </c>
      <c r="D14">
        <v>462514544.62900501</v>
      </c>
      <c r="E14" s="1">
        <f t="shared" si="0"/>
        <v>87.287499376088874</v>
      </c>
    </row>
    <row r="15" spans="1:5" x14ac:dyDescent="0.3">
      <c r="A15" t="s">
        <v>19</v>
      </c>
      <c r="B15" s="1">
        <v>87.433980808965302</v>
      </c>
      <c r="C15">
        <v>406009128.08406699</v>
      </c>
      <c r="D15">
        <v>464360794.65620703</v>
      </c>
      <c r="E15" s="1">
        <f t="shared" si="0"/>
        <v>87.433980808965345</v>
      </c>
    </row>
    <row r="16" spans="1:5" x14ac:dyDescent="0.3">
      <c r="A16" t="s">
        <v>20</v>
      </c>
      <c r="B16" s="1">
        <v>87.6709076488725</v>
      </c>
      <c r="C16">
        <v>408503135.73387498</v>
      </c>
      <c r="D16">
        <v>465950617.700863</v>
      </c>
      <c r="E16" s="1">
        <f t="shared" si="0"/>
        <v>87.670907648872586</v>
      </c>
    </row>
    <row r="17" spans="1:5" x14ac:dyDescent="0.3">
      <c r="A17" t="s">
        <v>21</v>
      </c>
      <c r="B17" s="1">
        <v>88.860364538881996</v>
      </c>
      <c r="C17">
        <v>415400446.83191401</v>
      </c>
      <c r="D17">
        <v>467475515.08203697</v>
      </c>
      <c r="E17" s="1">
        <f t="shared" si="0"/>
        <v>88.860364538881925</v>
      </c>
    </row>
    <row r="18" spans="1:5" x14ac:dyDescent="0.3">
      <c r="A18" t="s">
        <v>22</v>
      </c>
      <c r="B18" s="1">
        <v>90.562129018652101</v>
      </c>
      <c r="C18">
        <v>422248142.00218803</v>
      </c>
      <c r="D18">
        <v>466252446.334629</v>
      </c>
      <c r="E18" s="1">
        <f t="shared" si="0"/>
        <v>90.56212901865203</v>
      </c>
    </row>
    <row r="19" spans="1:5" x14ac:dyDescent="0.3">
      <c r="A19" t="s">
        <v>23</v>
      </c>
      <c r="B19" s="1">
        <v>92.879366803518593</v>
      </c>
      <c r="C19">
        <v>430506258.557356</v>
      </c>
      <c r="D19">
        <v>463511190.23891503</v>
      </c>
      <c r="E19" s="1">
        <f t="shared" si="0"/>
        <v>92.879366803518423</v>
      </c>
    </row>
    <row r="20" spans="1:5" x14ac:dyDescent="0.3">
      <c r="A20" t="s">
        <v>24</v>
      </c>
      <c r="B20" s="1">
        <v>90.882015191892904</v>
      </c>
      <c r="C20">
        <v>415203055.96442997</v>
      </c>
      <c r="D20">
        <v>456859429.32465702</v>
      </c>
      <c r="E20" s="1">
        <f t="shared" si="0"/>
        <v>90.88201519189289</v>
      </c>
    </row>
    <row r="21" spans="1:5" x14ac:dyDescent="0.3">
      <c r="A21" t="s">
        <v>25</v>
      </c>
      <c r="B21" s="1">
        <v>90.016991171235503</v>
      </c>
      <c r="C21">
        <v>405342899.21187001</v>
      </c>
      <c r="D21">
        <v>450295987.38842899</v>
      </c>
      <c r="E21" s="1">
        <f t="shared" si="0"/>
        <v>90.016991171235532</v>
      </c>
    </row>
    <row r="22" spans="1:5" x14ac:dyDescent="0.3">
      <c r="A22" t="s">
        <v>26</v>
      </c>
      <c r="B22" s="1">
        <v>90.055440587743306</v>
      </c>
      <c r="C22">
        <v>401067027.78841501</v>
      </c>
      <c r="D22">
        <v>445355688.86329001</v>
      </c>
      <c r="E22" s="1">
        <f t="shared" si="0"/>
        <v>90.055440587743291</v>
      </c>
    </row>
    <row r="23" spans="1:5" x14ac:dyDescent="0.3">
      <c r="A23" t="s">
        <v>27</v>
      </c>
      <c r="B23" s="1">
        <v>89.411222841625403</v>
      </c>
      <c r="C23">
        <v>394426462.45215303</v>
      </c>
      <c r="D23">
        <v>441137532.75783098</v>
      </c>
      <c r="E23" s="1">
        <f t="shared" si="0"/>
        <v>89.411222841625516</v>
      </c>
    </row>
    <row r="24" spans="1:5" x14ac:dyDescent="0.3">
      <c r="A24" t="s">
        <v>28</v>
      </c>
      <c r="B24" s="1">
        <v>91.0135070780684</v>
      </c>
      <c r="C24">
        <v>399530337.33917302</v>
      </c>
      <c r="D24">
        <v>438979169.318757</v>
      </c>
      <c r="E24" s="1">
        <f t="shared" si="0"/>
        <v>91.013507078068457</v>
      </c>
    </row>
    <row r="25" spans="1:5" x14ac:dyDescent="0.3">
      <c r="A25" t="s">
        <v>29</v>
      </c>
      <c r="B25" s="1">
        <v>94.072194622243202</v>
      </c>
      <c r="C25">
        <v>410542253.15283197</v>
      </c>
      <c r="D25">
        <v>436411901.30772197</v>
      </c>
      <c r="E25" s="1">
        <f t="shared" si="0"/>
        <v>94.07219462224316</v>
      </c>
    </row>
    <row r="26" spans="1:5" x14ac:dyDescent="0.3">
      <c r="A26" t="s">
        <v>30</v>
      </c>
      <c r="B26" s="1">
        <v>94.978431105843001</v>
      </c>
      <c r="C26">
        <v>412141936.80185097</v>
      </c>
      <c r="D26">
        <v>433932138.06886798</v>
      </c>
      <c r="E26" s="1">
        <f t="shared" si="0"/>
        <v>94.978431105842915</v>
      </c>
    </row>
    <row r="27" spans="1:5" x14ac:dyDescent="0.3">
      <c r="A27" t="s">
        <v>31</v>
      </c>
      <c r="B27" s="1">
        <v>94.507931723350396</v>
      </c>
      <c r="C27">
        <v>408682712.42731601</v>
      </c>
      <c r="D27">
        <v>432432183.17763901</v>
      </c>
      <c r="E27" s="1">
        <f t="shared" si="0"/>
        <v>94.507931723350254</v>
      </c>
    </row>
    <row r="28" spans="1:5" x14ac:dyDescent="0.3">
      <c r="A28" t="s">
        <v>32</v>
      </c>
      <c r="B28" s="1">
        <v>96.134018598428796</v>
      </c>
      <c r="C28">
        <v>414313698.357853</v>
      </c>
      <c r="D28">
        <v>430975116.19536602</v>
      </c>
      <c r="E28" s="1">
        <f t="shared" si="0"/>
        <v>96.134018598428725</v>
      </c>
    </row>
    <row r="29" spans="1:5" x14ac:dyDescent="0.3">
      <c r="A29" t="s">
        <v>33</v>
      </c>
      <c r="B29" s="1">
        <v>97.736859443599599</v>
      </c>
      <c r="C29">
        <v>418430604.18766898</v>
      </c>
      <c r="D29">
        <v>428119551.38494098</v>
      </c>
      <c r="E29" s="1">
        <f t="shared" si="0"/>
        <v>97.736859443599613</v>
      </c>
    </row>
    <row r="30" spans="1:5" x14ac:dyDescent="0.3">
      <c r="A30" t="s">
        <v>34</v>
      </c>
      <c r="B30" s="1">
        <v>98.968026039498895</v>
      </c>
      <c r="C30">
        <v>421812665.94406599</v>
      </c>
      <c r="D30">
        <v>426211053.02809399</v>
      </c>
      <c r="E30" s="1">
        <f>C30/D30*100</f>
        <v>98.968026039498767</v>
      </c>
    </row>
    <row r="31" spans="1:5" x14ac:dyDescent="0.3">
      <c r="A31" t="s">
        <v>35</v>
      </c>
      <c r="B31" s="1">
        <v>100</v>
      </c>
      <c r="C31">
        <v>422672707.42670399</v>
      </c>
      <c r="D31">
        <v>422672707.42670399</v>
      </c>
      <c r="E31" s="1">
        <f>C31/D31</f>
        <v>1</v>
      </c>
    </row>
    <row r="32" spans="1:5" x14ac:dyDescent="0.3">
      <c r="A32" t="s">
        <v>36</v>
      </c>
      <c r="B32" s="1">
        <v>0</v>
      </c>
      <c r="C32">
        <v>0</v>
      </c>
      <c r="D32">
        <v>0</v>
      </c>
      <c r="E32" s="1"/>
    </row>
    <row r="36" spans="2:2" x14ac:dyDescent="0.3">
      <c r="B36" t="s">
        <v>42</v>
      </c>
    </row>
    <row r="38" spans="2:2" x14ac:dyDescent="0.3">
      <c r="B38" t="s">
        <v>43</v>
      </c>
    </row>
    <row r="39" spans="2:2" x14ac:dyDescent="0.3">
      <c r="B39" t="s">
        <v>44</v>
      </c>
    </row>
    <row r="40" spans="2:2" x14ac:dyDescent="0.3">
      <c r="B40" t="s">
        <v>45</v>
      </c>
    </row>
    <row r="41" spans="2:2" x14ac:dyDescent="0.3">
      <c r="B41" t="s">
        <v>46</v>
      </c>
    </row>
    <row r="42" spans="2:2" x14ac:dyDescent="0.3">
      <c r="B42" t="s">
        <v>47</v>
      </c>
    </row>
    <row r="43" spans="2:2" x14ac:dyDescent="0.3">
      <c r="B43" t="s">
        <v>48</v>
      </c>
    </row>
    <row r="44" spans="2:2" x14ac:dyDescent="0.3">
      <c r="B44" t="s">
        <v>49</v>
      </c>
    </row>
    <row r="45" spans="2:2" x14ac:dyDescent="0.3">
      <c r="B45" t="s">
        <v>50</v>
      </c>
    </row>
    <row r="46" spans="2:2" x14ac:dyDescent="0.3">
      <c r="B46" t="s">
        <v>51</v>
      </c>
    </row>
    <row r="47" spans="2:2" x14ac:dyDescent="0.3">
      <c r="B47" t="s">
        <v>52</v>
      </c>
    </row>
    <row r="48" spans="2:2" x14ac:dyDescent="0.3">
      <c r="B48" t="s">
        <v>53</v>
      </c>
    </row>
    <row r="49" spans="2:2" x14ac:dyDescent="0.3">
      <c r="B49" t="s">
        <v>54</v>
      </c>
    </row>
    <row r="50" spans="2:2" x14ac:dyDescent="0.3">
      <c r="B50" t="s">
        <v>55</v>
      </c>
    </row>
    <row r="51" spans="2:2" x14ac:dyDescent="0.3">
      <c r="B51" t="s">
        <v>56</v>
      </c>
    </row>
    <row r="52" spans="2:2" x14ac:dyDescent="0.3">
      <c r="B52" t="s">
        <v>57</v>
      </c>
    </row>
    <row r="54" spans="2:2" x14ac:dyDescent="0.3">
      <c r="B54" t="s">
        <v>58</v>
      </c>
    </row>
    <row r="55" spans="2:2" x14ac:dyDescent="0.3">
      <c r="B55" t="s">
        <v>59</v>
      </c>
    </row>
    <row r="56" spans="2:2" x14ac:dyDescent="0.3">
      <c r="B56" t="s">
        <v>60</v>
      </c>
    </row>
    <row r="57" spans="2:2" x14ac:dyDescent="0.3">
      <c r="B57" t="s">
        <v>61</v>
      </c>
    </row>
    <row r="58" spans="2:2" x14ac:dyDescent="0.3">
      <c r="B58" t="s">
        <v>62</v>
      </c>
    </row>
    <row r="59" spans="2:2" x14ac:dyDescent="0.3">
      <c r="B59" t="s">
        <v>63</v>
      </c>
    </row>
    <row r="60" spans="2:2" x14ac:dyDescent="0.3">
      <c r="B60" t="s">
        <v>64</v>
      </c>
    </row>
    <row r="62" spans="2:2" x14ac:dyDescent="0.3">
      <c r="B62" t="s">
        <v>65</v>
      </c>
    </row>
    <row r="63" spans="2:2" x14ac:dyDescent="0.3">
      <c r="B63" t="s">
        <v>66</v>
      </c>
    </row>
    <row r="64" spans="2:2" x14ac:dyDescent="0.3">
      <c r="B64" t="s">
        <v>67</v>
      </c>
    </row>
    <row r="66" spans="2:2" x14ac:dyDescent="0.3">
      <c r="B66" t="s">
        <v>68</v>
      </c>
    </row>
    <row r="68" spans="2:2" x14ac:dyDescent="0.3">
      <c r="B68" t="s">
        <v>69</v>
      </c>
    </row>
    <row r="69" spans="2:2" x14ac:dyDescent="0.3">
      <c r="B69" t="s">
        <v>70</v>
      </c>
    </row>
    <row r="70" spans="2:2" x14ac:dyDescent="0.3">
      <c r="B7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Rstruc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eceta</dc:creator>
  <cp:lastModifiedBy>eceta</cp:lastModifiedBy>
  <dcterms:created xsi:type="dcterms:W3CDTF">2015-06-05T18:17:20Z</dcterms:created>
  <dcterms:modified xsi:type="dcterms:W3CDTF">2026-03-04T23:17:09Z</dcterms:modified>
</cp:coreProperties>
</file>